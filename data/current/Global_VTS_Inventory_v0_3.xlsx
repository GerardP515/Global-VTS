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TSS Candidates" sheetId="2" state="visible" r:id="rId2"/>
    <sheet name="Stage 4 Findings" sheetId="3" state="visible" r:id="rId3"/>
    <sheet name="VTS Services" sheetId="4" state="visible" r:id="rId4"/>
    <sheet name="Reporting Schemes" sheetId="5" state="visible" r:id="rId5"/>
    <sheet name="Relationships" sheetId="6" state="visible" r:id="rId6"/>
    <sheet name="Sources" sheetId="7" state="visible" r:id="rId7"/>
    <sheet name="Issues" sheetId="8" state="visible" r:id="rId8"/>
    <sheet name="Batches" sheetId="9" state="visible" r:id="rId9"/>
    <sheet name="Definitions" sheetId="10" state="visible" r:id="rId10"/>
    <sheet name="Audit Findings" sheetId="11" state="visible" r:id="rId11"/>
    <sheet name="TSS Components" sheetId="12" state="visible" r:id="rId12"/>
    <sheet name="ID Crosswalk" sheetId="13" state="visible" r:id="rId13"/>
    <sheet name="Legacy Links" sheetId="14" state="visible" r:id="rId14"/>
  </sheets>
  <definedNames/>
</workbook>
</file>

<file path=xl/styles.xml><?xml version="1.0" encoding="utf-8"?>
<styleSheet xmlns="http://schemas.openxmlformats.org/spreadsheetml/2006/main">
  <numFmts count="0"/>
  <fonts count="23">
    <font>
      <name val="Carlito"/>
      <sz val="11"/>
    </font>
    <font>
      <name val="Carlito"/>
      <color rgb="FF223446"/>
      <sz val="11"/>
    </font>
    <font>
      <name val="Carlito"/>
      <b val="1"/>
      <color rgb="FFFFFFFF"/>
      <sz val="22"/>
    </font>
    <font>
      <name val="Carlito"/>
      <b val="1"/>
      <color rgb="FFFFFFFF"/>
      <sz val="10"/>
    </font>
    <font>
      <name val="Carlito"/>
      <b val="1"/>
      <color rgb="FF17324D"/>
      <sz val="32"/>
    </font>
    <font>
      <name val="Carlito"/>
      <b val="1"/>
      <color rgb="FF223446"/>
      <sz val="11"/>
    </font>
    <font>
      <name val="Carlito"/>
      <b val="1"/>
      <color rgb="FFFFFFFF"/>
      <sz val="11"/>
    </font>
    <font>
      <name val="Carlito"/>
      <b val="1"/>
      <color rgb="FF176B72"/>
      <sz val="11"/>
    </font>
    <font>
      <name val="Carlito"/>
      <b val="1"/>
      <color rgb="FFFFFFFF"/>
      <sz val="18"/>
    </font>
    <font>
      <name val="Carlito"/>
      <color rgb="FF223446"/>
      <sz val="10"/>
    </font>
    <font>
      <name val="Aptos"/>
      <b val="1"/>
      <color rgb="FFFFFFFF"/>
      <sz val="10"/>
    </font>
    <font>
      <name val="Aptos"/>
      <color rgb="FF18344E"/>
      <sz val="10"/>
    </font>
    <font>
      <name val="Aptos"/>
      <color rgb="FF17627A"/>
      <sz val="9"/>
    </font>
    <font>
      <name val="Aptos"/>
      <b val="1"/>
      <color rgb="FFFFFFFF"/>
      <sz val="20"/>
    </font>
    <font>
      <name val="Aptos"/>
      <b val="1"/>
      <color rgb="FF18344E"/>
      <sz val="11"/>
    </font>
    <font>
      <name val="Aptos"/>
      <color rgb="FF18344E"/>
      <sz val="11"/>
    </font>
    <font>
      <name val="Aptos"/>
      <b val="1"/>
      <color rgb="FFFFFFFF"/>
      <sz val="23"/>
    </font>
    <font>
      <name val="Aptos"/>
      <color rgb="FF18344E"/>
      <sz val="11"/>
    </font>
    <font>
      <name val="Aptos"/>
      <b val="1"/>
      <color rgb="FF18344E"/>
      <sz val="30"/>
    </font>
    <font>
      <name val="Aptos"/>
      <b val="1"/>
      <color rgb="FFFFFFFF"/>
      <sz val="11"/>
    </font>
    <font>
      <name val="Aptos"/>
      <color rgb="FF18344E"/>
      <sz val="10"/>
    </font>
    <font>
      <name val="Aptos"/>
      <b val="1"/>
      <color rgb="FF1B6D75"/>
      <sz val="12"/>
    </font>
    <font>
      <name val="Aptos"/>
      <b val="1"/>
      <color rgb="FF18344E"/>
      <sz val="10"/>
    </font>
  </fonts>
  <fills count="12">
    <fill>
      <patternFill/>
    </fill>
    <fill>
      <patternFill patternType="gray125"/>
    </fill>
    <fill>
      <patternFill patternType="solid">
        <fgColor rgb="FF17324D"/>
      </patternFill>
    </fill>
    <fill>
      <patternFill patternType="solid">
        <fgColor rgb="FFEAF2F4"/>
      </patternFill>
    </fill>
    <fill>
      <patternFill patternType="solid">
        <fgColor rgb="FF176B72"/>
      </patternFill>
    </fill>
    <fill>
      <patternFill patternType="solid">
        <fgColor rgb="FFFFF2D6"/>
      </patternFill>
    </fill>
    <fill>
      <patternFill patternType="solid">
        <fgColor rgb="FF1B6D75"/>
      </patternFill>
    </fill>
    <fill>
      <patternFill patternType="solid">
        <fgColor rgb="FFF3F7FA"/>
      </patternFill>
    </fill>
    <fill>
      <patternFill patternType="solid">
        <fgColor rgb="FF18344E"/>
      </patternFill>
    </fill>
    <fill>
      <patternFill patternType="solid">
        <fgColor rgb="FFEAF2F6"/>
      </patternFill>
    </fill>
    <fill>
      <patternFill patternType="solid">
        <fgColor rgb="FFFFFFFF"/>
      </patternFill>
    </fill>
    <fill>
      <patternFill patternType="solid">
        <fgColor rgb="FFFFF2D5"/>
      </patternFill>
    </fill>
  </fills>
  <borders count="2">
    <border/>
    <border/>
  </borders>
  <cellStyleXfs count="1">
    <xf numFmtId="0" fontId="0" fillId="0" borderId="1"/>
  </cellStyleXfs>
  <cellXfs count="140">
    <xf numFmtId="0" fontId="0" fillId="0" borderId="0" pivotButton="0" quotePrefix="0" xfId="0"/>
    <xf numFmtId="0" fontId="0" fillId="0" borderId="1" pivotButton="0" quotePrefix="0" xfId="0"/>
    <xf numFmtId="0" fontId="1" fillId="0" borderId="0" pivotButton="0" quotePrefix="0" xfId="0"/>
    <xf numFmtId="0" fontId="1" fillId="0" borderId="1" pivotButton="0" quotePrefix="0" xfId="0"/>
    <xf numFmtId="0" fontId="1" fillId="2" borderId="0" pivotButton="0" quotePrefix="0" xfId="0"/>
    <xf numFmtId="0" fontId="2" fillId="2" borderId="0" pivotButton="0" quotePrefix="0" xfId="0"/>
    <xf numFmtId="0" fontId="2" fillId="2" borderId="0" applyAlignment="1" pivotButton="0" quotePrefix="0" xfId="0">
      <alignment vertical="center"/>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1" fillId="3" borderId="0" pivotButton="0" quotePrefix="0" xfId="0"/>
    <xf numFmtId="0" fontId="1" fillId="3" borderId="0" applyAlignment="1" pivotButton="0" quotePrefix="0" xfId="0">
      <alignment wrapText="1"/>
    </xf>
    <xf numFmtId="0" fontId="1" fillId="3" borderId="0" applyAlignment="1" pivotButton="0" quotePrefix="0" xfId="0">
      <alignment vertical="center" wrapText="1"/>
    </xf>
    <xf numFmtId="0" fontId="1" fillId="3" borderId="1" pivotButton="0" quotePrefix="0" xfId="0"/>
    <xf numFmtId="0" fontId="1" fillId="3" borderId="1" applyAlignment="1" pivotButton="0" quotePrefix="0" xfId="0">
      <alignment wrapText="1"/>
    </xf>
    <xf numFmtId="0" fontId="1" fillId="3" borderId="1" applyAlignment="1" pivotButton="0" quotePrefix="0" xfId="0">
      <alignment vertical="center" wrapText="1"/>
    </xf>
    <xf numFmtId="0" fontId="1" fillId="4" borderId="0" pivotButton="0" quotePrefix="0" xfId="0"/>
    <xf numFmtId="0" fontId="3" fillId="4" borderId="0" pivotButton="0" quotePrefix="0" xfId="0"/>
    <xf numFmtId="0" fontId="1" fillId="4" borderId="1" pivotButton="0" quotePrefix="0" xfId="0"/>
    <xf numFmtId="0" fontId="3" fillId="4" borderId="1" pivotButton="0" quotePrefix="0" xfId="0"/>
    <xf numFmtId="0" fontId="4" fillId="3" borderId="0" pivotButton="0" quotePrefix="0" xfId="0"/>
    <xf numFmtId="0" fontId="4" fillId="3" borderId="0" applyAlignment="1" pivotButton="0" quotePrefix="0" xfId="0">
      <alignment horizontal="center"/>
    </xf>
    <xf numFmtId="0" fontId="4" fillId="3" borderId="0" applyAlignment="1" pivotButton="0" quotePrefix="0" xfId="0">
      <alignment horizontal="center" vertical="center"/>
    </xf>
    <xf numFmtId="0" fontId="4" fillId="3" borderId="1" pivotButton="0" quotePrefix="0" xfId="0"/>
    <xf numFmtId="0" fontId="4" fillId="3" borderId="1" applyAlignment="1" pivotButton="0" quotePrefix="0" xfId="0">
      <alignment horizontal="center"/>
    </xf>
    <xf numFmtId="0" fontId="4" fillId="3" borderId="1" applyAlignment="1" pivotButton="0" quotePrefix="0" xfId="0">
      <alignment horizontal="center" vertical="center"/>
    </xf>
    <xf numFmtId="0" fontId="1" fillId="5" borderId="0" pivotButton="0" quotePrefix="0" xfId="0"/>
    <xf numFmtId="0" fontId="5" fillId="5" borderId="0" pivotButton="0" quotePrefix="0" xfId="0"/>
    <xf numFmtId="0" fontId="5" fillId="5" borderId="0" applyAlignment="1" pivotButton="0" quotePrefix="0" xfId="0">
      <alignment wrapText="1"/>
    </xf>
    <xf numFmtId="0" fontId="5" fillId="5" borderId="0" applyAlignment="1" pivotButton="0" quotePrefix="0" xfId="0">
      <alignment vertical="center" wrapText="1"/>
    </xf>
    <xf numFmtId="0" fontId="1" fillId="5" borderId="1" pivotButton="0" quotePrefix="0" xfId="0"/>
    <xf numFmtId="0" fontId="5" fillId="5" borderId="1" pivotButton="0" quotePrefix="0" xfId="0"/>
    <xf numFmtId="0" fontId="5" fillId="5" borderId="1" applyAlignment="1" pivotButton="0" quotePrefix="0" xfId="0">
      <alignment wrapText="1"/>
    </xf>
    <xf numFmtId="0" fontId="5" fillId="5" borderId="1" applyAlignment="1" pivotButton="0" quotePrefix="0" xfId="0">
      <alignment vertical="center" wrapText="1"/>
    </xf>
    <xf numFmtId="0" fontId="6" fillId="2" borderId="0" pivotButton="0" quotePrefix="0" xfId="0"/>
    <xf numFmtId="0" fontId="6" fillId="2" borderId="1" pivotButton="0" quotePrefix="0" xfId="0"/>
    <xf numFmtId="0" fontId="7" fillId="0" borderId="0" pivotButton="0" quotePrefix="0" xfId="0"/>
    <xf numFmtId="0" fontId="7" fillId="0" borderId="1" pivotButton="0" quotePrefix="0" xfId="0"/>
    <xf numFmtId="0" fontId="1" fillId="0" borderId="0" applyAlignment="1" pivotButton="0" quotePrefix="0" xfId="0">
      <alignment wrapText="1"/>
    </xf>
    <xf numFmtId="0" fontId="1" fillId="0" borderId="0" applyAlignment="1" pivotButton="0" quotePrefix="0" xfId="0">
      <alignmen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2" borderId="0" pivotButton="0" quotePrefix="0" xfId="0"/>
    <xf numFmtId="0" fontId="8" fillId="2" borderId="0" pivotButton="0" quotePrefix="0" xfId="0"/>
    <xf numFmtId="0" fontId="8" fillId="2" borderId="0" applyAlignment="1" pivotButton="0" quotePrefix="0" xfId="0">
      <alignment vertical="center"/>
    </xf>
    <xf numFmtId="0" fontId="0" fillId="2" borderId="1" pivotButton="0" quotePrefix="0" xfId="0"/>
    <xf numFmtId="0" fontId="8" fillId="2" borderId="1" pivotButton="0" quotePrefix="0" xfId="0"/>
    <xf numFmtId="0" fontId="8" fillId="2" borderId="1" applyAlignment="1" pivotButton="0" quotePrefix="0" xfId="0">
      <alignment vertical="center"/>
    </xf>
    <xf numFmtId="0" fontId="0" fillId="3" borderId="0" pivotButton="0" quotePrefix="0" xfId="0"/>
    <xf numFmtId="0" fontId="0" fillId="3" borderId="1" pivotButton="0" quotePrefix="0" xfId="0"/>
    <xf numFmtId="0" fontId="0" fillId="4" borderId="0" pivotButton="0" quotePrefix="0" xfId="0"/>
    <xf numFmtId="0" fontId="3" fillId="4" borderId="0" applyAlignment="1" pivotButton="0" quotePrefix="0" xfId="0">
      <alignment wrapText="1"/>
    </xf>
    <xf numFmtId="0" fontId="3" fillId="4" borderId="0" applyAlignment="1" pivotButton="0" quotePrefix="0" xfId="0">
      <alignment vertical="center" wrapText="1"/>
    </xf>
    <xf numFmtId="0" fontId="0" fillId="4" borderId="1" pivotButton="0" quotePrefix="0" xfId="0"/>
    <xf numFmtId="0" fontId="3" fillId="4" borderId="1" applyAlignment="1" pivotButton="0" quotePrefix="0" xfId="0">
      <alignment wrapText="1"/>
    </xf>
    <xf numFmtId="0" fontId="3" fillId="4" borderId="1" applyAlignment="1" pivotButton="0" quotePrefix="0" xfId="0">
      <alignment vertical="center" wrapText="1"/>
    </xf>
    <xf numFmtId="0" fontId="9" fillId="0" borderId="0" pivotButton="0" quotePrefix="0" xfId="0"/>
    <xf numFmtId="0" fontId="9" fillId="0" borderId="0" applyAlignment="1" pivotButton="0" quotePrefix="0" xfId="0">
      <alignment wrapText="1"/>
    </xf>
    <xf numFmtId="0" fontId="9" fillId="0" borderId="0" applyAlignment="1" pivotButton="0" quotePrefix="0" xfId="0">
      <alignment vertical="top" wrapText="1"/>
    </xf>
    <xf numFmtId="0" fontId="9" fillId="0" borderId="1" pivotButton="0" quotePrefix="0" xfId="0"/>
    <xf numFmtId="0" fontId="9" fillId="0" borderId="1" applyAlignment="1" pivotButton="0" quotePrefix="0" xfId="0">
      <alignment wrapText="1"/>
    </xf>
    <xf numFmtId="0" fontId="9" fillId="0" borderId="1" applyAlignment="1" pivotButton="0" quotePrefix="0" xfId="0">
      <alignment vertical="top" wrapText="1"/>
    </xf>
    <xf numFmtId="0" fontId="9" fillId="5" borderId="0" applyAlignment="1" pivotButton="0" quotePrefix="0" xfId="0">
      <alignment vertical="top" wrapText="1"/>
    </xf>
    <xf numFmtId="0" fontId="0" fillId="0" borderId="0" pivotButton="0" quotePrefix="0" xfId="0"/>
    <xf numFmtId="0" fontId="3" fillId="6" borderId="0" applyAlignment="1" pivotButton="0" quotePrefix="0" xfId="0">
      <alignment vertical="center" wrapText="1"/>
    </xf>
    <xf numFmtId="0" fontId="10" fillId="6" borderId="0" applyAlignment="1" pivotButton="0" quotePrefix="0" xfId="0">
      <alignment vertical="center"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1" fillId="0" borderId="0" pivotButton="0" quotePrefix="0" xfId="0"/>
    <xf numFmtId="0" fontId="11" fillId="0" borderId="0" applyAlignment="1" pivotButton="0" quotePrefix="0" xfId="0">
      <alignment vertical="top"/>
    </xf>
    <xf numFmtId="0" fontId="11" fillId="7" borderId="0" applyAlignment="1" pivotButton="0" quotePrefix="0" xfId="0">
      <alignment vertical="top" wrapText="1"/>
    </xf>
    <xf numFmtId="0" fontId="12" fillId="7" borderId="0" applyAlignment="1" pivotButton="0" quotePrefix="0" xfId="0">
      <alignment vertical="top" wrapText="1"/>
    </xf>
    <xf numFmtId="0" fontId="11" fillId="5" borderId="0" applyAlignment="1" pivotButton="0" quotePrefix="0" xfId="0">
      <alignment vertical="top" wrapText="1"/>
    </xf>
    <xf numFmtId="0" fontId="12" fillId="5" borderId="0" applyAlignment="1" pivotButton="0" quotePrefix="0" xfId="0">
      <alignment vertical="top" wrapText="1"/>
    </xf>
    <xf numFmtId="0" fontId="11" fillId="8" borderId="0" pivotButton="0" quotePrefix="0" xfId="0"/>
    <xf numFmtId="0" fontId="13" fillId="8" borderId="0" pivotButton="0" quotePrefix="0" xfId="0"/>
    <xf numFmtId="0" fontId="13" fillId="8" borderId="0" applyAlignment="1" pivotButton="0" quotePrefix="0" xfId="0">
      <alignment vertical="center"/>
    </xf>
    <xf numFmtId="0" fontId="11" fillId="9" borderId="0" pivotButton="0" quotePrefix="0" xfId="0"/>
    <xf numFmtId="0" fontId="11" fillId="9" borderId="0" applyAlignment="1" pivotButton="0" quotePrefix="0" xfId="0">
      <alignment wrapText="1"/>
    </xf>
    <xf numFmtId="0" fontId="11" fillId="9" borderId="0" applyAlignment="1" pivotButton="0" quotePrefix="0" xfId="0">
      <alignment vertical="center" wrapText="1"/>
    </xf>
    <xf numFmtId="0" fontId="11" fillId="6" borderId="0" pivotButton="0" quotePrefix="0" xfId="0"/>
    <xf numFmtId="0" fontId="10" fillId="6" borderId="0" pivotButton="0" quotePrefix="0" xfId="0"/>
    <xf numFmtId="0" fontId="10" fillId="6" borderId="0" applyAlignment="1" pivotButton="0" quotePrefix="0" xfId="0">
      <alignment wrapText="1"/>
    </xf>
    <xf numFmtId="0" fontId="2" fillId="10" borderId="0" applyAlignment="1" pivotButton="0" quotePrefix="0" xfId="0">
      <alignment vertical="center"/>
    </xf>
    <xf numFmtId="0" fontId="1" fillId="10" borderId="0" applyAlignment="1" pivotButton="0" quotePrefix="0" xfId="0">
      <alignment vertical="center" wrapText="1"/>
    </xf>
    <xf numFmtId="0" fontId="1" fillId="10" borderId="0" pivotButton="0" quotePrefix="0" xfId="0"/>
    <xf numFmtId="0" fontId="3" fillId="10" borderId="0" pivotButton="0" quotePrefix="0" xfId="0"/>
    <xf numFmtId="0" fontId="4" fillId="10" borderId="0" applyAlignment="1" pivotButton="0" quotePrefix="0" xfId="0">
      <alignment horizontal="center" vertical="center"/>
    </xf>
    <xf numFmtId="0" fontId="5" fillId="10" borderId="0" applyAlignment="1" pivotButton="0" quotePrefix="0" xfId="0">
      <alignment vertical="center" wrapText="1"/>
    </xf>
    <xf numFmtId="0" fontId="6" fillId="10" borderId="0" pivotButton="0" quotePrefix="0" xfId="0"/>
    <xf numFmtId="0" fontId="7" fillId="10" borderId="0" pivotButton="0" quotePrefix="0" xfId="0"/>
    <xf numFmtId="0" fontId="0" fillId="10" borderId="0" pivotButton="0" quotePrefix="0" xfId="0"/>
    <xf numFmtId="0" fontId="14" fillId="10" borderId="0" applyAlignment="1" pivotButton="0" quotePrefix="0" xfId="0">
      <alignment vertical="center"/>
    </xf>
    <xf numFmtId="0" fontId="15" fillId="10" borderId="0" applyAlignment="1" pivotButton="0" quotePrefix="0" xfId="0">
      <alignment vertical="center" wrapText="1"/>
    </xf>
    <xf numFmtId="0" fontId="15" fillId="10" borderId="0" pivotButton="0" quotePrefix="0" xfId="0"/>
    <xf numFmtId="0" fontId="14" fillId="10" borderId="0" pivotButton="0" quotePrefix="0" xfId="0"/>
    <xf numFmtId="0" fontId="14" fillId="10" borderId="0" applyAlignment="1" pivotButton="0" quotePrefix="0" xfId="0">
      <alignment horizontal="center" vertical="center"/>
    </xf>
    <xf numFmtId="0" fontId="14" fillId="10" borderId="0" applyAlignment="1" pivotButton="0" quotePrefix="0" xfId="0">
      <alignment vertical="center" wrapText="1"/>
    </xf>
    <xf numFmtId="0" fontId="15" fillId="10" borderId="0" applyAlignment="1" pivotButton="0" quotePrefix="0" xfId="0">
      <alignment wrapText="1"/>
    </xf>
    <xf numFmtId="0" fontId="14" fillId="10" borderId="0" applyAlignment="1" pivotButton="0" quotePrefix="0" xfId="0">
      <alignment wrapText="1"/>
    </xf>
    <xf numFmtId="0" fontId="14" fillId="10" borderId="0" applyAlignment="1" pivotButton="0" quotePrefix="0" xfId="0">
      <alignment horizontal="center" vertical="center" wrapText="1"/>
    </xf>
    <xf numFmtId="0" fontId="14" fillId="8" borderId="0" applyAlignment="1" pivotButton="0" quotePrefix="0" xfId="0">
      <alignment vertical="center" wrapText="1"/>
    </xf>
    <xf numFmtId="0" fontId="16" fillId="8" borderId="0" applyAlignment="1" pivotButton="0" quotePrefix="0" xfId="0">
      <alignment vertical="center" wrapText="1"/>
    </xf>
    <xf numFmtId="0" fontId="16" fillId="8" borderId="0" applyAlignment="1" pivotButton="0" quotePrefix="0" xfId="0">
      <alignment horizontal="left" vertical="center" wrapText="1"/>
    </xf>
    <xf numFmtId="0" fontId="15" fillId="9" borderId="0" applyAlignment="1" pivotButton="0" quotePrefix="0" xfId="0">
      <alignment vertical="center" wrapText="1"/>
    </xf>
    <xf numFmtId="0" fontId="17" fillId="9" borderId="0" applyAlignment="1" pivotButton="0" quotePrefix="0" xfId="0">
      <alignment vertical="center" wrapText="1"/>
    </xf>
    <xf numFmtId="0" fontId="17" fillId="9" borderId="0" applyAlignment="1" pivotButton="0" quotePrefix="0" xfId="0">
      <alignment horizontal="left" vertical="center" wrapText="1"/>
    </xf>
    <xf numFmtId="0" fontId="14" fillId="6" borderId="0" applyAlignment="1" pivotButton="0" quotePrefix="0" xfId="0">
      <alignment vertical="center" wrapText="1"/>
    </xf>
    <xf numFmtId="0" fontId="10" fillId="6" borderId="0" applyAlignment="1" pivotButton="0" quotePrefix="0" xfId="0">
      <alignment horizontal="left" vertical="center" wrapText="1"/>
    </xf>
    <xf numFmtId="0" fontId="14" fillId="9" borderId="0" applyAlignment="1" pivotButton="0" quotePrefix="0" xfId="0">
      <alignment horizontal="center" vertical="center" wrapText="1"/>
    </xf>
    <xf numFmtId="0" fontId="18" fillId="9" borderId="0" applyAlignment="1" pivotButton="0" quotePrefix="0" xfId="0">
      <alignment horizontal="center" vertical="center" wrapText="1"/>
    </xf>
    <xf numFmtId="0" fontId="14" fillId="11" borderId="0" applyAlignment="1" pivotButton="0" quotePrefix="0" xfId="0">
      <alignment vertical="center" wrapText="1"/>
    </xf>
    <xf numFmtId="0" fontId="14" fillId="11" borderId="0" applyAlignment="1" pivotButton="0" quotePrefix="0" xfId="0">
      <alignment horizontal="left" vertical="center" wrapText="1"/>
    </xf>
    <xf numFmtId="0" fontId="19" fillId="8" borderId="0" applyAlignment="1" pivotButton="0" quotePrefix="0" xfId="0">
      <alignment vertical="center" wrapText="1"/>
    </xf>
    <xf numFmtId="0" fontId="19" fillId="8" borderId="0" applyAlignment="1" pivotButton="0" quotePrefix="0" xfId="0">
      <alignment horizontal="left" vertical="center" wrapText="1"/>
    </xf>
    <xf numFmtId="0" fontId="20" fillId="10" borderId="0" applyAlignment="1" pivotButton="0" quotePrefix="0" xfId="0">
      <alignment vertical="center" wrapText="1"/>
    </xf>
    <xf numFmtId="0" fontId="20" fillId="10" borderId="0" applyAlignment="1" pivotButton="0" quotePrefix="0" xfId="0">
      <alignment horizontal="left" vertical="center" wrapText="1"/>
    </xf>
    <xf numFmtId="0" fontId="21" fillId="10" borderId="0" applyAlignment="1" pivotButton="0" quotePrefix="0" xfId="0">
      <alignment vertical="center" wrapText="1"/>
    </xf>
    <xf numFmtId="0" fontId="21" fillId="10" borderId="0" applyAlignment="1" pivotButton="0" quotePrefix="0" xfId="0">
      <alignment horizontal="right" vertical="center" wrapText="1"/>
    </xf>
    <xf numFmtId="0" fontId="20" fillId="9" borderId="0" applyAlignment="1" pivotButton="0" quotePrefix="0" xfId="0">
      <alignment vertical="center" wrapText="1"/>
    </xf>
    <xf numFmtId="0" fontId="20" fillId="9" borderId="0" applyAlignment="1" pivotButton="0" quotePrefix="0" xfId="0">
      <alignment horizontal="left" vertical="center" wrapText="1"/>
    </xf>
    <xf numFmtId="0" fontId="21" fillId="9" borderId="0" applyAlignment="1" pivotButton="0" quotePrefix="0" xfId="0">
      <alignment vertical="center" wrapText="1"/>
    </xf>
    <xf numFmtId="0" fontId="21" fillId="9" borderId="0" applyAlignment="1" pivotButton="0" quotePrefix="0" xfId="0">
      <alignment horizontal="center" vertical="center" wrapText="1"/>
    </xf>
    <xf numFmtId="0" fontId="22" fillId="9" borderId="0" applyAlignment="1" pivotButton="0" quotePrefix="0" xfId="0">
      <alignment vertical="center" wrapText="1"/>
    </xf>
    <xf numFmtId="0" fontId="22" fillId="9" borderId="0" applyAlignment="1" pivotButton="0" quotePrefix="0" xfId="0">
      <alignment horizontal="left" vertical="center" wrapText="1"/>
    </xf>
    <xf numFmtId="0" fontId="15" fillId="11" borderId="0" applyAlignment="1" pivotButton="0" quotePrefix="0" xfId="0">
      <alignment vertical="center" wrapText="1"/>
    </xf>
    <xf numFmtId="0" fontId="22" fillId="11" borderId="0" applyAlignment="1" pivotButton="0" quotePrefix="0" xfId="0">
      <alignment vertical="center" wrapText="1"/>
    </xf>
    <xf numFmtId="0" fontId="22" fillId="11" borderId="0" applyAlignment="1" pivotButton="0" quotePrefix="0" xfId="0">
      <alignment horizontal="left" vertical="center" wrapText="1"/>
    </xf>
    <xf numFmtId="0" fontId="16" fillId="8" borderId="1" applyAlignment="1" pivotButton="0" quotePrefix="0" xfId="0">
      <alignment horizontal="left" vertical="center" wrapText="1"/>
    </xf>
    <xf numFmtId="0" fontId="17" fillId="9" borderId="1" applyAlignment="1" pivotButton="0" quotePrefix="0" xfId="0">
      <alignment horizontal="left" vertical="center" wrapText="1"/>
    </xf>
    <xf numFmtId="0" fontId="10" fillId="6" borderId="1" applyAlignment="1" pivotButton="0" quotePrefix="0" xfId="0">
      <alignment horizontal="left" vertical="center" wrapText="1"/>
    </xf>
    <xf numFmtId="0" fontId="18" fillId="9" borderId="1" applyAlignment="1" pivotButton="0" quotePrefix="0" xfId="0">
      <alignment horizontal="center" vertical="center" wrapText="1"/>
    </xf>
    <xf numFmtId="0" fontId="14" fillId="11" borderId="1" applyAlignment="1" pivotButton="0" quotePrefix="0" xfId="0">
      <alignment horizontal="left" vertical="center" wrapText="1"/>
    </xf>
    <xf numFmtId="0" fontId="19" fillId="8" borderId="1" applyAlignment="1" pivotButton="0" quotePrefix="0" xfId="0">
      <alignment horizontal="left" vertical="center" wrapText="1"/>
    </xf>
    <xf numFmtId="0" fontId="20" fillId="10" borderId="1" applyAlignment="1" pivotButton="0" quotePrefix="0" xfId="0">
      <alignment horizontal="left" vertical="center" wrapText="1"/>
    </xf>
    <xf numFmtId="0" fontId="20" fillId="9" borderId="1" applyAlignment="1" pivotButton="0" quotePrefix="0" xfId="0">
      <alignment horizontal="left" vertical="center" wrapText="1"/>
    </xf>
    <xf numFmtId="0" fontId="22" fillId="9" borderId="1" applyAlignment="1" pivotButton="0" quotePrefix="0" xfId="0">
      <alignment horizontal="left" vertical="center" wrapText="1"/>
    </xf>
    <xf numFmtId="0" fontId="22" fillId="11" borderId="1" applyAlignment="1" pivotButton="0" quotePrefix="0" xfId="0">
      <alignment horizontal="left" vertical="center" wrapText="1"/>
    </xf>
    <xf numFmtId="0" fontId="13" fillId="8" borderId="1" applyAlignment="1" pivotButton="0" quotePrefix="0" xfId="0">
      <alignment vertical="center"/>
    </xf>
    <xf numFmtId="0" fontId="11" fillId="9" borderId="1" applyAlignment="1" pivotButton="0" quotePrefix="0" xfId="0">
      <alignment vertical="center" wrapText="1"/>
    </xf>
  </cellXfs>
  <cellStyles count="1">
    <cellStyle name="Normal" xfId="0"/>
  </cellStyles>
  <dxfs count="3">
    <dxf>
      <fill>
        <patternFill>
          <bgColor rgb="FFFFF2D6"/>
        </patternFill>
      </fill>
    </dxf>
    <dxf>
      <fill>
        <patternFill>
          <bgColor rgb="FFE2F0E9"/>
        </patternFill>
      </fill>
    </dxf>
    <dxf>
      <fill>
        <patternFill>
          <bgColor rgb="FFFFF2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TSSCandidatesData" displayName="TSSCandidatesData" ref="A6:S176" headerRowCount="1" totalsRowCount="0" totalsRowShown="0">
  <tableColumns count="19">
    <tableColumn id="1" name="Record ID"/>
    <tableColumn id="2" name="Region"/>
    <tableColumn id="3" name="Candidate source label"/>
    <tableColumn id="4" name="Record type"/>
    <tableColumn id="5" name="Baseline status"/>
    <tableColumn id="6" name="VTS screening"/>
    <tableColumn id="7" name="Reporting screening"/>
    <tableColumn id="8" name="Related service IDs"/>
    <tableColumn id="9" name="Related reporting IDs"/>
    <tableColumn id="10" name="Grouping / reconciliation note"/>
    <tableColumn id="11" name="Source ID"/>
    <tableColumn id="12" name="Source URL"/>
    <tableColumn id="13" name="Source locator"/>
    <tableColumn id="14" name="Source limitation"/>
    <tableColumn id="15" name="Additional evidence IDs"/>
    <tableColumn id="16" name="Additional evidence URLs"/>
    <tableColumn id="17" name="Batch"/>
    <tableColumn id="18" name="Review stage"/>
    <tableColumn id="19" name="Last record check"/>
  </tableColumns>
  <tableStyleInfo name="TableStyleMedium2" showFirstColumn="0" showLastColumn="0" showRowStripes="1" showColumnStripes="0"/>
</table>
</file>

<file path=xl/tables/table2.xml><?xml version="1.0" encoding="utf-8"?>
<table xmlns="http://schemas.openxmlformats.org/spreadsheetml/2006/main" id="2" name="Stage4FindingsData" displayName="Stage4FindingsData" ref="A6:W131" headerRowCount="1">
  <autoFilter ref="A6:W131"/>
  <tableColumns count="23">
    <tableColumn id="1" name="Record ID"/>
    <tableColumn id="2" name="Batch"/>
    <tableColumn id="3" name="Group"/>
    <tableColumn id="4" name="Source label"/>
    <tableColumn id="5" name="Official name"/>
    <tableColumn id="6" name="States"/>
    <tableColumn id="7" name="TSS identity"/>
    <tableColumn id="8" name="Identity note"/>
    <tableColumn id="9" name="Operational status"/>
    <tableColumn id="10" name="Components"/>
    <tableColumn id="11" name="VTS finding"/>
    <tableColumn id="12" name="VTS service IDs"/>
    <tableColumn id="13" name="VTS basis"/>
    <tableColumn id="14" name="Reporting finding"/>
    <tableColumn id="15" name="Reporting scheme IDs"/>
    <tableColumn id="16" name="Reporting basis"/>
    <tableColumn id="17" name="Voluntary reporting"/>
    <tableColumn id="18" name="Applicability notes"/>
    <tableColumn id="19" name="Provisional complexity"/>
    <tableColumn id="20" name="Complexity reason"/>
    <tableColumn id="21" name="Source IDs"/>
    <tableColumn id="22" name="Open questions"/>
    <tableColumn id="23" name="Audit adjustments at merge"/>
  </tableColumns>
  <tableStyleInfo name="TableStyleMedium2" showRowStripes="1"/>
</table>
</file>

<file path=xl/tables/table3.xml><?xml version="1.0" encoding="utf-8"?>
<table xmlns="http://schemas.openxmlformats.org/spreadsheetml/2006/main" id="3" name="VTSServicesData" displayName="VTSServicesData" ref="A6:L63" headerRowCount="1" totalsRowCount="0" totalsRowShown="0">
  <tableColumns count="12">
    <tableColumn id="1" name="Service ID"/>
    <tableColumn id="2" name="Service name"/>
    <tableColumn id="3" name="Area label"/>
    <tableColumn id="4" name="Authority / jurisdiction"/>
    <tableColumn id="5" name="Centre / sectors"/>
    <tableColumn id="6" name="Scope"/>
    <tableColumn id="7" name="Evidence status"/>
    <tableColumn id="8" name="Confirmed area count"/>
    <tableColumn id="9" name="Source IDs"/>
    <tableColumn id="10" name="Source URLs"/>
    <tableColumn id="11" name="Counting / review note"/>
    <tableColumn id="12" name="Accessed"/>
  </tableColumns>
  <tableStyleInfo name="TableStyleMedium2" showFirstColumn="0" showLastColumn="0" showRowStripes="1" showColumnStripes="0"/>
</table>
</file>

<file path=xl/tables/table4.xml><?xml version="1.0" encoding="utf-8"?>
<table xmlns="http://schemas.openxmlformats.org/spreadsheetml/2006/main" id="4" name="ReportingSchemesData" displayName="ReportingSchemesData" ref="A6:K33" headerRowCount="1" totalsRowCount="0" totalsRowShown="0">
  <tableColumns count="11">
    <tableColumn id="1" name="Reporting ID"/>
    <tableColumn id="2" name="Scheme"/>
    <tableColumn id="3" name="Area label"/>
    <tableColumn id="4" name="Participation"/>
    <tableColumn id="5" name="Related service IDs"/>
    <tableColumn id="6" name="Scope"/>
    <tableColumn id="7" name="Evidence status"/>
    <tableColumn id="8" name="Source IDs"/>
    <tableColumn id="9" name="Source URLs"/>
    <tableColumn id="10" name="Counting / review note"/>
    <tableColumn id="11" name="Accessed"/>
  </tableColumns>
  <tableStyleInfo name="TableStyleMedium2" showFirstColumn="0" showLastColumn="0" showRowStripes="1" showColumnStripes="0"/>
</table>
</file>

<file path=xl/tables/table5.xml><?xml version="1.0" encoding="utf-8"?>
<table xmlns="http://schemas.openxmlformats.org/spreadsheetml/2006/main" id="5" name="RelationshipsData" displayName="RelationshipsData" ref="A6:H163" headerRowCount="1" totalsRowCount="0" totalsRowShown="0">
  <tableColumns count="8">
    <tableColumn id="1" name="Link ID"/>
    <tableColumn id="2" name="From ID"/>
    <tableColumn id="3" name="To ID"/>
    <tableColumn id="4" name="Relationship"/>
    <tableColumn id="5" name="Evidence status"/>
    <tableColumn id="6" name="Source IDs"/>
    <tableColumn id="7" name="Source URLs"/>
    <tableColumn id="8" name="Limit / next check"/>
  </tableColumns>
  <tableStyleInfo name="TableStyleMedium2" showFirstColumn="0" showLastColumn="0" showRowStripes="1" showColumnStripes="0"/>
</table>
</file>

<file path=xl/tables/table6.xml><?xml version="1.0" encoding="utf-8"?>
<table xmlns="http://schemas.openxmlformats.org/spreadsheetml/2006/main" id="6" name="SourcesData" displayName="SourcesData" ref="A6:H142" headerRowCount="1" totalsRowCount="0" totalsRowShown="0">
  <tableColumns count="8">
    <tableColumn id="1" name="Source ID"/>
    <tableColumn id="2" name="Title"/>
    <tableColumn id="3" name="Authority / origin"/>
    <tableColumn id="4" name="URL"/>
    <tableColumn id="5" name="Edition / date shown"/>
    <tableColumn id="6" name="Evidence class"/>
    <tableColumn id="7" name="Scope / limitation"/>
    <tableColumn id="8" name="Accessed"/>
  </tableColumns>
  <tableStyleInfo name="TableStyleMedium2" showFirstColumn="0" showLastColumn="0" showRowStripes="1" showColumnStripes="0"/>
</table>
</file>

<file path=xl/tables/table7.xml><?xml version="1.0" encoding="utf-8"?>
<table xmlns="http://schemas.openxmlformats.org/spreadsheetml/2006/main" id="7" name="IssuesData" displayName="IssuesData" ref="A6:H34" headerRowCount="1" totalsRowCount="0" totalsRowShown="0">
  <tableColumns count="8">
    <tableColumn id="1" name="Issue ID"/>
    <tableColumn id="2" name="Priority"/>
    <tableColumn id="3" name="Category"/>
    <tableColumn id="4" name="Affected records"/>
    <tableColumn id="5" name="Status"/>
    <tableColumn id="6" name="Required action"/>
    <tableColumn id="7" name="Counting / research effect"/>
    <tableColumn id="8" name="Source IDs"/>
  </tableColumns>
  <tableStyleInfo name="TableStyleMedium2" showFirstColumn="0" showLastColumn="0" showRowStripes="1" showColumnStripes="0"/>
</table>
</file>

<file path=xl/tables/table8.xml><?xml version="1.0" encoding="utf-8"?>
<table xmlns="http://schemas.openxmlformats.org/spreadsheetml/2006/main" id="8" name="BatchesData" displayName="BatchesData" ref="A6:H40" headerRowCount="1" totalsRowCount="0" totalsRowShown="0">
  <tableColumns count="8">
    <tableColumn id="1" name="Batch"/>
    <tableColumn id="2" name="First record"/>
    <tableColumn id="3" name="Last record"/>
    <tableColumn id="4" name="Candidate rows"/>
    <tableColumn id="5" name="Identification started"/>
    <tableColumn id="6" name="Areas in batch"/>
    <tableColumn id="7" name="Status"/>
    <tableColumn id="8" name="Next action"/>
  </tableColumns>
  <tableStyleInfo name="TableStyleMedium2" showFirstColumn="0" showLastColumn="0" showRowStripes="1" showColumnStripes="0"/>
</table>
</file>

<file path=xl/tables/table9.xml><?xml version="1.0" encoding="utf-8"?>
<table xmlns="http://schemas.openxmlformats.org/spreadsheetml/2006/main" id="9" name="DefinitionsData" displayName="DefinitionsData" ref="A6:B30" headerRowCount="1" totalsRowCount="0" totalsRowShown="0">
  <tableColumns count="2">
    <tableColumn id="1" name="Rule"/>
    <tableColumn id="2" name="Definition"/>
  </tableColumns>
  <tableStyleInfo name="TableStyleMedium2" showFirstColumn="0" showLastColumn="0" showRowStripes="1" showColumnStripes="0"/>
</table>
</file>

<file path=xl/tables/table10.xml><?xml version="1.0" encoding="utf-8"?>
<table xmlns="http://schemas.openxmlformats.org/spreadsheetml/2006/main" id="10" name="AuditFindingsData" displayName="AuditFindingsData" ref="A6:G23" headerRowCount="1" totalsRowCount="0" totalsRowShown="0">
  <tableColumns count="7">
    <tableColumn id="1" name="Audit ID"/>
    <tableColumn id="2" name="Check"/>
    <tableColumn id="3" name="Finding"/>
    <tableColumn id="4" name="Action / status"/>
    <tableColumn id="5" name="Source IDs"/>
    <tableColumn id="6" name="Source URLs"/>
    <tableColumn id="7" name="Residual limitation"/>
  </tableColumns>
  <tableStyleInfo name="TableStyleMedium2" showFirstColumn="0" showLastColumn="0" showRowStripes="1" showColumnStripes="0"/>
</table>
</file>

<file path=xl/tables/table11.xml><?xml version="1.0" encoding="utf-8"?>
<table xmlns="http://schemas.openxmlformats.org/spreadsheetml/2006/main" id="11" name="TSSComponentsData" displayName="TSSComponentsData" ref="A6:J107" headerRowCount="1" totalsRowCount="0" totalsRowShown="0">
  <tableColumns count="10">
    <tableColumn id="1" name="Component ID"/>
    <tableColumn id="2" name="Parent record ID"/>
    <tableColumn id="3" name="Authority label"/>
    <tableColumn id="4" name="Associated VTS"/>
    <tableColumn id="5" name="Associated reporting scheme"/>
    <tableColumn id="6" name="Evidence status"/>
    <tableColumn id="7" name="Counting treatment"/>
    <tableColumn id="8" name="Source IDs"/>
    <tableColumn id="9" name="Source URLs"/>
    <tableColumn id="10" name="Remaining checks"/>
  </tableColumns>
  <tableStyleInfo name="TableStyleMedium2" showFirstColumn="0" showLastColumn="0" showRowStripes="1" showColumnStripes="0"/>
</table>
</file>

<file path=xl/tables/table12.xml><?xml version="1.0" encoding="utf-8"?>
<table xmlns="http://schemas.openxmlformats.org/spreadsheetml/2006/main" id="12" name="IDCrosswalkData" displayName="IDCrosswalkData" ref="A6:E211" headerRowCount="1" totalsRowCount="0" totalsRowShown="0">
  <tableColumns count="5">
    <tableColumn id="1" name="Original release"/>
    <tableColumn id="2" name="Entity"/>
    <tableColumn id="3" name="Old ID"/>
    <tableColumn id="4" name="Canonical ID"/>
    <tableColumn id="5" name="Disposition"/>
  </tableColumns>
  <tableStyleInfo name="TableStyleMedium2" showFirstColumn="0" showLastColumn="0" showRowStripes="1" showColumnStripes="0"/>
</table>
</file>

<file path=xl/tables/table13.xml><?xml version="1.0" encoding="utf-8"?>
<table xmlns="http://schemas.openxmlformats.org/spreadsheetml/2006/main" id="13" name="LegacyLinksData" displayName="LegacyLinksData" ref="A6:K71" headerRowCount="1" totalsRowCount="0" totalsRowShown="0">
  <tableColumns count="11">
    <tableColumn id="1" name="Legacy link ID"/>
    <tableColumn id="2" name="Original from"/>
    <tableColumn id="3" name="Original to"/>
    <tableColumn id="4" name="Canonical from"/>
    <tableColumn id="5" name="Canonical to"/>
    <tableColumn id="6" name="Disposition"/>
    <tableColumn id="7" name="Current link ID"/>
    <tableColumn id="8" name="Current evidence status"/>
    <tableColumn id="9" name="Legacy source IDs"/>
    <tableColumn id="10" name="Legacy source URLs"/>
    <tableColumn id="11" name="Reconciliation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cols>
    <col width="12" customWidth="1" style="63" min="1" max="1"/>
    <col width="12" customWidth="1" style="63" min="2" max="2"/>
    <col width="12" customWidth="1" style="63" min="3" max="3"/>
    <col width="12" customWidth="1" style="63" min="4" max="4"/>
    <col width="12" customWidth="1" style="63" min="5" max="5"/>
    <col width="12" customWidth="1" style="63" min="6" max="6"/>
    <col width="12" customWidth="1" style="63" min="7" max="7"/>
    <col width="12" customWidth="1" style="63" min="8" max="8"/>
    <col width="12" customWidth="1" style="63" min="9" max="9"/>
    <col width="12" customWidth="1" style="63" min="10" max="10"/>
    <col width="12" customWidth="1" style="63" min="11" max="11"/>
    <col width="12" customWidth="1" style="63" min="12" max="12"/>
  </cols>
  <sheetData>
    <row r="1" ht="21" customHeight="1" s="63">
      <c r="A1" s="128" t="inlineStr">
        <is>
          <t>GLOBAL VTS | INVENTORY v0.3</t>
        </is>
      </c>
      <c r="B1" s="1" t="n"/>
      <c r="C1" s="1" t="n"/>
      <c r="D1" s="1" t="n"/>
      <c r="E1" s="1" t="n"/>
      <c r="F1" s="1" t="n"/>
      <c r="G1" s="1" t="n"/>
      <c r="H1" s="1" t="n"/>
      <c r="I1" s="1" t="n"/>
      <c r="J1" s="1" t="n"/>
      <c r="K1" s="1" t="n"/>
      <c r="L1" s="1" t="n"/>
    </row>
    <row r="2" ht="21" customHeight="1" s="63">
      <c r="A2" s="1" t="n"/>
      <c r="B2" s="1" t="n"/>
      <c r="C2" s="1" t="n"/>
      <c r="D2" s="1" t="n"/>
      <c r="E2" s="1" t="n"/>
      <c r="F2" s="1" t="n"/>
      <c r="G2" s="1" t="n"/>
      <c r="H2" s="1" t="n"/>
      <c r="I2" s="1" t="n"/>
      <c r="J2" s="1" t="n"/>
      <c r="K2" s="1" t="n"/>
      <c r="L2" s="1" t="n"/>
    </row>
    <row r="3" ht="21" customHeight="1" s="63">
      <c r="A3" s="129" t="inlineStr">
        <is>
          <t>Version 0.3 | 29 September 2026 | Supersedes both v0.1 workbooks. Research counts, not a verified worldwide census.</t>
        </is>
      </c>
      <c r="B3" s="1" t="n"/>
      <c r="C3" s="1" t="n"/>
      <c r="D3" s="1" t="n"/>
      <c r="E3" s="1" t="n"/>
      <c r="F3" s="1" t="n"/>
      <c r="G3" s="1" t="n"/>
      <c r="H3" s="1" t="n"/>
      <c r="I3" s="1" t="n"/>
      <c r="J3" s="1" t="n"/>
      <c r="K3" s="1" t="n"/>
      <c r="L3" s="1" t="n"/>
    </row>
    <row r="4" ht="21" customHeight="1" s="63">
      <c r="A4" s="1" t="n"/>
      <c r="B4" s="1" t="n"/>
      <c r="C4" s="1" t="n"/>
      <c r="D4" s="1" t="n"/>
      <c r="E4" s="1" t="n"/>
      <c r="F4" s="1" t="n"/>
      <c r="G4" s="1" t="n"/>
      <c r="H4" s="1" t="n"/>
      <c r="I4" s="1" t="n"/>
      <c r="J4" s="1" t="n"/>
      <c r="K4" s="1" t="n"/>
      <c r="L4" s="1" t="n"/>
    </row>
    <row r="5" ht="21" customHeight="1" s="63">
      <c r="A5" s="93" t="n"/>
      <c r="B5" s="93" t="n"/>
      <c r="C5" s="93" t="n"/>
      <c r="D5" s="93" t="n"/>
      <c r="E5" s="93" t="n"/>
      <c r="F5" s="93" t="n"/>
      <c r="G5" s="93" t="n"/>
      <c r="H5" s="93" t="n"/>
      <c r="I5" s="93" t="n"/>
      <c r="J5" s="93" t="n"/>
      <c r="K5" s="93" t="n"/>
      <c r="L5" s="93" t="n"/>
    </row>
    <row r="6" ht="28" customHeight="1" s="63">
      <c r="A6" s="130" t="inlineStr">
        <is>
          <t>TSS SOURCE ENTRIES</t>
        </is>
      </c>
      <c r="B6" s="1" t="n"/>
      <c r="C6" s="1" t="n"/>
      <c r="D6" s="1" t="n"/>
      <c r="E6" s="130" t="inlineStr">
        <is>
          <t>VTS SERVICE RECORDS</t>
        </is>
      </c>
      <c r="F6" s="1" t="n"/>
      <c r="G6" s="1" t="n"/>
      <c r="H6" s="1" t="n"/>
      <c r="I6" s="130" t="inlineStr">
        <is>
          <t>REPORTING SCHEME RECORDS</t>
        </is>
      </c>
      <c r="J6" s="1" t="n"/>
      <c r="K6" s="1" t="n"/>
      <c r="L6" s="1" t="n"/>
    </row>
    <row r="7" ht="21" customHeight="1" s="63">
      <c r="A7" s="131">
        <f>COUNTA('TSS Candidates'!A7:A176)</f>
        <v/>
      </c>
      <c r="B7" s="1" t="n"/>
      <c r="C7" s="1" t="n"/>
      <c r="D7" s="1" t="n"/>
      <c r="E7" s="131">
        <f>COUNTA('VTS Services'!A7:A63)</f>
        <v/>
      </c>
      <c r="F7" s="1" t="n"/>
      <c r="G7" s="1" t="n"/>
      <c r="H7" s="1" t="n"/>
      <c r="I7" s="131">
        <f>COUNTA('Reporting Schemes'!A7:A33)</f>
        <v/>
      </c>
      <c r="J7" s="1" t="n"/>
      <c r="K7" s="1" t="n"/>
      <c r="L7" s="1" t="n"/>
    </row>
    <row r="8" ht="21" customHeight="1" s="63">
      <c r="A8" s="1" t="n"/>
      <c r="D8" s="1" t="n"/>
      <c r="E8" s="1" t="n"/>
      <c r="H8" s="1" t="n"/>
      <c r="I8" s="1" t="n"/>
      <c r="L8" s="1" t="n"/>
    </row>
    <row r="9" ht="21" customHeight="1" s="63">
      <c r="A9" s="1" t="n"/>
      <c r="B9" s="1" t="n"/>
      <c r="C9" s="1" t="n"/>
      <c r="D9" s="1" t="n"/>
      <c r="E9" s="1" t="n"/>
      <c r="F9" s="1" t="n"/>
      <c r="G9" s="1" t="n"/>
      <c r="H9" s="1" t="n"/>
      <c r="I9" s="1" t="n"/>
      <c r="J9" s="1" t="n"/>
      <c r="K9" s="1" t="n"/>
      <c r="L9" s="1" t="n"/>
    </row>
    <row r="10" ht="21" customHeight="1" s="63">
      <c r="A10" s="93" t="n"/>
      <c r="B10" s="93" t="n"/>
      <c r="C10" s="93" t="n"/>
      <c r="D10" s="93" t="n"/>
      <c r="E10" s="93" t="n"/>
      <c r="F10" s="93" t="n"/>
      <c r="G10" s="93" t="n"/>
      <c r="H10" s="93" t="n"/>
      <c r="I10" s="93" t="n"/>
      <c r="J10" s="93" t="n"/>
      <c r="K10" s="93" t="n"/>
      <c r="L10" s="93" t="n"/>
    </row>
    <row r="11" ht="21" customHeight="1" s="63">
      <c r="A11" s="132" t="inlineStr">
        <is>
          <t>DO NOT USE 170 AS THE WORLDWIDE TSS OR VTS TOTAL.
The official baseline and later amendments remain unreconciled. Component, area and publication counts are still undetermined.</t>
        </is>
      </c>
      <c r="B11" s="1" t="n"/>
      <c r="C11" s="1" t="n"/>
      <c r="D11" s="1" t="n"/>
      <c r="E11" s="1" t="n"/>
      <c r="F11" s="1" t="n"/>
      <c r="G11" s="1" t="n"/>
      <c r="H11" s="1" t="n"/>
      <c r="I11" s="1" t="n"/>
      <c r="J11" s="1" t="n"/>
      <c r="K11" s="1" t="n"/>
      <c r="L11" s="1" t="n"/>
    </row>
    <row r="12" ht="21" customHeight="1" s="63">
      <c r="A12" s="1" t="n"/>
      <c r="L12" s="1" t="n"/>
    </row>
    <row r="13" ht="21" customHeight="1" s="63">
      <c r="A13" s="1" t="n"/>
      <c r="B13" s="1" t="n"/>
      <c r="C13" s="1" t="n"/>
      <c r="D13" s="1" t="n"/>
      <c r="E13" s="1" t="n"/>
      <c r="F13" s="1" t="n"/>
      <c r="G13" s="1" t="n"/>
      <c r="H13" s="1" t="n"/>
      <c r="I13" s="1" t="n"/>
      <c r="J13" s="1" t="n"/>
      <c r="K13" s="1" t="n"/>
      <c r="L13" s="1" t="n"/>
    </row>
    <row r="14" ht="21" customHeight="1" s="63">
      <c r="A14" s="93" t="n"/>
      <c r="B14" s="93" t="n"/>
      <c r="C14" s="93" t="n"/>
      <c r="D14" s="93" t="n"/>
      <c r="E14" s="93" t="n"/>
      <c r="F14" s="93" t="n"/>
      <c r="G14" s="93" t="n"/>
      <c r="H14" s="93" t="n"/>
      <c r="I14" s="93" t="n"/>
      <c r="J14" s="93" t="n"/>
      <c r="K14" s="93" t="n"/>
      <c r="L14" s="93" t="n"/>
    </row>
    <row r="15" ht="21" customHeight="1" s="63">
      <c r="A15" s="133" t="inlineStr">
        <is>
          <t>RESEARCH PROGRESS</t>
        </is>
      </c>
      <c r="B15" s="1" t="n"/>
      <c r="C15" s="1" t="n"/>
      <c r="D15" s="1" t="n"/>
      <c r="E15" s="1" t="n"/>
      <c r="F15" s="1" t="n"/>
      <c r="G15" s="1" t="n"/>
      <c r="H15" s="93" t="n"/>
      <c r="I15" s="133" t="inlineStr">
        <is>
          <t>COUNTING CHECKS</t>
        </is>
      </c>
      <c r="J15" s="1" t="n"/>
      <c r="K15" s="1" t="n"/>
      <c r="L15" s="1" t="n"/>
    </row>
    <row r="16" ht="26" customHeight="1" s="63">
      <c r="A16" s="134" t="inlineStr">
        <is>
          <t>Identification screening started</t>
        </is>
      </c>
      <c r="B16" s="1" t="n"/>
      <c r="C16" s="1" t="n"/>
      <c r="D16" s="1" t="n"/>
      <c r="E16" s="1" t="n"/>
      <c r="F16" s="1" t="n"/>
      <c r="G16" s="118">
        <f>COUNTA('TSS Candidates'!A7:A176)-COUNTIF('TSS Candidates'!R7:R176,"Candidate recorded")</f>
        <v/>
      </c>
      <c r="H16" s="93" t="n"/>
      <c r="I16" s="135" t="inlineStr">
        <is>
          <t>Mandatory schemes</t>
        </is>
      </c>
      <c r="J16" s="1" t="n"/>
      <c r="K16" s="1" t="n"/>
      <c r="L16" s="122">
        <f>COUNTIF('Reporting Schemes'!D7:D33,"Mandatory for applicable vessels")</f>
        <v/>
      </c>
    </row>
    <row r="17" ht="26" customHeight="1" s="63">
      <c r="A17" s="134" t="inlineStr">
        <is>
          <t>Initial named associations evidenced</t>
        </is>
      </c>
      <c r="B17" s="1" t="n"/>
      <c r="C17" s="1" t="n"/>
      <c r="D17" s="1" t="n"/>
      <c r="E17" s="1" t="n"/>
      <c r="F17" s="1" t="n"/>
      <c r="G17" s="118">
        <f>COUNTIF('TSS Candidates'!R7:R176,"Initial association evidenced")</f>
        <v/>
      </c>
      <c r="H17" s="93" t="n"/>
      <c r="I17" s="135" t="inlineStr">
        <is>
          <t>Voluntary schemes</t>
        </is>
      </c>
      <c r="J17" s="1" t="n"/>
      <c r="K17" s="1" t="n"/>
      <c r="L17" s="122">
        <f>COUNTIF('Reporting Schemes'!D7:D33,"Voluntary")</f>
        <v/>
      </c>
    </row>
    <row r="18" ht="26" customHeight="1" s="63">
      <c r="A18" s="134" t="inlineStr">
        <is>
          <t>Source records not yet screened</t>
        </is>
      </c>
      <c r="B18" s="1" t="n"/>
      <c r="C18" s="1" t="n"/>
      <c r="D18" s="1" t="n"/>
      <c r="E18" s="1" t="n"/>
      <c r="F18" s="1" t="n"/>
      <c r="G18" s="118">
        <f>COUNTIF('TSS Candidates'!R7:R176,"Candidate recorded")</f>
        <v/>
      </c>
      <c r="H18" s="93" t="n"/>
      <c r="I18" s="135" t="inlineStr">
        <is>
          <t>Non-additive TSS children</t>
        </is>
      </c>
      <c r="J18" s="1" t="n"/>
      <c r="K18" s="1" t="n"/>
      <c r="L18" s="122">
        <f>COUNTA('TSS Components'!A7:A107)</f>
        <v/>
      </c>
    </row>
    <row r="19" ht="26" customHeight="1" s="63">
      <c r="A19" s="134" t="inlineStr">
        <is>
          <t>Fully audited operational records</t>
        </is>
      </c>
      <c r="B19" s="1" t="n"/>
      <c r="C19" s="1" t="n"/>
      <c r="D19" s="1" t="n"/>
      <c r="E19" s="1" t="n"/>
      <c r="F19" s="1" t="n"/>
      <c r="G19" s="118">
        <f>COUNTIF('TSS Candidates'!R7:R176,"Fully audited")</f>
        <v/>
      </c>
      <c r="H19" s="93" t="n"/>
      <c r="I19" s="93" t="n"/>
      <c r="J19" s="93" t="n"/>
      <c r="K19" s="93" t="n"/>
      <c r="L19" s="93" t="n"/>
    </row>
    <row r="20" ht="26" customHeight="1" s="63">
      <c r="A20" s="134" t="inlineStr">
        <is>
          <t>Five-record research batches</t>
        </is>
      </c>
      <c r="B20" s="1" t="n"/>
      <c r="C20" s="1" t="n"/>
      <c r="D20" s="1" t="n"/>
      <c r="E20" s="1" t="n"/>
      <c r="F20" s="1" t="n"/>
      <c r="G20" s="118">
        <f>COUNTA('Batches'!A7:A40)</f>
        <v/>
      </c>
      <c r="H20" s="93" t="n"/>
      <c r="I20" s="136" t="inlineStr">
        <is>
          <t>NOT YET DETERMINED
Worldwide TSS total
Distinct VTS areas
Guide entries and pages</t>
        </is>
      </c>
      <c r="J20" s="1" t="n"/>
      <c r="K20" s="1" t="n"/>
      <c r="L20" s="1" t="n"/>
    </row>
    <row r="21" ht="26" customHeight="1" s="63">
      <c r="A21" s="134" t="inlineStr">
        <is>
          <t>Open research issues</t>
        </is>
      </c>
      <c r="B21" s="1" t="n"/>
      <c r="C21" s="1" t="n"/>
      <c r="D21" s="1" t="n"/>
      <c r="E21" s="1" t="n"/>
      <c r="F21" s="1" t="n"/>
      <c r="G21" s="118">
        <f>COUNTIF('Issues'!E7:E34,"Open")</f>
        <v/>
      </c>
      <c r="H21" s="93" t="n"/>
      <c r="I21" s="1" t="n"/>
      <c r="L21" s="1" t="n"/>
    </row>
    <row r="22" ht="26" customHeight="1" s="63">
      <c r="A22" s="134" t="inlineStr">
        <is>
          <t>Sources and source leads</t>
        </is>
      </c>
      <c r="B22" s="1" t="n"/>
      <c r="C22" s="1" t="n"/>
      <c r="D22" s="1" t="n"/>
      <c r="E22" s="1" t="n"/>
      <c r="F22" s="1" t="n"/>
      <c r="G22" s="118">
        <f>COUNTA('Sources'!A7:A142)</f>
        <v/>
      </c>
      <c r="H22" s="93" t="n"/>
      <c r="I22" s="1" t="n"/>
      <c r="L22" s="1" t="n"/>
    </row>
    <row r="23" ht="21" customHeight="1" s="63">
      <c r="A23" s="93" t="n"/>
      <c r="B23" s="93" t="n"/>
      <c r="C23" s="93" t="n"/>
      <c r="D23" s="93" t="n"/>
      <c r="E23" s="93" t="n"/>
      <c r="F23" s="93" t="n"/>
      <c r="G23" s="93" t="n"/>
      <c r="H23" s="93" t="n"/>
      <c r="I23" s="1" t="n"/>
      <c r="J23" s="1" t="n"/>
      <c r="K23" s="1" t="n"/>
      <c r="L23" s="1" t="n"/>
    </row>
    <row r="24" ht="21" customHeight="1" s="63">
      <c r="A24" s="93" t="n"/>
      <c r="B24" s="93" t="n"/>
      <c r="C24" s="93" t="n"/>
      <c r="D24" s="93" t="n"/>
      <c r="E24" s="93" t="n"/>
      <c r="F24" s="93" t="n"/>
      <c r="G24" s="93" t="n"/>
      <c r="H24" s="93" t="n"/>
      <c r="I24" s="93" t="n"/>
      <c r="J24" s="93" t="n"/>
      <c r="K24" s="93" t="n"/>
      <c r="L24" s="93" t="n"/>
    </row>
    <row r="25" ht="21" customHeight="1" s="63">
      <c r="A25" s="133" t="inlineStr">
        <is>
          <t>AUDIT OUTCOME AND LIMITS</t>
        </is>
      </c>
      <c r="B25" s="1" t="n"/>
      <c r="C25" s="1" t="n"/>
      <c r="D25" s="1" t="n"/>
      <c r="E25" s="1" t="n"/>
      <c r="F25" s="1" t="n"/>
      <c r="G25" s="1" t="n"/>
      <c r="H25" s="1" t="n"/>
      <c r="I25" s="1" t="n"/>
      <c r="J25" s="1" t="n"/>
      <c r="K25" s="1" t="n"/>
      <c r="L25" s="1" t="n"/>
    </row>
    <row r="26" ht="21" customHeight="1" s="63">
      <c r="A26" s="93" t="n"/>
      <c r="B26" s="93" t="n"/>
      <c r="C26" s="93" t="n"/>
      <c r="D26" s="93" t="n"/>
      <c r="E26" s="93" t="n"/>
      <c r="F26" s="93" t="n"/>
      <c r="G26" s="93" t="n"/>
      <c r="H26" s="93" t="n"/>
      <c r="I26" s="93" t="n"/>
      <c r="J26" s="93" t="n"/>
      <c r="K26" s="93" t="n"/>
      <c r="L26" s="93" t="n"/>
    </row>
    <row r="27" ht="21" customHeight="1" s="63">
      <c r="A27" s="135" t="inlineStr">
        <is>
          <t>v0.3 adds first-pass Stage 4 research for B10 to B34 (125 source rows): TSS identity, VTS and mandatory reporting findings, with primary sources.</t>
        </is>
      </c>
      <c r="B27" s="1" t="n"/>
      <c r="C27" s="1" t="n"/>
      <c r="D27" s="1" t="n"/>
      <c r="E27" s="1" t="n"/>
      <c r="F27" s="1" t="n"/>
      <c r="G27" s="1" t="n"/>
      <c r="H27" s="1" t="n"/>
      <c r="I27" s="1" t="n"/>
      <c r="J27" s="1" t="n"/>
      <c r="K27" s="1" t="n"/>
      <c r="L27" s="1" t="n"/>
    </row>
    <row r="28" ht="21" customHeight="1" s="63">
      <c r="A28" s="1" t="n"/>
      <c r="B28" s="1" t="n"/>
      <c r="C28" s="1" t="n"/>
      <c r="D28" s="1" t="n"/>
      <c r="E28" s="1" t="n"/>
      <c r="F28" s="1" t="n"/>
      <c r="G28" s="1" t="n"/>
      <c r="H28" s="1" t="n"/>
      <c r="I28" s="1" t="n"/>
      <c r="J28" s="1" t="n"/>
      <c r="K28" s="1" t="n"/>
      <c r="L28" s="1" t="n"/>
    </row>
    <row r="29" ht="21" customHeight="1" s="63">
      <c r="A29" s="135" t="inlineStr">
        <is>
          <t>Merge audit downgraded one VTS finding and three 'Confirmed absent' findings, and reclassified VTS and port reporting duties under their services. See Stage 4 Findings and research/stage4/merge_log.md.</t>
        </is>
      </c>
      <c r="B29" s="1" t="n"/>
      <c r="C29" s="1" t="n"/>
      <c r="D29" s="1" t="n"/>
      <c r="E29" s="1" t="n"/>
      <c r="F29" s="1" t="n"/>
      <c r="G29" s="1" t="n"/>
      <c r="H29" s="1" t="n"/>
      <c r="I29" s="1" t="n"/>
      <c r="J29" s="1" t="n"/>
      <c r="K29" s="1" t="n"/>
      <c r="L29" s="1" t="n"/>
    </row>
    <row r="30" ht="21" customHeight="1" s="63">
      <c r="A30" s="1" t="n"/>
      <c r="B30" s="1" t="n"/>
      <c r="C30" s="1" t="n"/>
      <c r="D30" s="1" t="n"/>
      <c r="E30" s="1" t="n"/>
      <c r="F30" s="1" t="n"/>
      <c r="G30" s="1" t="n"/>
      <c r="H30" s="1" t="n"/>
      <c r="I30" s="1" t="n"/>
      <c r="J30" s="1" t="n"/>
      <c r="K30" s="1" t="n"/>
      <c r="L30" s="1" t="n"/>
    </row>
    <row r="31" ht="21" customHeight="1" s="63">
      <c r="A31" s="135" t="inlineStr">
        <is>
          <t>Services and schemes marked Lead only are research leads and are excluded from counted totals. Unresolved never means absent.</t>
        </is>
      </c>
      <c r="B31" s="1" t="n"/>
      <c r="C31" s="1" t="n"/>
      <c r="D31" s="1" t="n"/>
      <c r="E31" s="1" t="n"/>
      <c r="F31" s="1" t="n"/>
      <c r="G31" s="1" t="n"/>
      <c r="H31" s="1" t="n"/>
      <c r="I31" s="1" t="n"/>
      <c r="J31" s="1" t="n"/>
      <c r="K31" s="1" t="n"/>
      <c r="L31" s="1" t="n"/>
    </row>
    <row r="32" ht="21" customHeight="1" s="63">
      <c r="A32" s="1" t="n"/>
      <c r="B32" s="1" t="n"/>
      <c r="C32" s="1" t="n"/>
      <c r="D32" s="1" t="n"/>
      <c r="E32" s="1" t="n"/>
      <c r="F32" s="1" t="n"/>
      <c r="G32" s="1" t="n"/>
      <c r="H32" s="1" t="n"/>
      <c r="I32" s="1" t="n"/>
      <c r="J32" s="1" t="n"/>
      <c r="K32" s="1" t="n"/>
      <c r="L32" s="1" t="n"/>
    </row>
    <row r="33" ht="21" customHeight="1" s="63">
      <c r="A33" s="135" t="inlineStr">
        <is>
          <t>B01 to B09 remain at v0.2 screening level. The official baseline (Ships' Routeing 2025, UKHO Notice 17) is still unreconciled.</t>
        </is>
      </c>
      <c r="B33" s="1" t="n"/>
      <c r="C33" s="1" t="n"/>
      <c r="D33" s="1" t="n"/>
      <c r="E33" s="1" t="n"/>
      <c r="F33" s="1" t="n"/>
      <c r="G33" s="1" t="n"/>
      <c r="H33" s="1" t="n"/>
      <c r="I33" s="1" t="n"/>
      <c r="J33" s="1" t="n"/>
      <c r="K33" s="1" t="n"/>
      <c r="L33" s="1" t="n"/>
    </row>
    <row r="34" ht="21" customHeight="1" s="63">
      <c r="A34" s="1" t="n"/>
      <c r="B34" s="1" t="n"/>
      <c r="C34" s="1" t="n"/>
      <c r="D34" s="1" t="n"/>
      <c r="E34" s="1" t="n"/>
      <c r="F34" s="1" t="n"/>
      <c r="G34" s="1" t="n"/>
      <c r="H34" s="1" t="n"/>
      <c r="I34" s="1" t="n"/>
      <c r="J34" s="1" t="n"/>
      <c r="K34" s="1" t="n"/>
      <c r="L34" s="1" t="n"/>
    </row>
    <row r="35" ht="21" customHeight="1" s="63">
      <c r="A35" s="135" t="inlineStr">
        <is>
          <t>Use Audit Findings for corrections, ID Crosswalk for old identifiers, and Legacy Links for the earlier relationship assertions.</t>
        </is>
      </c>
      <c r="B35" s="1" t="n"/>
      <c r="C35" s="1" t="n"/>
      <c r="D35" s="1" t="n"/>
      <c r="E35" s="1" t="n"/>
      <c r="F35" s="1" t="n"/>
      <c r="G35" s="1" t="n"/>
      <c r="H35" s="1" t="n"/>
      <c r="I35" s="1" t="n"/>
      <c r="J35" s="1" t="n"/>
      <c r="K35" s="1" t="n"/>
      <c r="L35" s="1" t="n"/>
    </row>
    <row r="36" ht="21" customHeight="1" s="63">
      <c r="A36" s="1" t="n"/>
      <c r="B36" s="1" t="n"/>
      <c r="C36" s="1" t="n"/>
      <c r="D36" s="1" t="n"/>
      <c r="E36" s="1" t="n"/>
      <c r="F36" s="1" t="n"/>
      <c r="G36" s="1" t="n"/>
      <c r="H36" s="1" t="n"/>
      <c r="I36" s="1" t="n"/>
      <c r="J36" s="1" t="n"/>
      <c r="K36" s="1" t="n"/>
      <c r="L36" s="1" t="n"/>
    </row>
    <row r="37" ht="21" customHeight="1" s="63">
      <c r="A37" s="137" t="inlineStr">
        <is>
          <t>RESEARCH ONLY. No operational channels, reporting lines, coordinates or passage instructions are authorised by this workbook.</t>
        </is>
      </c>
      <c r="B37" s="1" t="n"/>
      <c r="C37" s="1" t="n"/>
      <c r="D37" s="1" t="n"/>
      <c r="E37" s="1" t="n"/>
      <c r="F37" s="1" t="n"/>
      <c r="G37" s="1" t="n"/>
      <c r="H37" s="1" t="n"/>
      <c r="I37" s="1" t="n"/>
      <c r="J37" s="1" t="n"/>
      <c r="K37" s="1" t="n"/>
      <c r="L37" s="1" t="n"/>
    </row>
    <row r="38" ht="21" customHeight="1" s="63">
      <c r="A38" s="1" t="n"/>
      <c r="B38" s="1" t="n"/>
      <c r="C38" s="1" t="n"/>
      <c r="D38" s="1" t="n"/>
      <c r="E38" s="1" t="n"/>
      <c r="F38" s="1" t="n"/>
      <c r="G38" s="1" t="n"/>
      <c r="H38" s="1" t="n"/>
      <c r="I38" s="1" t="n"/>
      <c r="J38" s="1" t="n"/>
      <c r="K38" s="1" t="n"/>
      <c r="L38" s="1" t="n"/>
    </row>
    <row r="39" ht="21" customHeight="1" s="63">
      <c r="A39" s="93" t="n"/>
      <c r="B39" s="93" t="n"/>
      <c r="C39" s="93" t="n"/>
      <c r="D39" s="93" t="n"/>
      <c r="E39" s="93" t="n"/>
      <c r="F39" s="93" t="n"/>
      <c r="G39" s="93" t="n"/>
      <c r="H39" s="93" t="n"/>
      <c r="I39" s="93" t="n"/>
      <c r="J39" s="93" t="n"/>
      <c r="K39" s="93" t="n"/>
      <c r="L39" s="93" t="n"/>
    </row>
    <row r="40" ht="21" customHeight="1" s="63">
      <c r="A40" s="133" t="inlineStr">
        <is>
          <t>STAGE 4 FIRST PASS: B10 TO B34</t>
        </is>
      </c>
      <c r="B40" s="93" t="n"/>
      <c r="C40" s="93" t="n"/>
      <c r="D40" s="93" t="n"/>
      <c r="E40" s="93" t="n"/>
      <c r="F40" s="93" t="n"/>
      <c r="G40" s="93" t="n"/>
      <c r="H40" s="93" t="n"/>
      <c r="I40" s="93" t="n"/>
      <c r="J40" s="93" t="n"/>
      <c r="K40" s="93" t="n"/>
      <c r="L40" s="93" t="n"/>
    </row>
    <row r="41" ht="21" customHeight="1" s="63">
      <c r="A41" s="134" t="inlineStr">
        <is>
          <t>Records researched</t>
        </is>
      </c>
      <c r="B41" s="93" t="n"/>
      <c r="C41" s="93" t="n"/>
      <c r="D41" s="93" t="n"/>
      <c r="E41" s="93" t="n"/>
      <c r="F41" s="93" t="n"/>
      <c r="G41" s="118">
        <f>COUNTA('Stage 4 Findings'!A7:A131)</f>
        <v/>
      </c>
      <c r="H41" s="93" t="n"/>
      <c r="I41" s="93" t="n"/>
      <c r="J41" s="93" t="n"/>
      <c r="K41" s="93" t="n"/>
      <c r="L41" s="93" t="n"/>
    </row>
    <row r="42" ht="21" customHeight="1" s="63">
      <c r="A42" s="134" t="inlineStr">
        <is>
          <t>TSS identity confirmed</t>
        </is>
      </c>
      <c r="B42" s="93" t="n"/>
      <c r="C42" s="93" t="n"/>
      <c r="D42" s="93" t="n"/>
      <c r="E42" s="93" t="n"/>
      <c r="F42" s="93" t="n"/>
      <c r="G42" s="118">
        <f>COUNTIF('Stage 4 Findings'!G7:G131,"Confirmed")</f>
        <v/>
      </c>
      <c r="H42" s="93" t="n"/>
      <c r="I42" s="93" t="n"/>
      <c r="J42" s="93" t="n"/>
      <c r="K42" s="93" t="n"/>
      <c r="L42" s="93" t="n"/>
    </row>
    <row r="43" ht="21" customHeight="1" s="63">
      <c r="A43" s="134" t="inlineStr">
        <is>
          <t>VTS: confirmed present</t>
        </is>
      </c>
      <c r="B43" s="93" t="n"/>
      <c r="C43" s="93" t="n"/>
      <c r="D43" s="93" t="n"/>
      <c r="E43" s="93" t="n"/>
      <c r="F43" s="93" t="n"/>
      <c r="G43" s="118">
        <f>COUNTIF('Stage 4 Findings'!K7:K131,"Confirmed present")</f>
        <v/>
      </c>
      <c r="H43" s="93" t="n"/>
      <c r="I43" s="93" t="n"/>
      <c r="J43" s="93" t="n"/>
      <c r="K43" s="93" t="n"/>
      <c r="L43" s="93" t="n"/>
    </row>
    <row r="44" ht="21" customHeight="1" s="63">
      <c r="A44" s="134" t="inlineStr">
        <is>
          <t>VTS: unresolved</t>
        </is>
      </c>
      <c r="B44" s="93" t="n"/>
      <c r="C44" s="93" t="n"/>
      <c r="D44" s="93" t="n"/>
      <c r="E44" s="93" t="n"/>
      <c r="F44" s="93" t="n"/>
      <c r="G44" s="118">
        <f>COUNTIF('Stage 4 Findings'!K7:K131,"Unresolved")</f>
        <v/>
      </c>
      <c r="H44" s="93" t="n"/>
      <c r="I44" s="93" t="n"/>
      <c r="J44" s="93" t="n"/>
      <c r="K44" s="93" t="n"/>
      <c r="L44" s="93" t="n"/>
    </row>
    <row r="45" ht="21" customHeight="1" s="63">
      <c r="A45" s="134" t="inlineStr">
        <is>
          <t>VTS: confirmed absent</t>
        </is>
      </c>
      <c r="B45" s="93" t="n"/>
      <c r="C45" s="93" t="n"/>
      <c r="D45" s="93" t="n"/>
      <c r="E45" s="93" t="n"/>
      <c r="F45" s="93" t="n"/>
      <c r="G45" s="118">
        <f>COUNTIF('Stage 4 Findings'!K7:K131,"Confirmed absent")</f>
        <v/>
      </c>
      <c r="H45" s="93" t="n"/>
      <c r="I45" s="93" t="n"/>
      <c r="J45" s="93" t="n"/>
      <c r="K45" s="93" t="n"/>
      <c r="L45" s="93" t="n"/>
    </row>
    <row r="46" ht="21" customHeight="1" s="63">
      <c r="A46" s="134" t="inlineStr">
        <is>
          <t>Mandatory reporting: confirmed present</t>
        </is>
      </c>
      <c r="B46" s="93" t="n"/>
      <c r="C46" s="93" t="n"/>
      <c r="D46" s="93" t="n"/>
      <c r="E46" s="93" t="n"/>
      <c r="F46" s="93" t="n"/>
      <c r="G46" s="118">
        <f>COUNTIF('Stage 4 Findings'!N7:N131,"Confirmed present")</f>
        <v/>
      </c>
      <c r="H46" s="93" t="n"/>
      <c r="I46" s="93" t="n"/>
      <c r="J46" s="93" t="n"/>
      <c r="K46" s="93" t="n"/>
      <c r="L46" s="93" t="n"/>
    </row>
    <row r="47" ht="21" customHeight="1" s="63">
      <c r="A47" s="134" t="inlineStr">
        <is>
          <t>Mandatory reporting: unresolved</t>
        </is>
      </c>
      <c r="B47" s="93" t="n"/>
      <c r="C47" s="93" t="n"/>
      <c r="D47" s="93" t="n"/>
      <c r="E47" s="93" t="n"/>
      <c r="F47" s="93" t="n"/>
      <c r="G47" s="118">
        <f>COUNTIF('Stage 4 Findings'!N7:N131,"Unresolved")</f>
        <v/>
      </c>
      <c r="H47" s="93" t="n"/>
      <c r="I47" s="93" t="n"/>
      <c r="J47" s="93" t="n"/>
      <c r="K47" s="93" t="n"/>
      <c r="L47" s="93" t="n"/>
    </row>
    <row r="48" ht="21" customHeight="1" s="63">
      <c r="A48" s="134" t="inlineStr">
        <is>
          <t>Mandatory reporting: confirmed absent</t>
        </is>
      </c>
      <c r="B48" s="93" t="n"/>
      <c r="C48" s="93" t="n"/>
      <c r="D48" s="93" t="n"/>
      <c r="E48" s="93" t="n"/>
      <c r="F48" s="93" t="n"/>
      <c r="G48" s="118">
        <f>COUNTIF('Stage 4 Findings'!N7:N131,"Confirmed absent")</f>
        <v/>
      </c>
      <c r="H48" s="93" t="n"/>
      <c r="I48" s="93" t="n"/>
      <c r="J48" s="93" t="n"/>
      <c r="K48" s="93" t="n"/>
      <c r="L48" s="93" t="n"/>
    </row>
    <row r="49" ht="21" customHeight="1" s="63">
      <c r="A49" s="134" t="inlineStr">
        <is>
          <t>Withdrawn or superseded</t>
        </is>
      </c>
      <c r="B49" s="93" t="n"/>
      <c r="C49" s="93" t="n"/>
      <c r="D49" s="93" t="n"/>
      <c r="E49" s="93" t="n"/>
      <c r="F49" s="93" t="n"/>
      <c r="G49" s="118">
        <f>COUNTIF('Stage 4 Findings'!I7:I131,"Withdrawn/superseded")</f>
        <v/>
      </c>
      <c r="H49" s="93" t="n"/>
      <c r="I49" s="93" t="n"/>
      <c r="J49" s="93" t="n"/>
      <c r="K49" s="93" t="n"/>
      <c r="L49" s="93" t="n"/>
    </row>
    <row r="50" ht="21" customHeight="1" s="63">
      <c r="A50" s="134" t="inlineStr">
        <is>
          <t>Counted VTS services in register (excludes leads)</t>
        </is>
      </c>
      <c r="B50" s="93" t="n"/>
      <c r="C50" s="93" t="n"/>
      <c r="D50" s="93" t="n"/>
      <c r="E50" s="93" t="n"/>
      <c r="F50" s="93" t="n"/>
      <c r="G50" s="118">
        <f>COUNTA('VTS Services'!A7:A63)-COUNTIF('VTS Services'!F7:F63,"Stage 4 research lead (not counted)")</f>
        <v/>
      </c>
      <c r="H50" s="93" t="n"/>
      <c r="I50" s="93" t="n"/>
      <c r="J50" s="93" t="n"/>
      <c r="K50" s="93" t="n"/>
      <c r="L50" s="93" t="n"/>
    </row>
  </sheetData>
  <mergeCells count="29">
    <mergeCell ref="A29:L30"/>
    <mergeCell ref="A11:L13"/>
    <mergeCell ref="A16:F16"/>
    <mergeCell ref="I16:K16"/>
    <mergeCell ref="A25:L25"/>
    <mergeCell ref="A35:L36"/>
    <mergeCell ref="A18:F18"/>
    <mergeCell ref="I18:K18"/>
    <mergeCell ref="A21:F21"/>
    <mergeCell ref="E7:H9"/>
    <mergeCell ref="A31:L32"/>
    <mergeCell ref="A1:L2"/>
    <mergeCell ref="I6:L6"/>
    <mergeCell ref="A22:F22"/>
    <mergeCell ref="A17:F17"/>
    <mergeCell ref="A15:G15"/>
    <mergeCell ref="I15:L15"/>
    <mergeCell ref="I17:K17"/>
    <mergeCell ref="A20:F20"/>
    <mergeCell ref="A6:D6"/>
    <mergeCell ref="A19:F19"/>
    <mergeCell ref="I20:L23"/>
    <mergeCell ref="A27:L28"/>
    <mergeCell ref="A3:L4"/>
    <mergeCell ref="A37:L38"/>
    <mergeCell ref="A7:D9"/>
    <mergeCell ref="I7:L9"/>
    <mergeCell ref="E6:H6"/>
    <mergeCell ref="A33:L3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76"/>
  <sheetViews>
    <sheetView workbookViewId="0">
      <selection activeCell="A1" sqref="A1"/>
    </sheetView>
  </sheetViews>
  <sheetFormatPr baseColWidth="8" defaultRowHeight="15"/>
  <cols>
    <col width="14" customWidth="1" style="63" min="1" max="1"/>
    <col width="30" customWidth="1" style="63" min="2" max="2"/>
    <col width="43" customWidth="1" style="63" min="3" max="3"/>
    <col width="28" customWidth="1" style="63" min="4" max="4"/>
    <col width="34" customWidth="1" style="63" min="5" max="5"/>
    <col width="28" customWidth="1" style="63" min="6" max="6"/>
    <col width="28" customWidth="1" style="63" min="7" max="7"/>
    <col width="28" customWidth="1" style="63" min="8" max="8"/>
    <col width="28" customWidth="1" style="63" min="9" max="9"/>
    <col width="44" customWidth="1" style="63" min="10" max="10"/>
    <col width="13" customWidth="1" style="63" min="11" max="11"/>
    <col width="44" customWidth="1" style="63" min="12" max="12"/>
    <col width="43" customWidth="1" style="63" min="13" max="13"/>
    <col width="40" customWidth="1" style="63" min="14" max="14"/>
    <col width="28" customWidth="1" style="63" min="15" max="15"/>
    <col width="44" customWidth="1" style="63" min="16" max="16"/>
    <col width="10" customWidth="1" style="63" min="17" max="17"/>
    <col width="28" customWidth="1" style="63" min="18" max="18"/>
    <col width="27" customWidth="1" style="63" min="19" max="19"/>
  </cols>
  <sheetData>
    <row r="1" ht="23" customHeight="1" s="63">
      <c r="A1" s="47" t="inlineStr">
        <is>
          <t>TSS CANDIDATE INVENTORY</t>
        </is>
      </c>
      <c r="B1" s="1" t="n"/>
      <c r="C1" s="1" t="n"/>
      <c r="D1" s="1" t="n"/>
      <c r="E1" s="1" t="n"/>
      <c r="F1" s="1" t="n"/>
      <c r="G1" s="1" t="n"/>
      <c r="H1" s="1" t="n"/>
    </row>
    <row r="2" ht="23" customHeight="1" s="63">
      <c r="A2" s="1" t="n"/>
      <c r="B2" s="1" t="n"/>
      <c r="C2" s="1" t="n"/>
      <c r="D2" s="1" t="n"/>
      <c r="E2" s="1" t="n"/>
      <c r="F2" s="1" t="n"/>
      <c r="G2" s="1" t="n"/>
      <c r="H2" s="1" t="n"/>
    </row>
    <row r="3" ht="21" customHeight="1" s="63">
      <c r="A3" s="15" t="inlineStr">
        <is>
          <t>Version 0.3 | 29 September 2026 | TSS Candidates. Reconciled register; see Audit Findings and Overview for limits.</t>
        </is>
      </c>
      <c r="B3" s="1" t="n"/>
      <c r="C3" s="1" t="n"/>
      <c r="D3" s="1" t="n"/>
      <c r="E3" s="1" t="n"/>
      <c r="F3" s="1" t="n"/>
      <c r="G3" s="1" t="n"/>
      <c r="H3" s="1" t="n"/>
    </row>
    <row r="4" ht="21" customHeight="1" s="63">
      <c r="A4" s="1" t="n"/>
      <c r="B4" s="1" t="n"/>
      <c r="C4" s="1" t="n"/>
      <c r="D4" s="1" t="n"/>
      <c r="E4" s="1" t="n"/>
      <c r="F4" s="1" t="n"/>
      <c r="G4" s="1" t="n"/>
      <c r="H4" s="1" t="n"/>
    </row>
    <row r="6" ht="34" customHeight="1" s="63">
      <c r="A6" s="65" t="inlineStr">
        <is>
          <t>Record ID</t>
        </is>
      </c>
      <c r="B6" s="65" t="inlineStr">
        <is>
          <t>Region</t>
        </is>
      </c>
      <c r="C6" s="65" t="inlineStr">
        <is>
          <t>Candidate source label</t>
        </is>
      </c>
      <c r="D6" s="65" t="inlineStr">
        <is>
          <t>Record type</t>
        </is>
      </c>
      <c r="E6" s="65" t="inlineStr">
        <is>
          <t>Baseline status</t>
        </is>
      </c>
      <c r="F6" s="65" t="inlineStr">
        <is>
          <t>VTS screening</t>
        </is>
      </c>
      <c r="G6" s="65" t="inlineStr">
        <is>
          <t>Reporting screening</t>
        </is>
      </c>
      <c r="H6" s="65" t="inlineStr">
        <is>
          <t>Related service IDs</t>
        </is>
      </c>
      <c r="I6" s="65" t="inlineStr">
        <is>
          <t>Related reporting IDs</t>
        </is>
      </c>
      <c r="J6" s="65" t="inlineStr">
        <is>
          <t>Grouping / reconciliation note</t>
        </is>
      </c>
      <c r="K6" s="65" t="inlineStr">
        <is>
          <t>Source ID</t>
        </is>
      </c>
      <c r="L6" s="65" t="inlineStr">
        <is>
          <t>Source URL</t>
        </is>
      </c>
      <c r="M6" s="65" t="inlineStr">
        <is>
          <t>Source locator</t>
        </is>
      </c>
      <c r="N6" s="65" t="inlineStr">
        <is>
          <t>Source limitation</t>
        </is>
      </c>
      <c r="O6" s="65" t="inlineStr">
        <is>
          <t>Additional evidence IDs</t>
        </is>
      </c>
      <c r="P6" s="65" t="inlineStr">
        <is>
          <t>Additional evidence URLs</t>
        </is>
      </c>
      <c r="Q6" s="65" t="inlineStr">
        <is>
          <t>Batch</t>
        </is>
      </c>
      <c r="R6" s="65" t="inlineStr">
        <is>
          <t>Review stage</t>
        </is>
      </c>
      <c r="S6" s="65" t="inlineStr">
        <is>
          <t>Last record check</t>
        </is>
      </c>
    </row>
    <row r="7" ht="60" customHeight="1" s="63">
      <c r="A7" s="66" t="inlineStr">
        <is>
          <t>TSS-0001</t>
        </is>
      </c>
      <c r="B7" s="66" t="inlineStr">
        <is>
          <t>British Isles and southern North Sea</t>
        </is>
      </c>
      <c r="C7" s="66" t="inlineStr">
        <is>
          <t>In the approaches to the River Humber</t>
        </is>
      </c>
      <c r="D7" s="66" t="inlineStr">
        <is>
          <t>Source entry; component check pending</t>
        </is>
      </c>
      <c r="E7" s="66" t="inlineStr">
        <is>
          <t>Provisional: official baseline reconciliation pending</t>
        </is>
      </c>
      <c r="F7" s="66" t="inlineStr">
        <is>
          <t>Not researched</t>
        </is>
      </c>
      <c r="G7" s="66" t="inlineStr">
        <is>
          <t>Not researched</t>
        </is>
      </c>
      <c r="H7" s="66" t="str"/>
      <c r="I7" s="66" t="str"/>
      <c r="J7" s="66" t="str"/>
      <c r="K7" s="66" t="inlineStr">
        <is>
          <t>SRC-001</t>
        </is>
      </c>
      <c r="L7" s="67" t="inlineStr">
        <is>
          <t>https://www.scribd.com/document/1014775753/1-1-IMO-Adopted-Traffic-Separation-Schemes-on-the-ADMIRALTY-Chart-Series</t>
        </is>
      </c>
      <c r="M7" s="66" t="inlineStr">
        <is>
          <t>Notice 17; scheme label: In the approaches to the River Humber</t>
        </is>
      </c>
      <c r="N7" s="66" t="inlineStr">
        <is>
          <t>UKHO-labelled document on third-party host; edition and currency unverified.</t>
        </is>
      </c>
      <c r="O7" s="66" t="str"/>
      <c r="P7" s="67" t="str"/>
      <c r="Q7" s="66" t="inlineStr">
        <is>
          <t>B01</t>
        </is>
      </c>
      <c r="R7" s="66" t="inlineStr">
        <is>
          <t>Candidate recorded</t>
        </is>
      </c>
      <c r="S7" s="66" t="inlineStr">
        <is>
          <t>Not established</t>
        </is>
      </c>
    </row>
    <row r="8" ht="60" customHeight="1" s="63">
      <c r="A8" s="66" t="inlineStr">
        <is>
          <t>TSS-0002</t>
        </is>
      </c>
      <c r="B8" s="66" t="inlineStr">
        <is>
          <t>British Isles and southern North Sea</t>
        </is>
      </c>
      <c r="C8" s="66" t="inlineStr">
        <is>
          <t>In the Sunk area and northern Approaches to the Thames Estuary</t>
        </is>
      </c>
      <c r="D8" s="66" t="inlineStr">
        <is>
          <t>Source entry; component check pending</t>
        </is>
      </c>
      <c r="E8" s="66" t="inlineStr">
        <is>
          <t>Provisional: official baseline reconciliation pending</t>
        </is>
      </c>
      <c r="F8" s="66" t="inlineStr">
        <is>
          <t>Not researched</t>
        </is>
      </c>
      <c r="G8" s="66" t="inlineStr">
        <is>
          <t>Not researched</t>
        </is>
      </c>
      <c r="H8" s="66" t="str"/>
      <c r="I8" s="66" t="str"/>
      <c r="J8" s="66" t="str"/>
      <c r="K8" s="66" t="inlineStr">
        <is>
          <t>SRC-001</t>
        </is>
      </c>
      <c r="L8" s="67" t="inlineStr">
        <is>
          <t>https://www.scribd.com/document/1014775753/1-1-IMO-Adopted-Traffic-Separation-Schemes-on-the-ADMIRALTY-Chart-Series</t>
        </is>
      </c>
      <c r="M8" s="66" t="inlineStr">
        <is>
          <t>Notice 17; scheme label: In the Sunk area and northern Approaches to the Thames Estuary</t>
        </is>
      </c>
      <c r="N8" s="66" t="inlineStr">
        <is>
          <t>UKHO-labelled document on third-party host; edition and currency unverified.</t>
        </is>
      </c>
      <c r="O8" s="66" t="str"/>
      <c r="P8" s="67" t="str"/>
      <c r="Q8" s="66" t="inlineStr">
        <is>
          <t>B01</t>
        </is>
      </c>
      <c r="R8" s="66" t="inlineStr">
        <is>
          <t>Candidate recorded</t>
        </is>
      </c>
      <c r="S8" s="66" t="inlineStr">
        <is>
          <t>Not established</t>
        </is>
      </c>
    </row>
    <row r="9" ht="60" customHeight="1" s="63">
      <c r="A9" s="66" t="inlineStr">
        <is>
          <t>TSS-0003</t>
        </is>
      </c>
      <c r="B9" s="66" t="inlineStr">
        <is>
          <t>British Isles and southern North Sea</t>
        </is>
      </c>
      <c r="C9" s="66" t="inlineStr">
        <is>
          <t>In the Approaches to Hook of Holland and at North Hinder</t>
        </is>
      </c>
      <c r="D9" s="66" t="inlineStr">
        <is>
          <t>Source entry; component check pending</t>
        </is>
      </c>
      <c r="E9" s="66" t="inlineStr">
        <is>
          <t>Provisional: official baseline reconciliation pending</t>
        </is>
      </c>
      <c r="F9" s="66" t="inlineStr">
        <is>
          <t>Not researched</t>
        </is>
      </c>
      <c r="G9" s="66" t="inlineStr">
        <is>
          <t>Not researched</t>
        </is>
      </c>
      <c r="H9" s="66" t="str"/>
      <c r="I9" s="66" t="str"/>
      <c r="J9" s="66" t="inlineStr">
        <is>
          <t>Combined label. Check whether separate scheme records are required.</t>
        </is>
      </c>
      <c r="K9" s="66" t="inlineStr">
        <is>
          <t>SRC-001</t>
        </is>
      </c>
      <c r="L9" s="67" t="inlineStr">
        <is>
          <t>https://www.scribd.com/document/1014775753/1-1-IMO-Adopted-Traffic-Separation-Schemes-on-the-ADMIRALTY-Chart-Series</t>
        </is>
      </c>
      <c r="M9" s="66" t="inlineStr">
        <is>
          <t>Notice 17; scheme label: In the Approaches to Hook of Holland and at North Hinder</t>
        </is>
      </c>
      <c r="N9" s="66" t="inlineStr">
        <is>
          <t>UKHO-labelled document on third-party host; edition and currency unverified.</t>
        </is>
      </c>
      <c r="O9" s="66" t="str"/>
      <c r="P9" s="67" t="str"/>
      <c r="Q9" s="66" t="inlineStr">
        <is>
          <t>B01</t>
        </is>
      </c>
      <c r="R9" s="66" t="inlineStr">
        <is>
          <t>Candidate recorded</t>
        </is>
      </c>
      <c r="S9" s="66" t="inlineStr">
        <is>
          <t>Not established</t>
        </is>
      </c>
    </row>
    <row r="10" ht="60" customHeight="1" s="63">
      <c r="A10" s="66" t="inlineStr">
        <is>
          <t>TSS-0004</t>
        </is>
      </c>
      <c r="B10" s="66" t="inlineStr">
        <is>
          <t>British Isles and southern North Sea</t>
        </is>
      </c>
      <c r="C10" s="66" t="inlineStr">
        <is>
          <t>At West Hinder</t>
        </is>
      </c>
      <c r="D10" s="66" t="inlineStr">
        <is>
          <t>Source entry; component check pending</t>
        </is>
      </c>
      <c r="E10" s="66" t="inlineStr">
        <is>
          <t>Provisional: official baseline reconciliation pending</t>
        </is>
      </c>
      <c r="F10" s="66" t="inlineStr">
        <is>
          <t>Not researched</t>
        </is>
      </c>
      <c r="G10" s="66" t="inlineStr">
        <is>
          <t>Not researched</t>
        </is>
      </c>
      <c r="H10" s="66" t="str"/>
      <c r="I10" s="66" t="str"/>
      <c r="J10" s="66" t="str"/>
      <c r="K10" s="66" t="inlineStr">
        <is>
          <t>SRC-001</t>
        </is>
      </c>
      <c r="L10" s="67" t="inlineStr">
        <is>
          <t>https://www.scribd.com/document/1014775753/1-1-IMO-Adopted-Traffic-Separation-Schemes-on-the-ADMIRALTY-Chart-Series</t>
        </is>
      </c>
      <c r="M10" s="66" t="inlineStr">
        <is>
          <t>Notice 17; scheme label: At West Hinder</t>
        </is>
      </c>
      <c r="N10" s="66" t="inlineStr">
        <is>
          <t>UKHO-labelled document on third-party host; edition and currency unverified.</t>
        </is>
      </c>
      <c r="O10" s="66" t="str"/>
      <c r="P10" s="67" t="str"/>
      <c r="Q10" s="66" t="inlineStr">
        <is>
          <t>B01</t>
        </is>
      </c>
      <c r="R10" s="66" t="inlineStr">
        <is>
          <t>Candidate recorded</t>
        </is>
      </c>
      <c r="S10" s="66" t="inlineStr">
        <is>
          <t>Not established</t>
        </is>
      </c>
    </row>
    <row r="11" ht="160.5" customHeight="1" s="63">
      <c r="A11" s="66" t="inlineStr">
        <is>
          <t>TSS-0005</t>
        </is>
      </c>
      <c r="B11" s="66" t="inlineStr">
        <is>
          <t>British Isles and southern North Sea</t>
        </is>
      </c>
      <c r="C11" s="66" t="inlineStr">
        <is>
          <t>In the Strait of Dover and adjacent waters</t>
        </is>
      </c>
      <c r="D11" s="66" t="inlineStr">
        <is>
          <t>Source entry; component check pending</t>
        </is>
      </c>
      <c r="E11" s="66" t="inlineStr">
        <is>
          <t>Provisional: official baseline reconciliation pending</t>
        </is>
      </c>
      <c r="F11" s="66" t="inlineStr">
        <is>
          <t>Authority evidence found</t>
        </is>
      </c>
      <c r="G11" s="66" t="inlineStr">
        <is>
          <t>Authority evidence found</t>
        </is>
      </c>
      <c r="H11" s="66" t="inlineStr">
        <is>
          <t>VTS-001</t>
        </is>
      </c>
      <c r="I11" s="66" t="inlineStr">
        <is>
          <t>SRS-001</t>
        </is>
      </c>
      <c r="J11" s="66" t="str"/>
      <c r="K11" s="66" t="inlineStr">
        <is>
          <t>SRC-001</t>
        </is>
      </c>
      <c r="L11" s="67" t="inlineStr">
        <is>
          <t>https://www.scribd.com/document/1014775753/1-1-IMO-Adopted-Traffic-Separation-Schemes-on-the-ADMIRALTY-Chart-Series</t>
        </is>
      </c>
      <c r="M11" s="66" t="inlineStr">
        <is>
          <t>Notice 17; scheme label: In the Strait of Dover and adjacent waters</t>
        </is>
      </c>
      <c r="N11" s="66" t="inlineStr">
        <is>
          <t>UKHO-labelled document on third-party host; edition and currency unverified.</t>
        </is>
      </c>
      <c r="O11" s="66" t="inlineStr">
        <is>
          <t>SRC-004; SRC-005</t>
        </is>
      </c>
      <c r="P11" s="67" t="inlineStr">
        <is>
          <t>https://www.gov.uk/government/publications/dover-strait-crossings-channel-navigation-information-service/dover-strait-crossings-channel-navigation-information-service-cnis
https://www.gov.uk/government/publications/mgn-364-mf-amendment-2-navigation-safety-traffic-separation-schemes-application-of-rule-10-and-navigation-in-the-dover-strait/mgn-364-mf-amendment-2-navigation-safety-traffic-separation-schemes-application-of-rule-10-and-navigation-in-the-dover-strait</t>
        </is>
      </c>
      <c r="Q11" s="66" t="inlineStr">
        <is>
          <t>B01</t>
        </is>
      </c>
      <c r="R11" s="66" t="inlineStr">
        <is>
          <t>Initial association evidenced</t>
        </is>
      </c>
      <c r="S11" s="66" t="inlineStr">
        <is>
          <t>Identification screening only</t>
        </is>
      </c>
    </row>
    <row r="12" ht="60" customHeight="1" s="63">
      <c r="A12" s="66" t="inlineStr">
        <is>
          <t>TSS-0006</t>
        </is>
      </c>
      <c r="B12" s="66" t="inlineStr">
        <is>
          <t>British Isles and southern North Sea</t>
        </is>
      </c>
      <c r="C12" s="66" t="inlineStr">
        <is>
          <t>Off Casquets</t>
        </is>
      </c>
      <c r="D12" s="66" t="inlineStr">
        <is>
          <t>Source entry; component check pending</t>
        </is>
      </c>
      <c r="E12" s="66" t="inlineStr">
        <is>
          <t>Provisional: official baseline reconciliation pending</t>
        </is>
      </c>
      <c r="F12" s="66" t="inlineStr">
        <is>
          <t>Not researched</t>
        </is>
      </c>
      <c r="G12" s="66" t="inlineStr">
        <is>
          <t>Not researched</t>
        </is>
      </c>
      <c r="H12" s="66" t="str"/>
      <c r="I12" s="66" t="str"/>
      <c r="J12" s="66" t="str"/>
      <c r="K12" s="66" t="inlineStr">
        <is>
          <t>SRC-001</t>
        </is>
      </c>
      <c r="L12" s="67" t="inlineStr">
        <is>
          <t>https://www.scribd.com/document/1014775753/1-1-IMO-Adopted-Traffic-Separation-Schemes-on-the-ADMIRALTY-Chart-Series</t>
        </is>
      </c>
      <c r="M12" s="66" t="inlineStr">
        <is>
          <t>Notice 17; scheme label: Off Casquets</t>
        </is>
      </c>
      <c r="N12" s="66" t="inlineStr">
        <is>
          <t>UKHO-labelled document on third-party host; edition and currency unverified.</t>
        </is>
      </c>
      <c r="O12" s="66" t="str"/>
      <c r="P12" s="67" t="str"/>
      <c r="Q12" s="66" t="inlineStr">
        <is>
          <t>B02</t>
        </is>
      </c>
      <c r="R12" s="66" t="inlineStr">
        <is>
          <t>Candidate recorded</t>
        </is>
      </c>
      <c r="S12" s="66" t="inlineStr">
        <is>
          <t>Not established</t>
        </is>
      </c>
    </row>
    <row r="13" ht="60" customHeight="1" s="63">
      <c r="A13" s="66" t="inlineStr">
        <is>
          <t>TSS-0007</t>
        </is>
      </c>
      <c r="B13" s="66" t="inlineStr">
        <is>
          <t>British Isles and southern North Sea</t>
        </is>
      </c>
      <c r="C13" s="66" t="inlineStr">
        <is>
          <t>Off Land's End, between Seven Stones and Longships</t>
        </is>
      </c>
      <c r="D13" s="66" t="inlineStr">
        <is>
          <t>Source entry; component check pending</t>
        </is>
      </c>
      <c r="E13" s="66" t="inlineStr">
        <is>
          <t>Provisional: official baseline reconciliation pending</t>
        </is>
      </c>
      <c r="F13" s="66" t="inlineStr">
        <is>
          <t>Not researched</t>
        </is>
      </c>
      <c r="G13" s="66" t="inlineStr">
        <is>
          <t>Not researched</t>
        </is>
      </c>
      <c r="H13" s="66" t="str"/>
      <c r="I13" s="66" t="str"/>
      <c r="J13" s="66" t="str"/>
      <c r="K13" s="66" t="inlineStr">
        <is>
          <t>SRC-001</t>
        </is>
      </c>
      <c r="L13" s="67" t="inlineStr">
        <is>
          <t>https://www.scribd.com/document/1014775753/1-1-IMO-Adopted-Traffic-Separation-Schemes-on-the-ADMIRALTY-Chart-Series</t>
        </is>
      </c>
      <c r="M13" s="66" t="inlineStr">
        <is>
          <t>Notice 17; scheme label: Off Land's End, between Seven Stones and Longships</t>
        </is>
      </c>
      <c r="N13" s="66" t="inlineStr">
        <is>
          <t>UKHO-labelled document on third-party host; edition and currency unverified.</t>
        </is>
      </c>
      <c r="O13" s="66" t="str"/>
      <c r="P13" s="67" t="str"/>
      <c r="Q13" s="66" t="inlineStr">
        <is>
          <t>B02</t>
        </is>
      </c>
      <c r="R13" s="66" t="inlineStr">
        <is>
          <t>Candidate recorded</t>
        </is>
      </c>
      <c r="S13" s="66" t="inlineStr">
        <is>
          <t>Not established</t>
        </is>
      </c>
    </row>
    <row r="14" ht="60" customHeight="1" s="63">
      <c r="A14" s="66" t="inlineStr">
        <is>
          <t>TSS-0008</t>
        </is>
      </c>
      <c r="B14" s="66" t="inlineStr">
        <is>
          <t>British Isles and southern North Sea</t>
        </is>
      </c>
      <c r="C14" s="66" t="inlineStr">
        <is>
          <t>South of the Isles of Scilly</t>
        </is>
      </c>
      <c r="D14" s="66" t="inlineStr">
        <is>
          <t>Source entry; component check pending</t>
        </is>
      </c>
      <c r="E14" s="66" t="inlineStr">
        <is>
          <t>Provisional: official baseline reconciliation pending</t>
        </is>
      </c>
      <c r="F14" s="66" t="inlineStr">
        <is>
          <t>Not researched</t>
        </is>
      </c>
      <c r="G14" s="66" t="inlineStr">
        <is>
          <t>Not researched</t>
        </is>
      </c>
      <c r="H14" s="66" t="str"/>
      <c r="I14" s="66" t="str"/>
      <c r="J14" s="66" t="str"/>
      <c r="K14" s="66" t="inlineStr">
        <is>
          <t>SRC-001</t>
        </is>
      </c>
      <c r="L14" s="67" t="inlineStr">
        <is>
          <t>https://www.scribd.com/document/1014775753/1-1-IMO-Adopted-Traffic-Separation-Schemes-on-the-ADMIRALTY-Chart-Series</t>
        </is>
      </c>
      <c r="M14" s="66" t="inlineStr">
        <is>
          <t>Notice 17; scheme label: South of the Isles of Scilly</t>
        </is>
      </c>
      <c r="N14" s="66" t="inlineStr">
        <is>
          <t>UKHO-labelled document on third-party host; edition and currency unverified.</t>
        </is>
      </c>
      <c r="O14" s="66" t="str"/>
      <c r="P14" s="67" t="str"/>
      <c r="Q14" s="66" t="inlineStr">
        <is>
          <t>B02</t>
        </is>
      </c>
      <c r="R14" s="66" t="inlineStr">
        <is>
          <t>Candidate recorded</t>
        </is>
      </c>
      <c r="S14" s="66" t="inlineStr">
        <is>
          <t>Not established</t>
        </is>
      </c>
    </row>
    <row r="15" ht="60" customHeight="1" s="63">
      <c r="A15" s="66" t="inlineStr">
        <is>
          <t>TSS-0009</t>
        </is>
      </c>
      <c r="B15" s="66" t="inlineStr">
        <is>
          <t>British Isles and southern North Sea</t>
        </is>
      </c>
      <c r="C15" s="66" t="inlineStr">
        <is>
          <t>West of the Isles of Scilly</t>
        </is>
      </c>
      <c r="D15" s="66" t="inlineStr">
        <is>
          <t>Source entry; component check pending</t>
        </is>
      </c>
      <c r="E15" s="66" t="inlineStr">
        <is>
          <t>Provisional: official baseline reconciliation pending</t>
        </is>
      </c>
      <c r="F15" s="66" t="inlineStr">
        <is>
          <t>Not researched</t>
        </is>
      </c>
      <c r="G15" s="66" t="inlineStr">
        <is>
          <t>Not researched</t>
        </is>
      </c>
      <c r="H15" s="66" t="str"/>
      <c r="I15" s="66" t="str"/>
      <c r="J15" s="66" t="str"/>
      <c r="K15" s="66" t="inlineStr">
        <is>
          <t>SRC-001</t>
        </is>
      </c>
      <c r="L15" s="67" t="inlineStr">
        <is>
          <t>https://www.scribd.com/document/1014775753/1-1-IMO-Adopted-Traffic-Separation-Schemes-on-the-ADMIRALTY-Chart-Series</t>
        </is>
      </c>
      <c r="M15" s="66" t="inlineStr">
        <is>
          <t>Notice 17; scheme label: West of the Isles of Scilly</t>
        </is>
      </c>
      <c r="N15" s="66" t="inlineStr">
        <is>
          <t>UKHO-labelled document on third-party host; edition and currency unverified.</t>
        </is>
      </c>
      <c r="O15" s="66" t="str"/>
      <c r="P15" s="67" t="str"/>
      <c r="Q15" s="66" t="inlineStr">
        <is>
          <t>B02</t>
        </is>
      </c>
      <c r="R15" s="66" t="inlineStr">
        <is>
          <t>Candidate recorded</t>
        </is>
      </c>
      <c r="S15" s="66" t="inlineStr">
        <is>
          <t>Not established</t>
        </is>
      </c>
    </row>
    <row r="16" ht="60" customHeight="1" s="63">
      <c r="A16" s="66" t="inlineStr">
        <is>
          <t>TSS-0010</t>
        </is>
      </c>
      <c r="B16" s="66" t="inlineStr">
        <is>
          <t>British Isles and southern North Sea</t>
        </is>
      </c>
      <c r="C16" s="66" t="inlineStr">
        <is>
          <t>Off Fastnet Rock</t>
        </is>
      </c>
      <c r="D16" s="66" t="inlineStr">
        <is>
          <t>Source entry; component check pending</t>
        </is>
      </c>
      <c r="E16" s="66" t="inlineStr">
        <is>
          <t>Provisional: official baseline reconciliation pending</t>
        </is>
      </c>
      <c r="F16" s="66" t="inlineStr">
        <is>
          <t>Not researched</t>
        </is>
      </c>
      <c r="G16" s="66" t="inlineStr">
        <is>
          <t>Not researched</t>
        </is>
      </c>
      <c r="H16" s="66" t="str"/>
      <c r="I16" s="66" t="str"/>
      <c r="J16" s="66" t="str"/>
      <c r="K16" s="66" t="inlineStr">
        <is>
          <t>SRC-001</t>
        </is>
      </c>
      <c r="L16" s="67" t="inlineStr">
        <is>
          <t>https://www.scribd.com/document/1014775753/1-1-IMO-Adopted-Traffic-Separation-Schemes-on-the-ADMIRALTY-Chart-Series</t>
        </is>
      </c>
      <c r="M16" s="66" t="inlineStr">
        <is>
          <t>Notice 17; scheme label: Off Fastnet Rock</t>
        </is>
      </c>
      <c r="N16" s="66" t="inlineStr">
        <is>
          <t>UKHO-labelled document on third-party host; edition and currency unverified.</t>
        </is>
      </c>
      <c r="O16" s="66" t="str"/>
      <c r="P16" s="67" t="str"/>
      <c r="Q16" s="66" t="inlineStr">
        <is>
          <t>B02</t>
        </is>
      </c>
      <c r="R16" s="66" t="inlineStr">
        <is>
          <t>Candidate recorded</t>
        </is>
      </c>
      <c r="S16" s="66" t="inlineStr">
        <is>
          <t>Not established</t>
        </is>
      </c>
    </row>
    <row r="17" ht="60" customHeight="1" s="63">
      <c r="A17" s="66" t="inlineStr">
        <is>
          <t>TSS-0011</t>
        </is>
      </c>
      <c r="B17" s="66" t="inlineStr">
        <is>
          <t>British Isles and southern North Sea</t>
        </is>
      </c>
      <c r="C17" s="66" t="inlineStr">
        <is>
          <t>Off Smalls</t>
        </is>
      </c>
      <c r="D17" s="66" t="inlineStr">
        <is>
          <t>Source entry; component check pending</t>
        </is>
      </c>
      <c r="E17" s="66" t="inlineStr">
        <is>
          <t>Provisional: official baseline reconciliation pending</t>
        </is>
      </c>
      <c r="F17" s="66" t="inlineStr">
        <is>
          <t>Not researched</t>
        </is>
      </c>
      <c r="G17" s="66" t="inlineStr">
        <is>
          <t>Not researched</t>
        </is>
      </c>
      <c r="H17" s="66" t="str"/>
      <c r="I17" s="66" t="str"/>
      <c r="J17" s="66" t="str"/>
      <c r="K17" s="66" t="inlineStr">
        <is>
          <t>SRC-001</t>
        </is>
      </c>
      <c r="L17" s="67" t="inlineStr">
        <is>
          <t>https://www.scribd.com/document/1014775753/1-1-IMO-Adopted-Traffic-Separation-Schemes-on-the-ADMIRALTY-Chart-Series</t>
        </is>
      </c>
      <c r="M17" s="66" t="inlineStr">
        <is>
          <t>Notice 17; scheme label: Off Smalls</t>
        </is>
      </c>
      <c r="N17" s="66" t="inlineStr">
        <is>
          <t>UKHO-labelled document on third-party host; edition and currency unverified.</t>
        </is>
      </c>
      <c r="O17" s="66" t="str"/>
      <c r="P17" s="67" t="str"/>
      <c r="Q17" s="66" t="inlineStr">
        <is>
          <t>B03</t>
        </is>
      </c>
      <c r="R17" s="66" t="inlineStr">
        <is>
          <t>Candidate recorded</t>
        </is>
      </c>
      <c r="S17" s="66" t="inlineStr">
        <is>
          <t>Not established</t>
        </is>
      </c>
    </row>
    <row r="18" ht="60" customHeight="1" s="63">
      <c r="A18" s="66" t="inlineStr">
        <is>
          <t>TSS-0012</t>
        </is>
      </c>
      <c r="B18" s="66" t="inlineStr">
        <is>
          <t>British Isles and southern North Sea</t>
        </is>
      </c>
      <c r="C18" s="66" t="inlineStr">
        <is>
          <t>Off Tuskar Rock</t>
        </is>
      </c>
      <c r="D18" s="66" t="inlineStr">
        <is>
          <t>Source entry; component check pending</t>
        </is>
      </c>
      <c r="E18" s="66" t="inlineStr">
        <is>
          <t>Provisional: official baseline reconciliation pending</t>
        </is>
      </c>
      <c r="F18" s="66" t="inlineStr">
        <is>
          <t>Not researched</t>
        </is>
      </c>
      <c r="G18" s="66" t="inlineStr">
        <is>
          <t>Not researched</t>
        </is>
      </c>
      <c r="H18" s="66" t="str"/>
      <c r="I18" s="66" t="str"/>
      <c r="J18" s="66" t="str"/>
      <c r="K18" s="66" t="inlineStr">
        <is>
          <t>SRC-001</t>
        </is>
      </c>
      <c r="L18" s="67" t="inlineStr">
        <is>
          <t>https://www.scribd.com/document/1014775753/1-1-IMO-Adopted-Traffic-Separation-Schemes-on-the-ADMIRALTY-Chart-Series</t>
        </is>
      </c>
      <c r="M18" s="66" t="inlineStr">
        <is>
          <t>Notice 17; scheme label: Off Tuskar Rock</t>
        </is>
      </c>
      <c r="N18" s="66" t="inlineStr">
        <is>
          <t>UKHO-labelled document on third-party host; edition and currency unverified.</t>
        </is>
      </c>
      <c r="O18" s="66" t="str"/>
      <c r="P18" s="67" t="str"/>
      <c r="Q18" s="66" t="inlineStr">
        <is>
          <t>B03</t>
        </is>
      </c>
      <c r="R18" s="66" t="inlineStr">
        <is>
          <t>Candidate recorded</t>
        </is>
      </c>
      <c r="S18" s="66" t="inlineStr">
        <is>
          <t>Not established</t>
        </is>
      </c>
    </row>
    <row r="19" ht="60" customHeight="1" s="63">
      <c r="A19" s="66" t="inlineStr">
        <is>
          <t>TSS-0013</t>
        </is>
      </c>
      <c r="B19" s="66" t="inlineStr">
        <is>
          <t>British Isles and southern North Sea</t>
        </is>
      </c>
      <c r="C19" s="66" t="inlineStr">
        <is>
          <t>Off Skerries</t>
        </is>
      </c>
      <c r="D19" s="66" t="inlineStr">
        <is>
          <t>Source entry; component check pending</t>
        </is>
      </c>
      <c r="E19" s="66" t="inlineStr">
        <is>
          <t>Provisional: official baseline reconciliation pending</t>
        </is>
      </c>
      <c r="F19" s="66" t="inlineStr">
        <is>
          <t>Not researched</t>
        </is>
      </c>
      <c r="G19" s="66" t="inlineStr">
        <is>
          <t>Not researched</t>
        </is>
      </c>
      <c r="H19" s="66" t="str"/>
      <c r="I19" s="66" t="str"/>
      <c r="J19" s="66" t="str"/>
      <c r="K19" s="66" t="inlineStr">
        <is>
          <t>SRC-001</t>
        </is>
      </c>
      <c r="L19" s="67" t="inlineStr">
        <is>
          <t>https://www.scribd.com/document/1014775753/1-1-IMO-Adopted-Traffic-Separation-Schemes-on-the-ADMIRALTY-Chart-Series</t>
        </is>
      </c>
      <c r="M19" s="66" t="inlineStr">
        <is>
          <t>Notice 17; scheme label: Off Skerries</t>
        </is>
      </c>
      <c r="N19" s="66" t="inlineStr">
        <is>
          <t>UKHO-labelled document on third-party host; edition and currency unverified.</t>
        </is>
      </c>
      <c r="O19" s="66" t="str"/>
      <c r="P19" s="67" t="str"/>
      <c r="Q19" s="66" t="inlineStr">
        <is>
          <t>B03</t>
        </is>
      </c>
      <c r="R19" s="66" t="inlineStr">
        <is>
          <t>Candidate recorded</t>
        </is>
      </c>
      <c r="S19" s="66" t="inlineStr">
        <is>
          <t>Not established</t>
        </is>
      </c>
    </row>
    <row r="20" ht="60" customHeight="1" s="63">
      <c r="A20" s="66" t="inlineStr">
        <is>
          <t>TSS-0014</t>
        </is>
      </c>
      <c r="B20" s="66" t="inlineStr">
        <is>
          <t>British Isles and southern North Sea</t>
        </is>
      </c>
      <c r="C20" s="66" t="inlineStr">
        <is>
          <t>In Liverpool Bay</t>
        </is>
      </c>
      <c r="D20" s="66" t="inlineStr">
        <is>
          <t>Source entry; component check pending</t>
        </is>
      </c>
      <c r="E20" s="66" t="inlineStr">
        <is>
          <t>Provisional: official baseline reconciliation pending</t>
        </is>
      </c>
      <c r="F20" s="66" t="inlineStr">
        <is>
          <t>Not researched</t>
        </is>
      </c>
      <c r="G20" s="66" t="inlineStr">
        <is>
          <t>Not researched</t>
        </is>
      </c>
      <c r="H20" s="66" t="str"/>
      <c r="I20" s="66" t="str"/>
      <c r="J20" s="66" t="str"/>
      <c r="K20" s="66" t="inlineStr">
        <is>
          <t>SRC-001</t>
        </is>
      </c>
      <c r="L20" s="67" t="inlineStr">
        <is>
          <t>https://www.scribd.com/document/1014775753/1-1-IMO-Adopted-Traffic-Separation-Schemes-on-the-ADMIRALTY-Chart-Series</t>
        </is>
      </c>
      <c r="M20" s="66" t="inlineStr">
        <is>
          <t>Notice 17; scheme label: In Liverpool Bay</t>
        </is>
      </c>
      <c r="N20" s="66" t="inlineStr">
        <is>
          <t>UKHO-labelled document on third-party host; edition and currency unverified.</t>
        </is>
      </c>
      <c r="O20" s="66" t="str"/>
      <c r="P20" s="67" t="str"/>
      <c r="Q20" s="66" t="inlineStr">
        <is>
          <t>B03</t>
        </is>
      </c>
      <c r="R20" s="66" t="inlineStr">
        <is>
          <t>Candidate recorded</t>
        </is>
      </c>
      <c r="S20" s="66" t="inlineStr">
        <is>
          <t>Not established</t>
        </is>
      </c>
    </row>
    <row r="21" ht="60" customHeight="1" s="63">
      <c r="A21" s="66" t="inlineStr">
        <is>
          <t>TSS-0015</t>
        </is>
      </c>
      <c r="B21" s="66" t="inlineStr">
        <is>
          <t>British Isles and southern North Sea</t>
        </is>
      </c>
      <c r="C21" s="66" t="inlineStr">
        <is>
          <t>In the North Channel</t>
        </is>
      </c>
      <c r="D21" s="66" t="inlineStr">
        <is>
          <t>Source entry; component check pending</t>
        </is>
      </c>
      <c r="E21" s="66" t="inlineStr">
        <is>
          <t>Provisional: official baseline reconciliation pending</t>
        </is>
      </c>
      <c r="F21" s="66" t="inlineStr">
        <is>
          <t>Not researched</t>
        </is>
      </c>
      <c r="G21" s="66" t="inlineStr">
        <is>
          <t>Not researched</t>
        </is>
      </c>
      <c r="H21" s="66" t="str"/>
      <c r="I21" s="66" t="str"/>
      <c r="J21" s="66" t="str"/>
      <c r="K21" s="66" t="inlineStr">
        <is>
          <t>SRC-001</t>
        </is>
      </c>
      <c r="L21" s="67" t="inlineStr">
        <is>
          <t>https://www.scribd.com/document/1014775753/1-1-IMO-Adopted-Traffic-Separation-Schemes-on-the-ADMIRALTY-Chart-Series</t>
        </is>
      </c>
      <c r="M21" s="66" t="inlineStr">
        <is>
          <t>Notice 17; scheme label: In the North Channel</t>
        </is>
      </c>
      <c r="N21" s="66" t="inlineStr">
        <is>
          <t>UKHO-labelled document on third-party host; edition and currency unverified.</t>
        </is>
      </c>
      <c r="O21" s="66" t="str"/>
      <c r="P21" s="67" t="str"/>
      <c r="Q21" s="66" t="inlineStr">
        <is>
          <t>B03</t>
        </is>
      </c>
      <c r="R21" s="66" t="inlineStr">
        <is>
          <t>Candidate recorded</t>
        </is>
      </c>
      <c r="S21" s="66" t="inlineStr">
        <is>
          <t>Not established</t>
        </is>
      </c>
    </row>
    <row r="22" ht="60" customHeight="1" s="63">
      <c r="A22" s="66" t="inlineStr">
        <is>
          <t>TSS-0016</t>
        </is>
      </c>
      <c r="B22" s="66" t="inlineStr">
        <is>
          <t>British Isles and southern North Sea</t>
        </is>
      </c>
      <c r="C22" s="66" t="inlineStr">
        <is>
          <t>Off Neist Point</t>
        </is>
      </c>
      <c r="D22" s="66" t="inlineStr">
        <is>
          <t>Source entry; component check pending</t>
        </is>
      </c>
      <c r="E22" s="66" t="inlineStr">
        <is>
          <t>Provisional: official baseline reconciliation pending</t>
        </is>
      </c>
      <c r="F22" s="66" t="inlineStr">
        <is>
          <t>Not researched</t>
        </is>
      </c>
      <c r="G22" s="66" t="inlineStr">
        <is>
          <t>Not researched</t>
        </is>
      </c>
      <c r="H22" s="66" t="str"/>
      <c r="I22" s="66" t="str"/>
      <c r="J22" s="66" t="str"/>
      <c r="K22" s="66" t="inlineStr">
        <is>
          <t>SRC-001</t>
        </is>
      </c>
      <c r="L22" s="67" t="inlineStr">
        <is>
          <t>https://www.scribd.com/document/1014775753/1-1-IMO-Adopted-Traffic-Separation-Schemes-on-the-ADMIRALTY-Chart-Series</t>
        </is>
      </c>
      <c r="M22" s="66" t="inlineStr">
        <is>
          <t>Notice 17; scheme label: Off Neist Point</t>
        </is>
      </c>
      <c r="N22" s="66" t="inlineStr">
        <is>
          <t>UKHO-labelled document on third-party host; edition and currency unverified.</t>
        </is>
      </c>
      <c r="O22" s="66" t="str"/>
      <c r="P22" s="67" t="str"/>
      <c r="Q22" s="66" t="inlineStr">
        <is>
          <t>B04</t>
        </is>
      </c>
      <c r="R22" s="66" t="inlineStr">
        <is>
          <t>Candidate recorded</t>
        </is>
      </c>
      <c r="S22" s="66" t="inlineStr">
        <is>
          <t>Not established</t>
        </is>
      </c>
    </row>
    <row r="23" ht="60" customHeight="1" s="63">
      <c r="A23" s="66" t="inlineStr">
        <is>
          <t>TSS-0017</t>
        </is>
      </c>
      <c r="B23" s="66" t="inlineStr">
        <is>
          <t>Norway and Iceland</t>
        </is>
      </c>
      <c r="C23" s="66" t="inlineStr">
        <is>
          <t>Off the coast of Norway</t>
        </is>
      </c>
      <c r="D23" s="66" t="inlineStr">
        <is>
          <t>Source entry; component check pending</t>
        </is>
      </c>
      <c r="E23" s="66" t="inlineStr">
        <is>
          <t>Provisional: official baseline reconciliation pending</t>
        </is>
      </c>
      <c r="F23" s="66" t="inlineStr">
        <is>
          <t>Not researched</t>
        </is>
      </c>
      <c r="G23" s="66" t="inlineStr">
        <is>
          <t>Not researched</t>
        </is>
      </c>
      <c r="H23" s="66" t="str"/>
      <c r="I23" s="66" t="str"/>
      <c r="J23" s="66" t="inlineStr">
        <is>
          <t>Grouped coastline label. Expand into named component schemes before counting.</t>
        </is>
      </c>
      <c r="K23" s="66" t="inlineStr">
        <is>
          <t>SRC-001</t>
        </is>
      </c>
      <c r="L23" s="67" t="inlineStr">
        <is>
          <t>https://www.scribd.com/document/1014775753/1-1-IMO-Adopted-Traffic-Separation-Schemes-on-the-ADMIRALTY-Chart-Series</t>
        </is>
      </c>
      <c r="M23" s="66" t="inlineStr">
        <is>
          <t>Notice 17; scheme label: Off the coast of Norway</t>
        </is>
      </c>
      <c r="N23" s="66" t="inlineStr">
        <is>
          <t>UKHO-labelled document on third-party host; edition and currency unverified.</t>
        </is>
      </c>
      <c r="O23" s="66" t="str"/>
      <c r="P23" s="67" t="str"/>
      <c r="Q23" s="66" t="inlineStr">
        <is>
          <t>B04</t>
        </is>
      </c>
      <c r="R23" s="66" t="inlineStr">
        <is>
          <t>Candidate recorded</t>
        </is>
      </c>
      <c r="S23" s="66" t="inlineStr">
        <is>
          <t>Not established</t>
        </is>
      </c>
    </row>
    <row r="24" ht="60" customHeight="1" s="63">
      <c r="A24" s="66" t="inlineStr">
        <is>
          <t>TSS-0018</t>
        </is>
      </c>
      <c r="B24" s="66" t="inlineStr">
        <is>
          <t>Norway and Iceland</t>
        </is>
      </c>
      <c r="C24" s="66" t="inlineStr">
        <is>
          <t>Off the south-west coast of Iceland: North-west of Garoskagi Point</t>
        </is>
      </c>
      <c r="D24" s="66" t="inlineStr">
        <is>
          <t>Source entry; component check pending</t>
        </is>
      </c>
      <c r="E24" s="66" t="inlineStr">
        <is>
          <t>Provisional: official baseline reconciliation pending</t>
        </is>
      </c>
      <c r="F24" s="66" t="inlineStr">
        <is>
          <t>Not researched</t>
        </is>
      </c>
      <c r="G24" s="66" t="inlineStr">
        <is>
          <t>Not researched</t>
        </is>
      </c>
      <c r="H24" s="66" t="str"/>
      <c r="I24" s="66" t="str"/>
      <c r="J24" s="66" t="inlineStr">
        <is>
          <t>Check official Icelandic spelling against the primary publication.</t>
        </is>
      </c>
      <c r="K24" s="66" t="inlineStr">
        <is>
          <t>SRC-001</t>
        </is>
      </c>
      <c r="L24" s="67" t="inlineStr">
        <is>
          <t>https://www.scribd.com/document/1014775753/1-1-IMO-Adopted-Traffic-Separation-Schemes-on-the-ADMIRALTY-Chart-Series</t>
        </is>
      </c>
      <c r="M24" s="66" t="inlineStr">
        <is>
          <t>Notice 17; scheme label: Off the south-west coast of Iceland: North-west of Garoskagi Point</t>
        </is>
      </c>
      <c r="N24" s="66" t="inlineStr">
        <is>
          <t>UKHO-labelled document on third-party host; edition and currency unverified.</t>
        </is>
      </c>
      <c r="O24" s="66" t="str"/>
      <c r="P24" s="67" t="str"/>
      <c r="Q24" s="66" t="inlineStr">
        <is>
          <t>B04</t>
        </is>
      </c>
      <c r="R24" s="66" t="inlineStr">
        <is>
          <t>Candidate recorded</t>
        </is>
      </c>
      <c r="S24" s="66" t="inlineStr">
        <is>
          <t>Not established</t>
        </is>
      </c>
    </row>
    <row r="25" ht="60" customHeight="1" s="63">
      <c r="A25" s="66" t="inlineStr">
        <is>
          <t>TSS-0019</t>
        </is>
      </c>
      <c r="B25" s="66" t="inlineStr">
        <is>
          <t>Norway and Iceland</t>
        </is>
      </c>
      <c r="C25" s="66" t="inlineStr">
        <is>
          <t>Off the south-west coast of Iceland: South-west of the Reykjanes Peninsula</t>
        </is>
      </c>
      <c r="D25" s="66" t="inlineStr">
        <is>
          <t>Source entry; component check pending</t>
        </is>
      </c>
      <c r="E25" s="66" t="inlineStr">
        <is>
          <t>Provisional: official baseline reconciliation pending</t>
        </is>
      </c>
      <c r="F25" s="66" t="inlineStr">
        <is>
          <t>Not researched</t>
        </is>
      </c>
      <c r="G25" s="66" t="inlineStr">
        <is>
          <t>Not researched</t>
        </is>
      </c>
      <c r="H25" s="66" t="str"/>
      <c r="I25" s="66" t="str"/>
      <c r="J25" s="66" t="str"/>
      <c r="K25" s="66" t="inlineStr">
        <is>
          <t>SRC-001</t>
        </is>
      </c>
      <c r="L25" s="67" t="inlineStr">
        <is>
          <t>https://www.scribd.com/document/1014775753/1-1-IMO-Adopted-Traffic-Separation-Schemes-on-the-ADMIRALTY-Chart-Series</t>
        </is>
      </c>
      <c r="M25" s="66" t="inlineStr">
        <is>
          <t>Notice 17; scheme label: Off the south-west coast of Iceland: South-west of the Reykjanes Peninsula</t>
        </is>
      </c>
      <c r="N25" s="66" t="inlineStr">
        <is>
          <t>UKHO-labelled document on third-party host; edition and currency unverified.</t>
        </is>
      </c>
      <c r="O25" s="66" t="str"/>
      <c r="P25" s="67" t="str"/>
      <c r="Q25" s="66" t="inlineStr">
        <is>
          <t>B04</t>
        </is>
      </c>
      <c r="R25" s="66" t="inlineStr">
        <is>
          <t>Candidate recorded</t>
        </is>
      </c>
      <c r="S25" s="66" t="inlineStr">
        <is>
          <t>Not established</t>
        </is>
      </c>
    </row>
    <row r="26" ht="60" customHeight="1" s="63">
      <c r="A26" s="66" t="inlineStr">
        <is>
          <t>TSS-0020</t>
        </is>
      </c>
      <c r="B26" s="66" t="inlineStr">
        <is>
          <t>Baltic Sea and approaches</t>
        </is>
      </c>
      <c r="C26" s="66" t="inlineStr">
        <is>
          <t>The Åland Sea: North Åland Sea, South Åland Sea</t>
        </is>
      </c>
      <c r="D26" s="66" t="inlineStr">
        <is>
          <t>Source entry; component check pending</t>
        </is>
      </c>
      <c r="E26" s="66" t="inlineStr">
        <is>
          <t>Provisional: official baseline reconciliation pending</t>
        </is>
      </c>
      <c r="F26" s="66" t="inlineStr">
        <is>
          <t>Not researched</t>
        </is>
      </c>
      <c r="G26" s="66" t="inlineStr">
        <is>
          <t>Not researched</t>
        </is>
      </c>
      <c r="H26" s="66" t="str"/>
      <c r="I26" s="66" t="str"/>
      <c r="J26" s="66" t="inlineStr">
        <is>
          <t>Two named components appear within one source entry. Retain parent; reconcile component IDs.</t>
        </is>
      </c>
      <c r="K26" s="66" t="inlineStr">
        <is>
          <t>SRC-001</t>
        </is>
      </c>
      <c r="L26" s="67" t="inlineStr">
        <is>
          <t>https://www.scribd.com/document/1014775753/1-1-IMO-Adopted-Traffic-Separation-Schemes-on-the-ADMIRALTY-Chart-Series</t>
        </is>
      </c>
      <c r="M26" s="66" t="inlineStr">
        <is>
          <t>Notice 17; scheme label: The Åland Sea: North Åland Sea, South Åland Sea</t>
        </is>
      </c>
      <c r="N26" s="66" t="inlineStr">
        <is>
          <t>UKHO-labelled document on third-party host; edition and currency unverified.</t>
        </is>
      </c>
      <c r="O26" s="66" t="str"/>
      <c r="P26" s="67" t="str"/>
      <c r="Q26" s="66" t="inlineStr">
        <is>
          <t>B04</t>
        </is>
      </c>
      <c r="R26" s="66" t="inlineStr">
        <is>
          <t>Candidate recorded</t>
        </is>
      </c>
      <c r="S26" s="66" t="inlineStr">
        <is>
          <t>Not established</t>
        </is>
      </c>
    </row>
    <row r="27" ht="79.5" customHeight="1" s="63">
      <c r="A27" s="66" t="inlineStr">
        <is>
          <t>TSS-0021</t>
        </is>
      </c>
      <c r="B27" s="66" t="inlineStr">
        <is>
          <t>Baltic Sea and approaches</t>
        </is>
      </c>
      <c r="C27" s="66" t="inlineStr">
        <is>
          <t>Off Sommers Island (Ostrov Sommers)</t>
        </is>
      </c>
      <c r="D27" s="66" t="inlineStr">
        <is>
          <t>Source entry; component check pending</t>
        </is>
      </c>
      <c r="E27" s="66" t="inlineStr">
        <is>
          <t>Provisional: official baseline reconciliation pending</t>
        </is>
      </c>
      <c r="F27" s="66" t="inlineStr">
        <is>
          <t>Not researched</t>
        </is>
      </c>
      <c r="G27" s="66" t="inlineStr">
        <is>
          <t>Legacy GOFREP lead; direct association unverified</t>
        </is>
      </c>
      <c r="H27" s="66" t="str"/>
      <c r="I27" s="66" t="inlineStr">
        <is>
          <t>SRS-006</t>
        </is>
      </c>
      <c r="J27" s="66" t="inlineStr">
        <is>
          <t>Restored from the earlier v0.1 research leads. The checked Fintraffic pages do not identify this TSS by name. Direct authority/boundary verification is still required.</t>
        </is>
      </c>
      <c r="K27" s="66" t="inlineStr">
        <is>
          <t>SRC-001</t>
        </is>
      </c>
      <c r="L27" s="67" t="inlineStr">
        <is>
          <t>https://www.scribd.com/document/1014775753/1-1-IMO-Adopted-Traffic-Separation-Schemes-on-the-ADMIRALTY-Chart-Series</t>
        </is>
      </c>
      <c r="M27" s="66" t="inlineStr">
        <is>
          <t>Notice 17; scheme label: Off Sommers Island (Ostrov Sommers)</t>
        </is>
      </c>
      <c r="N27" s="66" t="inlineStr">
        <is>
          <t>UKHO-labelled document on third-party host; edition and currency unverified.</t>
        </is>
      </c>
      <c r="O27" s="66" t="inlineStr">
        <is>
          <t>SRC-011; SRC-012</t>
        </is>
      </c>
      <c r="P27" s="67" t="inlineStr">
        <is>
          <t>https://mastersguide.fintraffic.fi/en/gofrep-area
https://www.fintraffic.fi/sv/node/254</t>
        </is>
      </c>
      <c r="Q27" s="66" t="inlineStr">
        <is>
          <t>B05</t>
        </is>
      </c>
      <c r="R27" s="66" t="inlineStr">
        <is>
          <t>Association proposed</t>
        </is>
      </c>
      <c r="S27" s="66" t="inlineStr">
        <is>
          <t>2026-09-29</t>
        </is>
      </c>
    </row>
    <row r="28" ht="79.5" customHeight="1" s="63">
      <c r="A28" s="66" t="inlineStr">
        <is>
          <t>TSS-0022</t>
        </is>
      </c>
      <c r="B28" s="66" t="inlineStr">
        <is>
          <t>Baltic Sea and approaches</t>
        </is>
      </c>
      <c r="C28" s="66" t="inlineStr">
        <is>
          <t>Off Hogland (Gogland) Island (Ostrov Gogland)</t>
        </is>
      </c>
      <c r="D28" s="66" t="inlineStr">
        <is>
          <t>Source entry; component check pending</t>
        </is>
      </c>
      <c r="E28" s="66" t="inlineStr">
        <is>
          <t>Provisional: official baseline reconciliation pending</t>
        </is>
      </c>
      <c r="F28" s="66" t="inlineStr">
        <is>
          <t>Not researched</t>
        </is>
      </c>
      <c r="G28" s="66" t="inlineStr">
        <is>
          <t>Legacy GOFREP lead; direct association unverified</t>
        </is>
      </c>
      <c r="H28" s="66" t="str"/>
      <c r="I28" s="66" t="inlineStr">
        <is>
          <t>SRS-006</t>
        </is>
      </c>
      <c r="J28" s="66" t="inlineStr">
        <is>
          <t>Restored from the earlier v0.1 research leads. The checked Fintraffic pages do not identify this TSS by name. Direct authority/boundary verification is still required.</t>
        </is>
      </c>
      <c r="K28" s="66" t="inlineStr">
        <is>
          <t>SRC-001</t>
        </is>
      </c>
      <c r="L28" s="67" t="inlineStr">
        <is>
          <t>https://www.scribd.com/document/1014775753/1-1-IMO-Adopted-Traffic-Separation-Schemes-on-the-ADMIRALTY-Chart-Series</t>
        </is>
      </c>
      <c r="M28" s="66" t="inlineStr">
        <is>
          <t>Notice 17; scheme label: Off Hogland (Gogland) Island (Ostrov Gogland)</t>
        </is>
      </c>
      <c r="N28" s="66" t="inlineStr">
        <is>
          <t>UKHO-labelled document on third-party host; edition and currency unverified.</t>
        </is>
      </c>
      <c r="O28" s="66" t="inlineStr">
        <is>
          <t>SRC-011; SRC-012</t>
        </is>
      </c>
      <c r="P28" s="67" t="inlineStr">
        <is>
          <t>https://mastersguide.fintraffic.fi/en/gofrep-area
https://www.fintraffic.fi/sv/node/254</t>
        </is>
      </c>
      <c r="Q28" s="66" t="inlineStr">
        <is>
          <t>B05</t>
        </is>
      </c>
      <c r="R28" s="66" t="inlineStr">
        <is>
          <t>Association proposed</t>
        </is>
      </c>
      <c r="S28" s="66" t="inlineStr">
        <is>
          <t>2026-09-29</t>
        </is>
      </c>
    </row>
    <row r="29" ht="79.5" customHeight="1" s="63">
      <c r="A29" s="66" t="inlineStr">
        <is>
          <t>TSS-0023</t>
        </is>
      </c>
      <c r="B29" s="66" t="inlineStr">
        <is>
          <t>Baltic Sea and approaches</t>
        </is>
      </c>
      <c r="C29" s="66" t="inlineStr">
        <is>
          <t>Off Rodsher Island (Ostrov Rodsher)</t>
        </is>
      </c>
      <c r="D29" s="66" t="inlineStr">
        <is>
          <t>Source entry; component check pending</t>
        </is>
      </c>
      <c r="E29" s="66" t="inlineStr">
        <is>
          <t>Provisional: official baseline reconciliation pending</t>
        </is>
      </c>
      <c r="F29" s="66" t="inlineStr">
        <is>
          <t>Not researched</t>
        </is>
      </c>
      <c r="G29" s="66" t="inlineStr">
        <is>
          <t>Legacy GOFREP lead; direct association unverified</t>
        </is>
      </c>
      <c r="H29" s="66" t="str"/>
      <c r="I29" s="66" t="inlineStr">
        <is>
          <t>SRS-006</t>
        </is>
      </c>
      <c r="J29" s="66" t="inlineStr">
        <is>
          <t>Restored from the earlier v0.1 research leads. The checked Fintraffic pages do not identify this TSS by name. Direct authority/boundary verification is still required.</t>
        </is>
      </c>
      <c r="K29" s="66" t="inlineStr">
        <is>
          <t>SRC-001</t>
        </is>
      </c>
      <c r="L29" s="67" t="inlineStr">
        <is>
          <t>https://www.scribd.com/document/1014775753/1-1-IMO-Adopted-Traffic-Separation-Schemes-on-the-ADMIRALTY-Chart-Series</t>
        </is>
      </c>
      <c r="M29" s="66" t="inlineStr">
        <is>
          <t>Notice 17; scheme label: Off Rodsher Island (Ostrov Rodsher)</t>
        </is>
      </c>
      <c r="N29" s="66" t="inlineStr">
        <is>
          <t>UKHO-labelled document on third-party host; edition and currency unverified.</t>
        </is>
      </c>
      <c r="O29" s="66" t="inlineStr">
        <is>
          <t>SRC-011; SRC-012</t>
        </is>
      </c>
      <c r="P29" s="67" t="inlineStr">
        <is>
          <t>https://mastersguide.fintraffic.fi/en/gofrep-area
https://www.fintraffic.fi/sv/node/254</t>
        </is>
      </c>
      <c r="Q29" s="66" t="inlineStr">
        <is>
          <t>B05</t>
        </is>
      </c>
      <c r="R29" s="66" t="inlineStr">
        <is>
          <t>Association proposed</t>
        </is>
      </c>
      <c r="S29" s="66" t="inlineStr">
        <is>
          <t>2026-09-29</t>
        </is>
      </c>
    </row>
    <row r="30" ht="60" customHeight="1" s="63">
      <c r="A30" s="66" t="inlineStr">
        <is>
          <t>TSS-0024</t>
        </is>
      </c>
      <c r="B30" s="66" t="inlineStr">
        <is>
          <t>Baltic Sea and approaches</t>
        </is>
      </c>
      <c r="C30" s="66" t="inlineStr">
        <is>
          <t>Off Kalbådagrund Lighthouse</t>
        </is>
      </c>
      <c r="D30" s="66" t="inlineStr">
        <is>
          <t>Source entry; component check pending</t>
        </is>
      </c>
      <c r="E30" s="66" t="inlineStr">
        <is>
          <t>Provisional: official baseline reconciliation pending</t>
        </is>
      </c>
      <c r="F30" s="66" t="inlineStr">
        <is>
          <t>Not established by reporting source</t>
        </is>
      </c>
      <c r="G30" s="66" t="inlineStr">
        <is>
          <t>Authority evidence found</t>
        </is>
      </c>
      <c r="H30" s="66" t="str"/>
      <c r="I30" s="66" t="inlineStr">
        <is>
          <t>SRS-006</t>
        </is>
      </c>
      <c r="J30" s="66" t="str"/>
      <c r="K30" s="66" t="inlineStr">
        <is>
          <t>SRC-001</t>
        </is>
      </c>
      <c r="L30" s="67" t="inlineStr">
        <is>
          <t>https://www.scribd.com/document/1014775753/1-1-IMO-Adopted-Traffic-Separation-Schemes-on-the-ADMIRALTY-Chart-Series</t>
        </is>
      </c>
      <c r="M30" s="66" t="inlineStr">
        <is>
          <t>Notice 17; scheme label: Off Kalbådagrund Lighthouse</t>
        </is>
      </c>
      <c r="N30" s="66" t="inlineStr">
        <is>
          <t>UKHO-labelled document on third-party host; edition and currency unverified.</t>
        </is>
      </c>
      <c r="O30" s="66" t="inlineStr">
        <is>
          <t>SRC-011; SRC-012</t>
        </is>
      </c>
      <c r="P30" s="67" t="inlineStr">
        <is>
          <t>https://mastersguide.fintraffic.fi/en/gofrep-area
https://www.fintraffic.fi/sv/node/254</t>
        </is>
      </c>
      <c r="Q30" s="66" t="inlineStr">
        <is>
          <t>B05</t>
        </is>
      </c>
      <c r="R30" s="66" t="inlineStr">
        <is>
          <t>Initial association evidenced</t>
        </is>
      </c>
      <c r="S30" s="66" t="inlineStr">
        <is>
          <t>Identification screening only</t>
        </is>
      </c>
    </row>
    <row r="31" ht="60" customHeight="1" s="63">
      <c r="A31" s="66" t="inlineStr">
        <is>
          <t>TSS-0025</t>
        </is>
      </c>
      <c r="B31" s="66" t="inlineStr">
        <is>
          <t>Baltic Sea and approaches</t>
        </is>
      </c>
      <c r="C31" s="66" t="inlineStr">
        <is>
          <t>Off Porkkala Lighthouse</t>
        </is>
      </c>
      <c r="D31" s="66" t="inlineStr">
        <is>
          <t>Source entry; component check pending</t>
        </is>
      </c>
      <c r="E31" s="66" t="inlineStr">
        <is>
          <t>Provisional: official baseline reconciliation pending</t>
        </is>
      </c>
      <c r="F31" s="66" t="inlineStr">
        <is>
          <t>Not established by reporting source</t>
        </is>
      </c>
      <c r="G31" s="66" t="inlineStr">
        <is>
          <t>Authority evidence found</t>
        </is>
      </c>
      <c r="H31" s="66" t="str"/>
      <c r="I31" s="66" t="inlineStr">
        <is>
          <t>SRS-006</t>
        </is>
      </c>
      <c r="J31" s="66" t="str"/>
      <c r="K31" s="66" t="inlineStr">
        <is>
          <t>SRC-001</t>
        </is>
      </c>
      <c r="L31" s="67" t="inlineStr">
        <is>
          <t>https://www.scribd.com/document/1014775753/1-1-IMO-Adopted-Traffic-Separation-Schemes-on-the-ADMIRALTY-Chart-Series</t>
        </is>
      </c>
      <c r="M31" s="66" t="inlineStr">
        <is>
          <t>Notice 17; scheme label: Off Porkkala Lighthouse</t>
        </is>
      </c>
      <c r="N31" s="66" t="inlineStr">
        <is>
          <t>UKHO-labelled document on third-party host; edition and currency unverified.</t>
        </is>
      </c>
      <c r="O31" s="66" t="inlineStr">
        <is>
          <t>SRC-011; SRC-012</t>
        </is>
      </c>
      <c r="P31" s="67" t="inlineStr">
        <is>
          <t>https://mastersguide.fintraffic.fi/en/gofrep-area
https://www.fintraffic.fi/sv/node/254</t>
        </is>
      </c>
      <c r="Q31" s="66" t="inlineStr">
        <is>
          <t>B05</t>
        </is>
      </c>
      <c r="R31" s="66" t="inlineStr">
        <is>
          <t>Initial association evidenced</t>
        </is>
      </c>
      <c r="S31" s="66" t="inlineStr">
        <is>
          <t>Identification screening only</t>
        </is>
      </c>
    </row>
    <row r="32" ht="60" customHeight="1" s="63">
      <c r="A32" s="66" t="inlineStr">
        <is>
          <t>TSS-0026</t>
        </is>
      </c>
      <c r="B32" s="66" t="inlineStr">
        <is>
          <t>Baltic Sea and approaches</t>
        </is>
      </c>
      <c r="C32" s="66" t="inlineStr">
        <is>
          <t>Off Hankoniemi Peninsula (Hanko)</t>
        </is>
      </c>
      <c r="D32" s="66" t="inlineStr">
        <is>
          <t>Source entry; component check pending</t>
        </is>
      </c>
      <c r="E32" s="66" t="inlineStr">
        <is>
          <t>Provisional: official baseline reconciliation pending</t>
        </is>
      </c>
      <c r="F32" s="66" t="inlineStr">
        <is>
          <t>Not established by reporting source</t>
        </is>
      </c>
      <c r="G32" s="66" t="inlineStr">
        <is>
          <t>Authority evidence found</t>
        </is>
      </c>
      <c r="H32" s="66" t="str"/>
      <c r="I32" s="66" t="inlineStr">
        <is>
          <t>SRS-006</t>
        </is>
      </c>
      <c r="J32" s="66" t="str"/>
      <c r="K32" s="66" t="inlineStr">
        <is>
          <t>SRC-001</t>
        </is>
      </c>
      <c r="L32" s="67" t="inlineStr">
        <is>
          <t>https://www.scribd.com/document/1014775753/1-1-IMO-Adopted-Traffic-Separation-Schemes-on-the-ADMIRALTY-Chart-Series</t>
        </is>
      </c>
      <c r="M32" s="66" t="inlineStr">
        <is>
          <t>Notice 17; scheme label: Off Hankoniemi Peninsula (Hanko)</t>
        </is>
      </c>
      <c r="N32" s="66" t="inlineStr">
        <is>
          <t>UKHO-labelled document on third-party host; edition and currency unverified.</t>
        </is>
      </c>
      <c r="O32" s="66" t="inlineStr">
        <is>
          <t>SRC-011; SRC-012</t>
        </is>
      </c>
      <c r="P32" s="67" t="inlineStr">
        <is>
          <t>https://mastersguide.fintraffic.fi/en/gofrep-area
https://www.fintraffic.fi/sv/node/254</t>
        </is>
      </c>
      <c r="Q32" s="66" t="inlineStr">
        <is>
          <t>B06</t>
        </is>
      </c>
      <c r="R32" s="66" t="inlineStr">
        <is>
          <t>Initial association evidenced</t>
        </is>
      </c>
      <c r="S32" s="66" t="inlineStr">
        <is>
          <t>Identification screening only</t>
        </is>
      </c>
    </row>
    <row r="33" ht="60" customHeight="1" s="63">
      <c r="A33" s="66" t="inlineStr">
        <is>
          <t>TSS-0027</t>
        </is>
      </c>
      <c r="B33" s="66" t="inlineStr">
        <is>
          <t>Baltic Sea and approaches</t>
        </is>
      </c>
      <c r="C33" s="66" t="inlineStr">
        <is>
          <t>Off Köpu Peninsula (Hiiumaa Island)</t>
        </is>
      </c>
      <c r="D33" s="66" t="inlineStr">
        <is>
          <t>Source entry; component check pending</t>
        </is>
      </c>
      <c r="E33" s="66" t="inlineStr">
        <is>
          <t>Provisional: official baseline reconciliation pending</t>
        </is>
      </c>
      <c r="F33" s="66" t="inlineStr">
        <is>
          <t>Not established by reporting source</t>
        </is>
      </c>
      <c r="G33" s="66" t="inlineStr">
        <is>
          <t>Authority evidence found</t>
        </is>
      </c>
      <c r="H33" s="66" t="str"/>
      <c r="I33" s="66" t="inlineStr">
        <is>
          <t>SRS-006</t>
        </is>
      </c>
      <c r="J33" s="66" t="str"/>
      <c r="K33" s="66" t="inlineStr">
        <is>
          <t>SRC-001</t>
        </is>
      </c>
      <c r="L33" s="67" t="inlineStr">
        <is>
          <t>https://www.scribd.com/document/1014775753/1-1-IMO-Adopted-Traffic-Separation-Schemes-on-the-ADMIRALTY-Chart-Series</t>
        </is>
      </c>
      <c r="M33" s="66" t="inlineStr">
        <is>
          <t>Notice 17; scheme label: Off Köpu Peninsula (Hiiumaa Island)</t>
        </is>
      </c>
      <c r="N33" s="66" t="inlineStr">
        <is>
          <t>UKHO-labelled document on third-party host; edition and currency unverified.</t>
        </is>
      </c>
      <c r="O33" s="66" t="inlineStr">
        <is>
          <t>SRC-011; SRC-012</t>
        </is>
      </c>
      <c r="P33" s="67" t="inlineStr">
        <is>
          <t>https://mastersguide.fintraffic.fi/en/gofrep-area
https://www.fintraffic.fi/sv/node/254</t>
        </is>
      </c>
      <c r="Q33" s="66" t="inlineStr">
        <is>
          <t>B06</t>
        </is>
      </c>
      <c r="R33" s="66" t="inlineStr">
        <is>
          <t>Initial association evidenced</t>
        </is>
      </c>
      <c r="S33" s="66" t="inlineStr">
        <is>
          <t>Identification screening only</t>
        </is>
      </c>
    </row>
    <row r="34" ht="60" customHeight="1" s="63">
      <c r="A34" s="66" t="inlineStr">
        <is>
          <t>TSS-0028</t>
        </is>
      </c>
      <c r="B34" s="66" t="inlineStr">
        <is>
          <t>Baltic Sea and approaches</t>
        </is>
      </c>
      <c r="C34" s="66" t="inlineStr">
        <is>
          <t>North Hoburgs Bank</t>
        </is>
      </c>
      <c r="D34" s="66" t="inlineStr">
        <is>
          <t>Source entry; component check pending</t>
        </is>
      </c>
      <c r="E34" s="66" t="inlineStr">
        <is>
          <t>Provisional: official baseline reconciliation pending</t>
        </is>
      </c>
      <c r="F34" s="66" t="inlineStr">
        <is>
          <t>Not researched</t>
        </is>
      </c>
      <c r="G34" s="66" t="inlineStr">
        <is>
          <t>Not researched</t>
        </is>
      </c>
      <c r="H34" s="66" t="str"/>
      <c r="I34" s="66" t="str"/>
      <c r="J34" s="66" t="str"/>
      <c r="K34" s="66" t="inlineStr">
        <is>
          <t>SRC-001</t>
        </is>
      </c>
      <c r="L34" s="67" t="inlineStr">
        <is>
          <t>https://www.scribd.com/document/1014775753/1-1-IMO-Adopted-Traffic-Separation-Schemes-on-the-ADMIRALTY-Chart-Series</t>
        </is>
      </c>
      <c r="M34" s="66" t="inlineStr">
        <is>
          <t>Notice 17; scheme label: North Hoburgs Bank</t>
        </is>
      </c>
      <c r="N34" s="66" t="inlineStr">
        <is>
          <t>UKHO-labelled document on third-party host; edition and currency unverified.</t>
        </is>
      </c>
      <c r="O34" s="66" t="str"/>
      <c r="P34" s="67" t="str"/>
      <c r="Q34" s="66" t="inlineStr">
        <is>
          <t>B06</t>
        </is>
      </c>
      <c r="R34" s="66" t="inlineStr">
        <is>
          <t>Candidate recorded</t>
        </is>
      </c>
      <c r="S34" s="66" t="inlineStr">
        <is>
          <t>Not established</t>
        </is>
      </c>
    </row>
    <row r="35" ht="60" customHeight="1" s="63">
      <c r="A35" s="66" t="inlineStr">
        <is>
          <t>TSS-0029</t>
        </is>
      </c>
      <c r="B35" s="66" t="inlineStr">
        <is>
          <t>Baltic Sea and approaches</t>
        </is>
      </c>
      <c r="C35" s="66" t="inlineStr">
        <is>
          <t>South Hoburgs Bank</t>
        </is>
      </c>
      <c r="D35" s="66" t="inlineStr">
        <is>
          <t>Source entry; component check pending</t>
        </is>
      </c>
      <c r="E35" s="66" t="inlineStr">
        <is>
          <t>Provisional: official baseline reconciliation pending</t>
        </is>
      </c>
      <c r="F35" s="66" t="inlineStr">
        <is>
          <t>Not researched</t>
        </is>
      </c>
      <c r="G35" s="66" t="inlineStr">
        <is>
          <t>Not researched</t>
        </is>
      </c>
      <c r="H35" s="66" t="str"/>
      <c r="I35" s="66" t="str"/>
      <c r="J35" s="66" t="str"/>
      <c r="K35" s="66" t="inlineStr">
        <is>
          <t>SRC-001</t>
        </is>
      </c>
      <c r="L35" s="67" t="inlineStr">
        <is>
          <t>https://www.scribd.com/document/1014775753/1-1-IMO-Adopted-Traffic-Separation-Schemes-on-the-ADMIRALTY-Chart-Series</t>
        </is>
      </c>
      <c r="M35" s="66" t="inlineStr">
        <is>
          <t>Notice 17; scheme label: South Hoburgs Bank</t>
        </is>
      </c>
      <c r="N35" s="66" t="inlineStr">
        <is>
          <t>UKHO-labelled document on third-party host; edition and currency unverified.</t>
        </is>
      </c>
      <c r="O35" s="66" t="str"/>
      <c r="P35" s="67" t="str"/>
      <c r="Q35" s="66" t="inlineStr">
        <is>
          <t>B06</t>
        </is>
      </c>
      <c r="R35" s="66" t="inlineStr">
        <is>
          <t>Candidate recorded</t>
        </is>
      </c>
      <c r="S35" s="66" t="inlineStr">
        <is>
          <t>Not established</t>
        </is>
      </c>
    </row>
    <row r="36" ht="60" customHeight="1" s="63">
      <c r="A36" s="66" t="inlineStr">
        <is>
          <t>TSS-0030</t>
        </is>
      </c>
      <c r="B36" s="66" t="inlineStr">
        <is>
          <t>Baltic Sea and approaches</t>
        </is>
      </c>
      <c r="C36" s="66" t="inlineStr">
        <is>
          <t>West Klintehamn</t>
        </is>
      </c>
      <c r="D36" s="66" t="inlineStr">
        <is>
          <t>Source entry; component check pending</t>
        </is>
      </c>
      <c r="E36" s="66" t="inlineStr">
        <is>
          <t>Provisional: official baseline reconciliation pending</t>
        </is>
      </c>
      <c r="F36" s="66" t="inlineStr">
        <is>
          <t>Not researched</t>
        </is>
      </c>
      <c r="G36" s="66" t="inlineStr">
        <is>
          <t>Not researched</t>
        </is>
      </c>
      <c r="H36" s="66" t="str"/>
      <c r="I36" s="66" t="str"/>
      <c r="J36" s="66" t="str"/>
      <c r="K36" s="66" t="inlineStr">
        <is>
          <t>SRC-001</t>
        </is>
      </c>
      <c r="L36" s="67" t="inlineStr">
        <is>
          <t>https://www.scribd.com/document/1014775753/1-1-IMO-Adopted-Traffic-Separation-Schemes-on-the-ADMIRALTY-Chart-Series</t>
        </is>
      </c>
      <c r="M36" s="66" t="inlineStr">
        <is>
          <t>Notice 17; scheme label: West Klintehamn</t>
        </is>
      </c>
      <c r="N36" s="66" t="inlineStr">
        <is>
          <t>UKHO-labelled document on third-party host; edition and currency unverified.</t>
        </is>
      </c>
      <c r="O36" s="66" t="str"/>
      <c r="P36" s="67" t="str"/>
      <c r="Q36" s="66" t="inlineStr">
        <is>
          <t>B06</t>
        </is>
      </c>
      <c r="R36" s="66" t="inlineStr">
        <is>
          <t>Candidate recorded</t>
        </is>
      </c>
      <c r="S36" s="66" t="inlineStr">
        <is>
          <t>Not established</t>
        </is>
      </c>
    </row>
    <row r="37" ht="60" customHeight="1" s="63">
      <c r="A37" s="66" t="inlineStr">
        <is>
          <t>TSS-0031</t>
        </is>
      </c>
      <c r="B37" s="66" t="inlineStr">
        <is>
          <t>Baltic Sea and approaches</t>
        </is>
      </c>
      <c r="C37" s="66" t="inlineStr">
        <is>
          <t>Midsjöbankarna</t>
        </is>
      </c>
      <c r="D37" s="66" t="inlineStr">
        <is>
          <t>Source entry; component check pending</t>
        </is>
      </c>
      <c r="E37" s="66" t="inlineStr">
        <is>
          <t>Provisional: official baseline reconciliation pending</t>
        </is>
      </c>
      <c r="F37" s="66" t="inlineStr">
        <is>
          <t>Not researched</t>
        </is>
      </c>
      <c r="G37" s="66" t="inlineStr">
        <is>
          <t>Not researched</t>
        </is>
      </c>
      <c r="H37" s="66" t="str"/>
      <c r="I37" s="66" t="str"/>
      <c r="J37" s="66" t="str"/>
      <c r="K37" s="66" t="inlineStr">
        <is>
          <t>SRC-001</t>
        </is>
      </c>
      <c r="L37" s="67" t="inlineStr">
        <is>
          <t>https://www.scribd.com/document/1014775753/1-1-IMO-Adopted-Traffic-Separation-Schemes-on-the-ADMIRALTY-Chart-Series</t>
        </is>
      </c>
      <c r="M37" s="66" t="inlineStr">
        <is>
          <t>Notice 17; scheme label: Midsjöbankarna</t>
        </is>
      </c>
      <c r="N37" s="66" t="inlineStr">
        <is>
          <t>UKHO-labelled document on third-party host; edition and currency unverified.</t>
        </is>
      </c>
      <c r="O37" s="66" t="str"/>
      <c r="P37" s="67" t="str"/>
      <c r="Q37" s="66" t="inlineStr">
        <is>
          <t>B07</t>
        </is>
      </c>
      <c r="R37" s="66" t="inlineStr">
        <is>
          <t>Candidate recorded</t>
        </is>
      </c>
      <c r="S37" s="66" t="inlineStr">
        <is>
          <t>Not established</t>
        </is>
      </c>
    </row>
    <row r="38" ht="60" customHeight="1" s="63">
      <c r="A38" s="66" t="inlineStr">
        <is>
          <t>TSS-0032</t>
        </is>
      </c>
      <c r="B38" s="66" t="inlineStr">
        <is>
          <t>Baltic Sea and approaches</t>
        </is>
      </c>
      <c r="C38" s="66" t="inlineStr">
        <is>
          <t>Adlergrund</t>
        </is>
      </c>
      <c r="D38" s="66" t="inlineStr">
        <is>
          <t>Source entry; component check pending</t>
        </is>
      </c>
      <c r="E38" s="66" t="inlineStr">
        <is>
          <t>Provisional: official baseline reconciliation pending</t>
        </is>
      </c>
      <c r="F38" s="66" t="inlineStr">
        <is>
          <t>Not researched</t>
        </is>
      </c>
      <c r="G38" s="66" t="inlineStr">
        <is>
          <t>Not researched</t>
        </is>
      </c>
      <c r="H38" s="66" t="str"/>
      <c r="I38" s="66" t="str"/>
      <c r="J38" s="66" t="str"/>
      <c r="K38" s="66" t="inlineStr">
        <is>
          <t>SRC-001</t>
        </is>
      </c>
      <c r="L38" s="67" t="inlineStr">
        <is>
          <t>https://www.scribd.com/document/1014775753/1-1-IMO-Adopted-Traffic-Separation-Schemes-on-the-ADMIRALTY-Chart-Series</t>
        </is>
      </c>
      <c r="M38" s="66" t="inlineStr">
        <is>
          <t>Notice 17; scheme label: Adlergrund</t>
        </is>
      </c>
      <c r="N38" s="66" t="inlineStr">
        <is>
          <t>UKHO-labelled document on third-party host; edition and currency unverified.</t>
        </is>
      </c>
      <c r="O38" s="66" t="str"/>
      <c r="P38" s="67" t="str"/>
      <c r="Q38" s="66" t="inlineStr">
        <is>
          <t>B07</t>
        </is>
      </c>
      <c r="R38" s="66" t="inlineStr">
        <is>
          <t>Candidate recorded</t>
        </is>
      </c>
      <c r="S38" s="66" t="inlineStr">
        <is>
          <t>Not established</t>
        </is>
      </c>
    </row>
    <row r="39" ht="60" customHeight="1" s="63">
      <c r="A39" s="66" t="inlineStr">
        <is>
          <t>TSS-0033</t>
        </is>
      </c>
      <c r="B39" s="66" t="inlineStr">
        <is>
          <t>Baltic Sea and approaches</t>
        </is>
      </c>
      <c r="C39" s="66" t="inlineStr">
        <is>
          <t>Slupska Bank</t>
        </is>
      </c>
      <c r="D39" s="66" t="inlineStr">
        <is>
          <t>Source entry; component check pending</t>
        </is>
      </c>
      <c r="E39" s="66" t="inlineStr">
        <is>
          <t>Provisional: official baseline reconciliation pending</t>
        </is>
      </c>
      <c r="F39" s="66" t="inlineStr">
        <is>
          <t>Not researched</t>
        </is>
      </c>
      <c r="G39" s="66" t="inlineStr">
        <is>
          <t>Not researched</t>
        </is>
      </c>
      <c r="H39" s="66" t="str"/>
      <c r="I39" s="66" t="str"/>
      <c r="J39" s="66" t="inlineStr">
        <is>
          <t>Check component names and amendments; do not assume this label represents one current scheme.</t>
        </is>
      </c>
      <c r="K39" s="66" t="inlineStr">
        <is>
          <t>SRC-001</t>
        </is>
      </c>
      <c r="L39" s="67" t="inlineStr">
        <is>
          <t>https://www.scribd.com/document/1014775753/1-1-IMO-Adopted-Traffic-Separation-Schemes-on-the-ADMIRALTY-Chart-Series</t>
        </is>
      </c>
      <c r="M39" s="66" t="inlineStr">
        <is>
          <t>Notice 17; scheme label: Slupska Bank</t>
        </is>
      </c>
      <c r="N39" s="66" t="inlineStr">
        <is>
          <t>UKHO-labelled document on third-party host; edition and currency unverified.</t>
        </is>
      </c>
      <c r="O39" s="66" t="str"/>
      <c r="P39" s="67" t="str"/>
      <c r="Q39" s="66" t="inlineStr">
        <is>
          <t>B07</t>
        </is>
      </c>
      <c r="R39" s="66" t="inlineStr">
        <is>
          <t>Candidate recorded</t>
        </is>
      </c>
      <c r="S39" s="66" t="inlineStr">
        <is>
          <t>Not established</t>
        </is>
      </c>
    </row>
    <row r="40" ht="60" customHeight="1" s="63">
      <c r="A40" s="66" t="inlineStr">
        <is>
          <t>TSS-0034</t>
        </is>
      </c>
      <c r="B40" s="66" t="inlineStr">
        <is>
          <t>Baltic Sea and approaches</t>
        </is>
      </c>
      <c r="C40" s="66" t="inlineStr">
        <is>
          <t>Off Öland Island</t>
        </is>
      </c>
      <c r="D40" s="66" t="inlineStr">
        <is>
          <t>Source entry; component check pending</t>
        </is>
      </c>
      <c r="E40" s="66" t="inlineStr">
        <is>
          <t>Provisional: official baseline reconciliation pending</t>
        </is>
      </c>
      <c r="F40" s="66" t="inlineStr">
        <is>
          <t>Not researched</t>
        </is>
      </c>
      <c r="G40" s="66" t="inlineStr">
        <is>
          <t>Not researched</t>
        </is>
      </c>
      <c r="H40" s="66" t="str"/>
      <c r="I40" s="66" t="str"/>
      <c r="J40" s="66" t="str"/>
      <c r="K40" s="66" t="inlineStr">
        <is>
          <t>SRC-001</t>
        </is>
      </c>
      <c r="L40" s="67" t="inlineStr">
        <is>
          <t>https://www.scribd.com/document/1014775753/1-1-IMO-Adopted-Traffic-Separation-Schemes-on-the-ADMIRALTY-Chart-Series</t>
        </is>
      </c>
      <c r="M40" s="66" t="inlineStr">
        <is>
          <t>Notice 17; scheme label: Off Öland Island</t>
        </is>
      </c>
      <c r="N40" s="66" t="inlineStr">
        <is>
          <t>UKHO-labelled document on third-party host; edition and currency unverified.</t>
        </is>
      </c>
      <c r="O40" s="66" t="str"/>
      <c r="P40" s="67" t="str"/>
      <c r="Q40" s="66" t="inlineStr">
        <is>
          <t>B07</t>
        </is>
      </c>
      <c r="R40" s="66" t="inlineStr">
        <is>
          <t>Candidate recorded</t>
        </is>
      </c>
      <c r="S40" s="66" t="inlineStr">
        <is>
          <t>Not established</t>
        </is>
      </c>
    </row>
    <row r="41" ht="60" customHeight="1" s="63">
      <c r="A41" s="66" t="inlineStr">
        <is>
          <t>TSS-0035</t>
        </is>
      </c>
      <c r="B41" s="66" t="inlineStr">
        <is>
          <t>Baltic Sea and approaches</t>
        </is>
      </c>
      <c r="C41" s="66" t="inlineStr">
        <is>
          <t>In Bornholmsgat</t>
        </is>
      </c>
      <c r="D41" s="66" t="inlineStr">
        <is>
          <t>Source entry; component check pending</t>
        </is>
      </c>
      <c r="E41" s="66" t="inlineStr">
        <is>
          <t>Provisional: official baseline reconciliation pending</t>
        </is>
      </c>
      <c r="F41" s="66" t="inlineStr">
        <is>
          <t>Not researched</t>
        </is>
      </c>
      <c r="G41" s="66" t="inlineStr">
        <is>
          <t>Not researched</t>
        </is>
      </c>
      <c r="H41" s="66" t="str"/>
      <c r="I41" s="66" t="str"/>
      <c r="J41" s="66" t="str"/>
      <c r="K41" s="66" t="inlineStr">
        <is>
          <t>SRC-001</t>
        </is>
      </c>
      <c r="L41" s="67" t="inlineStr">
        <is>
          <t>https://www.scribd.com/document/1014775753/1-1-IMO-Adopted-Traffic-Separation-Schemes-on-the-ADMIRALTY-Chart-Series</t>
        </is>
      </c>
      <c r="M41" s="66" t="inlineStr">
        <is>
          <t>Notice 17; scheme label: In Bornholmsgat</t>
        </is>
      </c>
      <c r="N41" s="66" t="inlineStr">
        <is>
          <t>UKHO-labelled document on third-party host; edition and currency unverified.</t>
        </is>
      </c>
      <c r="O41" s="66" t="str"/>
      <c r="P41" s="67" t="str"/>
      <c r="Q41" s="66" t="inlineStr">
        <is>
          <t>B07</t>
        </is>
      </c>
      <c r="R41" s="66" t="inlineStr">
        <is>
          <t>Candidate recorded</t>
        </is>
      </c>
      <c r="S41" s="66" t="inlineStr">
        <is>
          <t>Not established</t>
        </is>
      </c>
    </row>
    <row r="42" ht="60" customHeight="1" s="63">
      <c r="A42" s="66" t="inlineStr">
        <is>
          <t>TSS-0036</t>
        </is>
      </c>
      <c r="B42" s="66" t="inlineStr">
        <is>
          <t>Baltic Sea and approaches</t>
        </is>
      </c>
      <c r="C42" s="66" t="inlineStr">
        <is>
          <t>North of Rügen</t>
        </is>
      </c>
      <c r="D42" s="66" t="inlineStr">
        <is>
          <t>Source entry; component check pending</t>
        </is>
      </c>
      <c r="E42" s="66" t="inlineStr">
        <is>
          <t>Provisional: official baseline reconciliation pending</t>
        </is>
      </c>
      <c r="F42" s="66" t="inlineStr">
        <is>
          <t>Not researched</t>
        </is>
      </c>
      <c r="G42" s="66" t="inlineStr">
        <is>
          <t>Not researched</t>
        </is>
      </c>
      <c r="H42" s="66" t="str"/>
      <c r="I42" s="66" t="str"/>
      <c r="J42" s="66" t="str"/>
      <c r="K42" s="66" t="inlineStr">
        <is>
          <t>SRC-001</t>
        </is>
      </c>
      <c r="L42" s="67" t="inlineStr">
        <is>
          <t>https://www.scribd.com/document/1014775753/1-1-IMO-Adopted-Traffic-Separation-Schemes-on-the-ADMIRALTY-Chart-Series</t>
        </is>
      </c>
      <c r="M42" s="66" t="inlineStr">
        <is>
          <t>Notice 17; scheme label: North of Rügen</t>
        </is>
      </c>
      <c r="N42" s="66" t="inlineStr">
        <is>
          <t>UKHO-labelled document on third-party host; edition and currency unverified.</t>
        </is>
      </c>
      <c r="O42" s="66" t="str"/>
      <c r="P42" s="67" t="str"/>
      <c r="Q42" s="66" t="inlineStr">
        <is>
          <t>B08</t>
        </is>
      </c>
      <c r="R42" s="66" t="inlineStr">
        <is>
          <t>Candidate recorded</t>
        </is>
      </c>
      <c r="S42" s="66" t="inlineStr">
        <is>
          <t>Not established</t>
        </is>
      </c>
    </row>
    <row r="43" ht="60" customHeight="1" s="63">
      <c r="A43" s="66" t="inlineStr">
        <is>
          <t>TSS-0037</t>
        </is>
      </c>
      <c r="B43" s="66" t="inlineStr">
        <is>
          <t>Baltic Sea and approaches</t>
        </is>
      </c>
      <c r="C43" s="66" t="inlineStr">
        <is>
          <t>South of Gedser</t>
        </is>
      </c>
      <c r="D43" s="66" t="inlineStr">
        <is>
          <t>Source entry; component check pending</t>
        </is>
      </c>
      <c r="E43" s="66" t="inlineStr">
        <is>
          <t>Provisional: official baseline reconciliation pending</t>
        </is>
      </c>
      <c r="F43" s="66" t="inlineStr">
        <is>
          <t>Not researched</t>
        </is>
      </c>
      <c r="G43" s="66" t="inlineStr">
        <is>
          <t>Not researched</t>
        </is>
      </c>
      <c r="H43" s="66" t="str"/>
      <c r="I43" s="66" t="str"/>
      <c r="J43" s="66" t="str"/>
      <c r="K43" s="66" t="inlineStr">
        <is>
          <t>SRC-001</t>
        </is>
      </c>
      <c r="L43" s="67" t="inlineStr">
        <is>
          <t>https://www.scribd.com/document/1014775753/1-1-IMO-Adopted-Traffic-Separation-Schemes-on-the-ADMIRALTY-Chart-Series</t>
        </is>
      </c>
      <c r="M43" s="66" t="inlineStr">
        <is>
          <t>Notice 17; scheme label: South of Gedser</t>
        </is>
      </c>
      <c r="N43" s="66" t="inlineStr">
        <is>
          <t>UKHO-labelled document on third-party host; edition and currency unverified.</t>
        </is>
      </c>
      <c r="O43" s="66" t="str"/>
      <c r="P43" s="67" t="str"/>
      <c r="Q43" s="66" t="inlineStr">
        <is>
          <t>B08</t>
        </is>
      </c>
      <c r="R43" s="66" t="inlineStr">
        <is>
          <t>Candidate recorded</t>
        </is>
      </c>
      <c r="S43" s="66" t="inlineStr">
        <is>
          <t>Not established</t>
        </is>
      </c>
    </row>
    <row r="44" ht="106.5" customHeight="1" s="63">
      <c r="A44" s="66" t="inlineStr">
        <is>
          <t>TSS-0038</t>
        </is>
      </c>
      <c r="B44" s="66" t="inlineStr">
        <is>
          <t>Baltic Sea and approaches</t>
        </is>
      </c>
      <c r="C44" s="66" t="inlineStr">
        <is>
          <t>Between Korsoer and Sprogoe (Korsør and Sprogø)</t>
        </is>
      </c>
      <c r="D44" s="66" t="inlineStr">
        <is>
          <t>Source entry; component check pending</t>
        </is>
      </c>
      <c r="E44" s="66" t="inlineStr">
        <is>
          <t>Provisional: official baseline reconciliation pending</t>
        </is>
      </c>
      <c r="F44" s="66" t="inlineStr">
        <is>
          <t>Service association evidenced; boundary audit pending</t>
        </is>
      </c>
      <c r="G44" s="66" t="inlineStr">
        <is>
          <t>Mandatory scheme association evidenced; applicability audit pending</t>
        </is>
      </c>
      <c r="H44" s="66" t="inlineStr">
        <is>
          <t>VTS-002</t>
        </is>
      </c>
      <c r="I44" s="66" t="inlineStr">
        <is>
          <t>SRS-002</t>
        </is>
      </c>
      <c r="J44" s="66" t="inlineStr">
        <is>
          <t>MSC.332(90), annex 2.1–2.2 and 6.2–6.4, explicitly names the relevant TSS. Detailed chart and current rule reconciliation remain pending.</t>
        </is>
      </c>
      <c r="K44" s="66" t="inlineStr">
        <is>
          <t>SRC-001</t>
        </is>
      </c>
      <c r="L44" s="67" t="inlineStr">
        <is>
          <t>https://www.scribd.com/document/1014775753/1-1-IMO-Adopted-Traffic-Separation-Schemes-on-the-ADMIRALTY-Chart-Series</t>
        </is>
      </c>
      <c r="M44" s="66" t="inlineStr">
        <is>
          <t>Notice 17; scheme label: Between Korsoer and Sprogoe (Korsør and Sprogø)</t>
        </is>
      </c>
      <c r="N44" s="66" t="inlineStr">
        <is>
          <t>UKHO-labelled document on third-party host; edition and currency unverified.</t>
        </is>
      </c>
      <c r="O44" s="66" t="inlineStr">
        <is>
          <t>SRC-008; SRC-015; SRC-020</t>
        </is>
      </c>
      <c r="P44" s="67" t="inlineStr">
        <is>
          <t>https://www.forsvaret.dk/da/organisation/soevaernet/civile-opgaver/beltrep/
https://www.forsvaret.dk/da/organisation/soevaernet/nationalt-maritimt-operationscenter/vts/
https://wwwcdn.imo.org/localresources/en/KnowledgeCentre/IndexofIMOResolutions/MSCResolutions/MSC.332(90).pdf</t>
        </is>
      </c>
      <c r="Q44" s="66" t="inlineStr">
        <is>
          <t>B08</t>
        </is>
      </c>
      <c r="R44" s="66" t="inlineStr">
        <is>
          <t>Initial association evidenced</t>
        </is>
      </c>
      <c r="S44" s="66" t="inlineStr">
        <is>
          <t>2026-09-29</t>
        </is>
      </c>
    </row>
    <row r="45" ht="106.5" customHeight="1" s="63">
      <c r="A45" s="66" t="inlineStr">
        <is>
          <t>TSS-0039</t>
        </is>
      </c>
      <c r="B45" s="66" t="inlineStr">
        <is>
          <t>Baltic Sea and approaches</t>
        </is>
      </c>
      <c r="C45" s="66" t="inlineStr">
        <is>
          <t>At Hatter Barn</t>
        </is>
      </c>
      <c r="D45" s="66" t="inlineStr">
        <is>
          <t>Source entry; component check pending</t>
        </is>
      </c>
      <c r="E45" s="66" t="inlineStr">
        <is>
          <t>Provisional: official baseline reconciliation pending</t>
        </is>
      </c>
      <c r="F45" s="66" t="inlineStr">
        <is>
          <t>Service association evidenced; boundary audit pending</t>
        </is>
      </c>
      <c r="G45" s="66" t="inlineStr">
        <is>
          <t>Mandatory scheme association evidenced; applicability audit pending</t>
        </is>
      </c>
      <c r="H45" s="66" t="inlineStr">
        <is>
          <t>VTS-002</t>
        </is>
      </c>
      <c r="I45" s="66" t="inlineStr">
        <is>
          <t>SRS-002</t>
        </is>
      </c>
      <c r="J45" s="66" t="inlineStr">
        <is>
          <t>MSC.332(90), annex 2.1–2.2 and 6.2–6.4, explicitly names the relevant TSS. Detailed chart and current rule reconciliation remain pending.</t>
        </is>
      </c>
      <c r="K45" s="66" t="inlineStr">
        <is>
          <t>SRC-001</t>
        </is>
      </c>
      <c r="L45" s="67" t="inlineStr">
        <is>
          <t>https://www.scribd.com/document/1014775753/1-1-IMO-Adopted-Traffic-Separation-Schemes-on-the-ADMIRALTY-Chart-Series</t>
        </is>
      </c>
      <c r="M45" s="66" t="inlineStr">
        <is>
          <t>Notice 17; scheme label: At Hatter Barn</t>
        </is>
      </c>
      <c r="N45" s="66" t="inlineStr">
        <is>
          <t>UKHO-labelled document on third-party host; edition and currency unverified.</t>
        </is>
      </c>
      <c r="O45" s="66" t="inlineStr">
        <is>
          <t>SRC-008; SRC-015; SRC-020</t>
        </is>
      </c>
      <c r="P45" s="67" t="inlineStr">
        <is>
          <t>https://www.forsvaret.dk/da/organisation/soevaernet/civile-opgaver/beltrep/
https://www.forsvaret.dk/da/organisation/soevaernet/nationalt-maritimt-operationscenter/vts/
https://wwwcdn.imo.org/localresources/en/KnowledgeCentre/IndexofIMOResolutions/MSCResolutions/MSC.332(90).pdf</t>
        </is>
      </c>
      <c r="Q45" s="66" t="inlineStr">
        <is>
          <t>B08</t>
        </is>
      </c>
      <c r="R45" s="66" t="inlineStr">
        <is>
          <t>Initial association evidenced</t>
        </is>
      </c>
      <c r="S45" s="66" t="inlineStr">
        <is>
          <t>2026-09-29</t>
        </is>
      </c>
    </row>
    <row r="46" ht="106.5" customHeight="1" s="63">
      <c r="A46" s="66" t="inlineStr">
        <is>
          <t>TSS-0040</t>
        </is>
      </c>
      <c r="B46" s="66" t="inlineStr">
        <is>
          <t>Baltic Sea and approaches</t>
        </is>
      </c>
      <c r="C46" s="66" t="inlineStr">
        <is>
          <t>In The Sound</t>
        </is>
      </c>
      <c r="D46" s="66" t="inlineStr">
        <is>
          <t>Source entry; component check pending</t>
        </is>
      </c>
      <c r="E46" s="66" t="inlineStr">
        <is>
          <t>Provisional: official baseline reconciliation pending</t>
        </is>
      </c>
      <c r="F46" s="66" t="inlineStr">
        <is>
          <t>Service association evidenced; boundary audit pending</t>
        </is>
      </c>
      <c r="G46" s="66" t="inlineStr">
        <is>
          <t>Mandatory scheme association evidenced; applicability audit pending</t>
        </is>
      </c>
      <c r="H46" s="66" t="inlineStr">
        <is>
          <t>VTS-003</t>
        </is>
      </c>
      <c r="I46" s="66" t="inlineStr">
        <is>
          <t>SRS-003</t>
        </is>
      </c>
      <c r="J46" s="66" t="inlineStr">
        <is>
          <t>MSC.314(88), annex 6.2–6.3, names 'In the Sound' and 'Off Falsterbo'. Preserve the candidate label; formal alias reconciliation remains pending.</t>
        </is>
      </c>
      <c r="K46" s="66" t="inlineStr">
        <is>
          <t>SRC-001</t>
        </is>
      </c>
      <c r="L46" s="67" t="inlineStr">
        <is>
          <t>https://www.scribd.com/document/1014775753/1-1-IMO-Adopted-Traffic-Separation-Schemes-on-the-ADMIRALTY-Chart-Series</t>
        </is>
      </c>
      <c r="M46" s="66" t="inlineStr">
        <is>
          <t>Notice 17; scheme label: In The Sound</t>
        </is>
      </c>
      <c r="N46" s="66" t="inlineStr">
        <is>
          <t>UKHO-labelled document on third-party host; edition and currency unverified.</t>
        </is>
      </c>
      <c r="O46" s="66" t="inlineStr">
        <is>
          <t>SRC-009; SRC-015; SRC-021</t>
        </is>
      </c>
      <c r="P46" s="67" t="inlineStr">
        <is>
          <t>https://www.sjofartsverket.se/en/services/maritime-traffic-information/soundrep/soundrep-information/about-soundrep/
https://www.forsvaret.dk/da/organisation/soevaernet/nationalt-maritimt-operationscenter/vts/
https://www.sjofartsverket.se/globalassets/tjanster/sjotrafiktjanster/msc.31488.pdf</t>
        </is>
      </c>
      <c r="Q46" s="66" t="inlineStr">
        <is>
          <t>B08</t>
        </is>
      </c>
      <c r="R46" s="66" t="inlineStr">
        <is>
          <t>Initial association evidenced</t>
        </is>
      </c>
      <c r="S46" s="66" t="inlineStr">
        <is>
          <t>2026-09-29</t>
        </is>
      </c>
    </row>
    <row r="47" ht="106.5" customHeight="1" s="63">
      <c r="A47" s="66" t="inlineStr">
        <is>
          <t>TSS-0041</t>
        </is>
      </c>
      <c r="B47" s="66" t="inlineStr">
        <is>
          <t>Baltic Sea and approaches</t>
        </is>
      </c>
      <c r="C47" s="66" t="inlineStr">
        <is>
          <t>Off Falsterborev</t>
        </is>
      </c>
      <c r="D47" s="66" t="inlineStr">
        <is>
          <t>Source entry; component check pending</t>
        </is>
      </c>
      <c r="E47" s="66" t="inlineStr">
        <is>
          <t>Provisional: official baseline reconciliation pending</t>
        </is>
      </c>
      <c r="F47" s="66" t="inlineStr">
        <is>
          <t>Service association evidenced; boundary audit pending</t>
        </is>
      </c>
      <c r="G47" s="66" t="inlineStr">
        <is>
          <t>Mandatory scheme association evidenced; applicability audit pending</t>
        </is>
      </c>
      <c r="H47" s="66" t="inlineStr">
        <is>
          <t>VTS-003</t>
        </is>
      </c>
      <c r="I47" s="66" t="inlineStr">
        <is>
          <t>SRS-003</t>
        </is>
      </c>
      <c r="J47" s="66" t="inlineStr">
        <is>
          <t>MSC.314(88), annex 6.2–6.3, names 'In the Sound' and 'Off Falsterbo'. Preserve the candidate label; formal alias reconciliation remains pending.</t>
        </is>
      </c>
      <c r="K47" s="66" t="inlineStr">
        <is>
          <t>SRC-001</t>
        </is>
      </c>
      <c r="L47" s="67" t="inlineStr">
        <is>
          <t>https://www.scribd.com/document/1014775753/1-1-IMO-Adopted-Traffic-Separation-Schemes-on-the-ADMIRALTY-Chart-Series</t>
        </is>
      </c>
      <c r="M47" s="66" t="inlineStr">
        <is>
          <t>Notice 17; scheme label: Off Falsterborev</t>
        </is>
      </c>
      <c r="N47" s="66" t="inlineStr">
        <is>
          <t>UKHO-labelled document on third-party host; edition and currency unverified.</t>
        </is>
      </c>
      <c r="O47" s="66" t="inlineStr">
        <is>
          <t>SRC-009; SRC-015; SRC-021</t>
        </is>
      </c>
      <c r="P47" s="67" t="inlineStr">
        <is>
          <t>https://www.sjofartsverket.se/en/services/maritime-traffic-information/soundrep/soundrep-information/about-soundrep/
https://www.forsvaret.dk/da/organisation/soevaernet/nationalt-maritimt-operationscenter/vts/
https://www.sjofartsverket.se/globalassets/tjanster/sjotrafiktjanster/msc.31488.pdf</t>
        </is>
      </c>
      <c r="Q47" s="66" t="inlineStr">
        <is>
          <t>B09</t>
        </is>
      </c>
      <c r="R47" s="66" t="inlineStr">
        <is>
          <t>Initial association evidenced</t>
        </is>
      </c>
      <c r="S47" s="66" t="inlineStr">
        <is>
          <t>2026-09-29</t>
        </is>
      </c>
    </row>
    <row r="48" ht="60" customHeight="1" s="63">
      <c r="A48" s="66" t="inlineStr">
        <is>
          <t>TSS-0042</t>
        </is>
      </c>
      <c r="B48" s="66" t="inlineStr">
        <is>
          <t>Baltic Sea and approaches</t>
        </is>
      </c>
      <c r="C48" s="66" t="inlineStr">
        <is>
          <t>Off Kiel Lighthouse</t>
        </is>
      </c>
      <c r="D48" s="66" t="inlineStr">
        <is>
          <t>Source entry; component check pending</t>
        </is>
      </c>
      <c r="E48" s="66" t="inlineStr">
        <is>
          <t>Provisional: official baseline reconciliation pending</t>
        </is>
      </c>
      <c r="F48" s="66" t="inlineStr">
        <is>
          <t>Not researched</t>
        </is>
      </c>
      <c r="G48" s="66" t="inlineStr">
        <is>
          <t>Not researched</t>
        </is>
      </c>
      <c r="H48" s="66" t="str"/>
      <c r="I48" s="66" t="str"/>
      <c r="J48" s="66" t="str"/>
      <c r="K48" s="66" t="inlineStr">
        <is>
          <t>SRC-001</t>
        </is>
      </c>
      <c r="L48" s="67" t="inlineStr">
        <is>
          <t>https://www.scribd.com/document/1014775753/1-1-IMO-Adopted-Traffic-Separation-Schemes-on-the-ADMIRALTY-Chart-Series</t>
        </is>
      </c>
      <c r="M48" s="66" t="inlineStr">
        <is>
          <t>Notice 17; scheme label: Off Kiel Lighthouse</t>
        </is>
      </c>
      <c r="N48" s="66" t="inlineStr">
        <is>
          <t>UKHO-labelled document on third-party host; edition and currency unverified.</t>
        </is>
      </c>
      <c r="O48" s="66" t="str"/>
      <c r="P48" s="67" t="str"/>
      <c r="Q48" s="66" t="inlineStr">
        <is>
          <t>B09</t>
        </is>
      </c>
      <c r="R48" s="66" t="inlineStr">
        <is>
          <t>Candidate recorded</t>
        </is>
      </c>
      <c r="S48" s="66" t="inlineStr">
        <is>
          <t>Not established</t>
        </is>
      </c>
    </row>
    <row r="49" ht="79.5" customHeight="1" s="63">
      <c r="A49" s="66" t="inlineStr">
        <is>
          <t>TSS-0043</t>
        </is>
      </c>
      <c r="B49" s="66" t="inlineStr">
        <is>
          <t>Baltic Sea and approaches</t>
        </is>
      </c>
      <c r="C49" s="66" t="inlineStr">
        <is>
          <t>Gulf of Gdansk</t>
        </is>
      </c>
      <c r="D49" s="66" t="inlineStr">
        <is>
          <t>Grouped source entry; two components identified</t>
        </is>
      </c>
      <c r="E49" s="66" t="inlineStr">
        <is>
          <t>Provisional: official baseline reconciliation pending</t>
        </is>
      </c>
      <c r="F49" s="66" t="inlineStr">
        <is>
          <t>Service association evidenced; boundary audit pending</t>
        </is>
      </c>
      <c r="G49" s="66" t="inlineStr">
        <is>
          <t>Mandatory scheme association evidenced; applicability audit pending</t>
        </is>
      </c>
      <c r="H49" s="66" t="inlineStr">
        <is>
          <t>VTS-015</t>
        </is>
      </c>
      <c r="I49" s="66" t="inlineStr">
        <is>
          <t>SRS-007</t>
        </is>
      </c>
      <c r="J49" s="66" t="inlineStr">
        <is>
          <t>Authority explicitly identifies TSS East and TSS West within VTS Zatoka Gdańska. Children retained in TSS Components, without changing the parent-row count.</t>
        </is>
      </c>
      <c r="K49" s="66" t="inlineStr">
        <is>
          <t>SRC-001</t>
        </is>
      </c>
      <c r="L49" s="67" t="inlineStr">
        <is>
          <t>https://www.scribd.com/document/1014775753/1-1-IMO-Adopted-Traffic-Separation-Schemes-on-the-ADMIRALTY-Chart-Series</t>
        </is>
      </c>
      <c r="M49" s="66" t="inlineStr">
        <is>
          <t>Notice 17; scheme label: Gulf of Gdansk</t>
        </is>
      </c>
      <c r="N49" s="66" t="inlineStr">
        <is>
          <t>UKHO-labelled document on third-party host; edition and currency unverified.</t>
        </is>
      </c>
      <c r="O49" s="66" t="inlineStr">
        <is>
          <t>SRC-019; SRC-010</t>
        </is>
      </c>
      <c r="P49" s="67" t="inlineStr">
        <is>
          <t>https://www.umgdy.gov.pl/en/marine-safety/vts-zatoka-gdanska-en/
https://www.transportstyrelsen.se/sv/sjofart/sjotrafik-och-hamnar/sjotrafikrapporteringssystem-srs/</t>
        </is>
      </c>
      <c r="Q49" s="66" t="inlineStr">
        <is>
          <t>B09</t>
        </is>
      </c>
      <c r="R49" s="66" t="inlineStr">
        <is>
          <t>Initial association evidenced</t>
        </is>
      </c>
      <c r="S49" s="66" t="inlineStr">
        <is>
          <t>2026-09-29</t>
        </is>
      </c>
    </row>
    <row r="50" ht="60" customHeight="1" s="63">
      <c r="A50" s="66" t="inlineStr">
        <is>
          <t>TSS-0044</t>
        </is>
      </c>
      <c r="B50" s="66" t="inlineStr">
        <is>
          <t>Baltic Sea and approaches</t>
        </is>
      </c>
      <c r="C50" s="66" t="inlineStr">
        <is>
          <t>In Norra Kvarken</t>
        </is>
      </c>
      <c r="D50" s="66" t="inlineStr">
        <is>
          <t>Source entry; component check pending</t>
        </is>
      </c>
      <c r="E50" s="66" t="inlineStr">
        <is>
          <t>Provisional: official baseline reconciliation pending</t>
        </is>
      </c>
      <c r="F50" s="66" t="inlineStr">
        <is>
          <t>Not researched</t>
        </is>
      </c>
      <c r="G50" s="66" t="inlineStr">
        <is>
          <t>Not researched</t>
        </is>
      </c>
      <c r="H50" s="66" t="str"/>
      <c r="I50" s="66" t="str"/>
      <c r="J50" s="66" t="str"/>
      <c r="K50" s="66" t="inlineStr">
        <is>
          <t>SRC-001</t>
        </is>
      </c>
      <c r="L50" s="67" t="inlineStr">
        <is>
          <t>https://www.scribd.com/document/1014775753/1-1-IMO-Adopted-Traffic-Separation-Schemes-on-the-ADMIRALTY-Chart-Series</t>
        </is>
      </c>
      <c r="M50" s="66" t="inlineStr">
        <is>
          <t>Notice 17; scheme label: In Norra Kvarken</t>
        </is>
      </c>
      <c r="N50" s="66" t="inlineStr">
        <is>
          <t>UKHO-labelled document on third-party host; edition and currency unverified.</t>
        </is>
      </c>
      <c r="O50" s="66" t="str"/>
      <c r="P50" s="67" t="str"/>
      <c r="Q50" s="66" t="inlineStr">
        <is>
          <t>B09</t>
        </is>
      </c>
      <c r="R50" s="66" t="inlineStr">
        <is>
          <t>Candidate recorded</t>
        </is>
      </c>
      <c r="S50" s="66" t="inlineStr">
        <is>
          <t>Not established</t>
        </is>
      </c>
    </row>
    <row r="51" ht="60" customHeight="1" s="63">
      <c r="A51" s="66" t="inlineStr">
        <is>
          <t>TSS-0045</t>
        </is>
      </c>
      <c r="B51" s="66" t="inlineStr">
        <is>
          <t>Baltic Sea and approaches</t>
        </is>
      </c>
      <c r="C51" s="66" t="inlineStr">
        <is>
          <t>In the vicinity of the Kattegat</t>
        </is>
      </c>
      <c r="D51" s="66" t="inlineStr">
        <is>
          <t>Source entry; component check pending</t>
        </is>
      </c>
      <c r="E51" s="66" t="inlineStr">
        <is>
          <t>Provisional: official baseline reconciliation pending</t>
        </is>
      </c>
      <c r="F51" s="66" t="inlineStr">
        <is>
          <t>Not researched</t>
        </is>
      </c>
      <c r="G51" s="66" t="inlineStr">
        <is>
          <t>Not researched</t>
        </is>
      </c>
      <c r="H51" s="66" t="str"/>
      <c r="I51" s="66" t="str"/>
      <c r="J51" s="66" t="inlineStr">
        <is>
          <t>Area-level label. Reconcile component schemes and 2020 routeing changes.</t>
        </is>
      </c>
      <c r="K51" s="66" t="inlineStr">
        <is>
          <t>SRC-001</t>
        </is>
      </c>
      <c r="L51" s="67" t="inlineStr">
        <is>
          <t>https://www.scribd.com/document/1014775753/1-1-IMO-Adopted-Traffic-Separation-Schemes-on-the-ADMIRALTY-Chart-Series</t>
        </is>
      </c>
      <c r="M51" s="66" t="inlineStr">
        <is>
          <t>Notice 17; scheme label: In the vicinity of the Kattegat</t>
        </is>
      </c>
      <c r="N51" s="66" t="inlineStr">
        <is>
          <t>UKHO-labelled document on third-party host; edition and currency unverified.</t>
        </is>
      </c>
      <c r="O51" s="66" t="str"/>
      <c r="P51" s="67" t="str"/>
      <c r="Q51" s="66" t="inlineStr">
        <is>
          <t>B09</t>
        </is>
      </c>
      <c r="R51" s="66" t="inlineStr">
        <is>
          <t>Candidate recorded</t>
        </is>
      </c>
      <c r="S51" s="66" t="inlineStr">
        <is>
          <t>Not established</t>
        </is>
      </c>
    </row>
    <row r="52" ht="60" customHeight="1" s="63">
      <c r="A52" s="66" t="inlineStr">
        <is>
          <t>TSS-0046</t>
        </is>
      </c>
      <c r="B52" s="66" t="inlineStr">
        <is>
          <t>North Sea continental coast</t>
        </is>
      </c>
      <c r="C52" s="66" t="inlineStr">
        <is>
          <t>German Bight Western Approach</t>
        </is>
      </c>
      <c r="D52" s="66" t="inlineStr">
        <is>
          <t>Source entry; single scheme on first-pass evidence</t>
        </is>
      </c>
      <c r="E52" s="66" t="inlineStr">
        <is>
          <t>TSS identity confirmed (first pass); operational status: In force. Official baseline reconciliation pending.</t>
        </is>
      </c>
      <c r="F52" s="66" t="inlineStr">
        <is>
          <t>Confirmed present: VTS-016</t>
        </is>
      </c>
      <c r="G52" s="66" t="inlineStr">
        <is>
          <t>Unresolved</t>
        </is>
      </c>
      <c r="H52" s="66" t="inlineStr">
        <is>
          <t>VTS-016</t>
        </is>
      </c>
      <c r="I52" s="66" t="n"/>
      <c r="J52" s="66" t="inlineStr">
        <is>
          <t>Official name found: German Bight western approach. Named in IMO COLREG.2/Circ.59 (MSC 83, 2007) as amended scheme with special provisions for the North Hinder to German Bight tanker route, implemented 1 May 2008 (S1); listed in IMO Ships' Routeing 2008 (S27) and Transportstyrelsen 2017 list (S4). German statute designates it a deep-water route (Tiefwasserweg) mandatory for large tankers (S6 Nr. 6). MSC 109 adopted a revised containership recommendation covering it from 1 July 2025 (lead S5). No evidence of renaming or restructuring by recent IMO amendments was found.</t>
        </is>
      </c>
      <c r="K52" s="66" t="inlineStr">
        <is>
          <t>SRC-001</t>
        </is>
      </c>
      <c r="L52" s="67" t="inlineStr">
        <is>
          <t>https://www.scribd.com/document/1014775753/1-1-IMO-Adopted-Traffic-Separation-Schemes-on-the-ADMIRALTY-Chart-Series</t>
        </is>
      </c>
      <c r="M52" s="66" t="inlineStr">
        <is>
          <t>Notice 17; scheme label: German Bight Western Approach</t>
        </is>
      </c>
      <c r="N52" s="66" t="inlineStr">
        <is>
          <t>UKHO-labelled document on third-party host; edition and currency unverified.</t>
        </is>
      </c>
      <c r="O52" s="66" t="inlineStr">
        <is>
          <t>SRC-024; SRC-027; SRC-028; SRC-029; SRC-031; SRC-033; SRC-034; SRC-050</t>
        </is>
      </c>
      <c r="P52" s="67"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https://www.gesetze-im-internet.de/anlbv_2004/anlage.html
https://www.wsa-weser-jade-nordsee.wsv.de/Webs/WSA/Weser-Jade-Nordsee/DE/Schifffahrt/Verkehrszentralen/verkehrsundrevierzentralen_node.html
https://www.elwis.de/DE/Seeschifffahrt/Verkehrs-und-Sicherheitsmanagement/Verkehrszentralen/Verkehrskanaele.pdf?__blob=publicationFile
https://epflicht.ulb.uni-bonn.de/download/pdf/564811
https://www.fpp.uni-lj.si/mma_bin.php?id=2011032217361737</t>
        </is>
      </c>
      <c r="Q52" s="66" t="inlineStr">
        <is>
          <t>B10</t>
        </is>
      </c>
      <c r="R52" s="66" t="inlineStr">
        <is>
          <t>Initial association evidenced</t>
        </is>
      </c>
      <c r="S52" s="66" t="inlineStr">
        <is>
          <t>2026-09-29</t>
        </is>
      </c>
    </row>
    <row r="53" ht="60" customHeight="1" s="63">
      <c r="A53" s="66" t="inlineStr">
        <is>
          <t>TSS-0047</t>
        </is>
      </c>
      <c r="B53" s="66" t="inlineStr">
        <is>
          <t>North Sea continental coast</t>
        </is>
      </c>
      <c r="C53" s="66" t="inlineStr">
        <is>
          <t>Elbe Approach</t>
        </is>
      </c>
      <c r="D53" s="66" t="inlineStr">
        <is>
          <t>Source entry; single scheme on first-pass evidence</t>
        </is>
      </c>
      <c r="E53" s="66" t="inlineStr">
        <is>
          <t>TSS identity confirmed (first pass); operational status: In force. Official baseline reconciliation pending.</t>
        </is>
      </c>
      <c r="F53" s="66" t="inlineStr">
        <is>
          <t>Confirmed present: VTS-018, VTS-016</t>
        </is>
      </c>
      <c r="G53" s="66" t="inlineStr">
        <is>
          <t>Unresolved</t>
        </is>
      </c>
      <c r="H53" s="66" t="inlineStr">
        <is>
          <t>VTS-018; VTS-016</t>
        </is>
      </c>
      <c r="I53" s="66" t="n"/>
      <c r="J53" s="66" t="inlineStr">
        <is>
          <t>Official name found: Elbe approach. Listed as 'Elbe approach' in IMO Ships' Routeing 2008 (S27) and the Transportstyrelsen 2017 list of IMO schemes (S4). Adopting and latest amending circular not retrieved.</t>
        </is>
      </c>
      <c r="K53" s="66" t="inlineStr">
        <is>
          <t>SRC-001</t>
        </is>
      </c>
      <c r="L53" s="67" t="inlineStr">
        <is>
          <t>https://www.scribd.com/document/1014775753/1-1-IMO-Adopted-Traffic-Separation-Schemes-on-the-ADMIRALTY-Chart-Series</t>
        </is>
      </c>
      <c r="M53" s="66" t="inlineStr">
        <is>
          <t>Notice 17; scheme label: Elbe Approach</t>
        </is>
      </c>
      <c r="N53" s="66" t="inlineStr">
        <is>
          <t>UKHO-labelled document on third-party host; edition and currency unverified.</t>
        </is>
      </c>
      <c r="O53" s="66" t="inlineStr">
        <is>
          <t>SRC-027; SRC-029; SRC-030; SRC-032; SRC-033; SRC-050</t>
        </is>
      </c>
      <c r="P53" s="67" t="inlineStr">
        <is>
          <t>https://transportstyrelsen.se/globalassets/global/sjofart/dokument/sjotrafik_dok/ruttsystem.pdf
https://www.gesetze-im-internet.de/anlbv_2004/anlage.html
https://www.elwis.de/DE/Schifffahrtsrecht/Seeschifffahrtsrecht/SeeSchStrO/Achter-Abschnitt/58/58-node.html
https://www.wsa-elbe-nordsee.wsv.de/Webs/WSA/Elbe-Nordsee/DE/2_Schifffahrt/4_Verkehrszentralen/2_Cuxhaven/Cuxhaven_node.html
https://www.elwis.de/DE/Seeschifffahrt/Verkehrs-und-Sicherheitsmanagement/Verkehrszentralen/Verkehrskanaele.pdf?__blob=publicationFile
https://www.fpp.uni-lj.si/mma_bin.php?id=2011032217361737</t>
        </is>
      </c>
      <c r="Q53" s="66" t="inlineStr">
        <is>
          <t>B10</t>
        </is>
      </c>
      <c r="R53" s="66" t="inlineStr">
        <is>
          <t>Initial association evidenced</t>
        </is>
      </c>
      <c r="S53" s="66" t="inlineStr">
        <is>
          <t>2026-09-29</t>
        </is>
      </c>
    </row>
    <row r="54" ht="60" customHeight="1" s="63">
      <c r="A54" s="66" t="inlineStr">
        <is>
          <t>TSS-0048</t>
        </is>
      </c>
      <c r="B54" s="66" t="inlineStr">
        <is>
          <t>North Sea continental coast</t>
        </is>
      </c>
      <c r="C54" s="66" t="inlineStr">
        <is>
          <t>Jade Approach</t>
        </is>
      </c>
      <c r="D54" s="66" t="inlineStr">
        <is>
          <t>Source entry; single scheme on first-pass evidence</t>
        </is>
      </c>
      <c r="E54" s="66" t="inlineStr">
        <is>
          <t>TSS identity confirmed (first pass); operational status: In force. Official baseline reconciliation pending.</t>
        </is>
      </c>
      <c r="F54" s="66" t="inlineStr">
        <is>
          <t>Confirmed present: VTS-016</t>
        </is>
      </c>
      <c r="G54" s="66" t="inlineStr">
        <is>
          <t>Unresolved</t>
        </is>
      </c>
      <c r="H54" s="66" t="inlineStr">
        <is>
          <t>VTS-016</t>
        </is>
      </c>
      <c r="I54" s="66" t="n"/>
      <c r="J54" s="66" t="inlineStr">
        <is>
          <t>Official name found: Jade approach. Listed as 'Jade approach' in IMO Ships' Routeing 2008 (S27) and Transportstyrelsen 2017 list (S4). WSV describes it as the link between Terschelling-German Bight and the Western Approach giving access to Weser and Jade from the north (S11). German statute places a pilot transfer position 'im Verkehrstrennungsgebiet Jade Approach' within the Inner German Bight (S6 Nr. 8).</t>
        </is>
      </c>
      <c r="K54" s="66" t="inlineStr">
        <is>
          <t>SRC-001</t>
        </is>
      </c>
      <c r="L54" s="67" t="inlineStr">
        <is>
          <t>https://www.scribd.com/document/1014775753/1-1-IMO-Adopted-Traffic-Separation-Schemes-on-the-ADMIRALTY-Chart-Series</t>
        </is>
      </c>
      <c r="M54" s="66" t="inlineStr">
        <is>
          <t>Notice 17; scheme label: Jade Approach</t>
        </is>
      </c>
      <c r="N54" s="66" t="inlineStr">
        <is>
          <t>UKHO-labelled document on third-party host; edition and currency unverified.</t>
        </is>
      </c>
      <c r="O54" s="66" t="inlineStr">
        <is>
          <t>SRC-027; SRC-029; SRC-030; SRC-031; SRC-034; SRC-050</t>
        </is>
      </c>
      <c r="P54" s="67" t="inlineStr">
        <is>
          <t>https://transportstyrelsen.se/globalassets/global/sjofart/dokument/sjotrafik_dok/ruttsystem.pdf
https://www.gesetze-im-internet.de/anlbv_2004/anlage.html
https://www.elwis.de/DE/Schifffahrtsrecht/Seeschifffahrtsrecht/SeeSchStrO/Achter-Abschnitt/58/58-node.html
https://www.wsa-weser-jade-nordsee.wsv.de/Webs/WSA/Weser-Jade-Nordsee/DE/Schifffahrt/Verkehrszentralen/verkehrsundrevierzentralen_node.html
https://epflicht.ulb.uni-bonn.de/download/pdf/564811
https://www.fpp.uni-lj.si/mma_bin.php?id=2011032217361737</t>
        </is>
      </c>
      <c r="Q54" s="66" t="inlineStr">
        <is>
          <t>B10</t>
        </is>
      </c>
      <c r="R54" s="66" t="inlineStr">
        <is>
          <t>Initial association evidenced</t>
        </is>
      </c>
      <c r="S54" s="66" t="inlineStr">
        <is>
          <t>2026-09-29</t>
        </is>
      </c>
    </row>
    <row r="55" ht="60" customHeight="1" s="63">
      <c r="A55" s="66" t="inlineStr">
        <is>
          <t>TSS-0049</t>
        </is>
      </c>
      <c r="B55" s="66" t="inlineStr">
        <is>
          <t>North Sea continental coast</t>
        </is>
      </c>
      <c r="C55" s="66" t="inlineStr">
        <is>
          <t>Terschelling - German Bight</t>
        </is>
      </c>
      <c r="D55" s="66" t="inlineStr">
        <is>
          <t>Source entry; single scheme on first-pass evidence</t>
        </is>
      </c>
      <c r="E55" s="66" t="inlineStr">
        <is>
          <t>TSS identity confirmed (first pass); operational status: In force. Official baseline reconciliation pending.</t>
        </is>
      </c>
      <c r="F55" s="66" t="inlineStr">
        <is>
          <t>Confirmed present: VTS-016</t>
        </is>
      </c>
      <c r="G55" s="66" t="inlineStr">
        <is>
          <t>Unresolved</t>
        </is>
      </c>
      <c r="H55" s="66" t="inlineStr">
        <is>
          <t>VTS-016</t>
        </is>
      </c>
      <c r="I55" s="66" t="n"/>
      <c r="J55" s="66" t="inlineStr">
        <is>
          <t>Official name found: Terschelling-German Bight. Amended by COLREG.2/Circ.59 (MSC 83, implemented 1 May 2008) (S1); listed in Ships' Routeing 2008 (S27) and Transportstyrelsen 2017 list (S4). MSC 109 containership recommendation from 1 July 2025 (lead S5).</t>
        </is>
      </c>
      <c r="K55" s="66" t="inlineStr">
        <is>
          <t>SRC-001</t>
        </is>
      </c>
      <c r="L55" s="67" t="inlineStr">
        <is>
          <t>https://www.scribd.com/document/1014775753/1-1-IMO-Adopted-Traffic-Separation-Schemes-on-the-ADMIRALTY-Chart-Series</t>
        </is>
      </c>
      <c r="M55" s="66" t="inlineStr">
        <is>
          <t>Notice 17; scheme label: Terschelling - German Bight</t>
        </is>
      </c>
      <c r="N55" s="66" t="inlineStr">
        <is>
          <t>UKHO-labelled document on third-party host; edition and currency unverified.</t>
        </is>
      </c>
      <c r="O55" s="66" t="inlineStr">
        <is>
          <t>SRC-024; SRC-027; SRC-028; SRC-029; SRC-030; SRC-031; SRC-034; SRC-036; SRC-037; SRC-038; SRC-050</t>
        </is>
      </c>
      <c r="P55" s="67"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https://www.gesetze-im-internet.de/anlbv_2004/anlage.html
https://www.elwis.de/DE/Schifffahrtsrecht/Seeschifffahrtsrecht/SeeSchStrO/Achter-Abschnitt/58/58-node.html
https://www.wsa-weser-jade-nordsee.wsv.de/Webs/WSA/Weser-Jade-Nordsee/DE/Schifffahrt/Verkehrszentralen/verkehrsundrevierzentralen_node.html
https://epflicht.ulb.uni-bonn.de/download/pdf/564811
https://kustwacht.nl/en/merchant-shipping/advice-for-container-ships-near-west-frisian-islands/
https://kustwacht.nl/hulpverlening/vtm/
https://kustwacht.nl/maritieme-organisaties/verkeerscentrales/
https://www.fpp.uni-lj.si/mma_bin.php?id=2011032217361737</t>
        </is>
      </c>
      <c r="Q55" s="66" t="inlineStr">
        <is>
          <t>B10</t>
        </is>
      </c>
      <c r="R55" s="66" t="inlineStr">
        <is>
          <t>Initial association evidenced</t>
        </is>
      </c>
      <c r="S55" s="66" t="inlineStr">
        <is>
          <t>2026-09-29</t>
        </is>
      </c>
    </row>
    <row r="56" ht="60" customHeight="1" s="63">
      <c r="A56" s="66" t="inlineStr">
        <is>
          <t>TSS-0050</t>
        </is>
      </c>
      <c r="B56" s="66" t="inlineStr">
        <is>
          <t>North Sea continental coast</t>
        </is>
      </c>
      <c r="C56" s="66" t="inlineStr">
        <is>
          <t>Vlieland North</t>
        </is>
      </c>
      <c r="D56" s="66" t="inlineStr">
        <is>
          <t>Source entry; 3 parts recorded (structure only, not a scheme count)</t>
        </is>
      </c>
      <c r="E56" s="66" t="inlineStr">
        <is>
          <t>TSS identity confirmed (first pass); operational status: In force. Official baseline reconciliation pending.</t>
        </is>
      </c>
      <c r="F56" s="66" t="inlineStr">
        <is>
          <t>Unresolved</t>
        </is>
      </c>
      <c r="G56" s="66" t="inlineStr">
        <is>
          <t>Unresolved</t>
        </is>
      </c>
      <c r="H56" s="66" t="n"/>
      <c r="I56" s="66" t="n"/>
      <c r="J56" s="66" t="inlineStr">
        <is>
          <t>Official name found: Vlieland North (part of 'Off Vlieland, Vlieland North and Vlieland Junction'). COLREG.2/Circ.59 (MSC 83, implemented 1 May 2008) amended the special provisions of 'Off Vlieland, Vlieland North and Vlieland Junction' (S1). IMO Ships' Routeing 2008 treats these as one routeing system entry (S27). Component of the same system as TSS-0051.</t>
        </is>
      </c>
      <c r="K56" s="66" t="inlineStr">
        <is>
          <t>SRC-001</t>
        </is>
      </c>
      <c r="L56" s="67" t="inlineStr">
        <is>
          <t>https://www.scribd.com/document/1014775753/1-1-IMO-Adopted-Traffic-Separation-Schemes-on-the-ADMIRALTY-Chart-Series</t>
        </is>
      </c>
      <c r="M56" s="66" t="inlineStr">
        <is>
          <t>Notice 17; scheme label: Vlieland North</t>
        </is>
      </c>
      <c r="N56" s="66" t="inlineStr">
        <is>
          <t>UKHO-labelled document on third-party host; edition and currency unverified.</t>
        </is>
      </c>
      <c r="O56" s="66" t="inlineStr">
        <is>
          <t>SRC-024; SRC-027; SRC-036; SRC-037; SRC-038; SRC-050</t>
        </is>
      </c>
      <c r="P56" s="67" t="inlineStr">
        <is>
          <t>https://cimrc.shmtu.edu.cn/_upload/article/files/63/dc/35c66be74d12873254dc88a2ef00/465d5392-0ba5-4f33-8e61-a48e3499b1b3.pdf
https://transportstyrelsen.se/globalassets/global/sjofart/dokument/sjotrafik_dok/ruttsystem.pdf
https://kustwacht.nl/en/merchant-shipping/advice-for-container-ships-near-west-frisian-islands/
https://kustwacht.nl/hulpverlening/vtm/
https://kustwacht.nl/maritieme-organisaties/verkeerscentrales/
https://www.fpp.uni-lj.si/mma_bin.php?id=2011032217361737</t>
        </is>
      </c>
      <c r="Q56" s="66" t="inlineStr">
        <is>
          <t>B10</t>
        </is>
      </c>
      <c r="R56" s="66" t="inlineStr">
        <is>
          <t>Researched; unresolved</t>
        </is>
      </c>
      <c r="S56" s="66" t="inlineStr">
        <is>
          <t>2026-09-29</t>
        </is>
      </c>
    </row>
    <row r="57" ht="60" customHeight="1" s="63">
      <c r="A57" s="66" t="inlineStr">
        <is>
          <t>TSS-0051</t>
        </is>
      </c>
      <c r="B57" s="66" t="inlineStr">
        <is>
          <t>North Sea continental coast</t>
        </is>
      </c>
      <c r="C57" s="66" t="inlineStr">
        <is>
          <t>Off Vlieland</t>
        </is>
      </c>
      <c r="D57" s="66" t="inlineStr">
        <is>
          <t>Source entry; 3 parts recorded (structure only, not a scheme count)</t>
        </is>
      </c>
      <c r="E57" s="66" t="inlineStr">
        <is>
          <t>TSS identity confirmed (first pass); operational status: In force. Official baseline reconciliation pending.</t>
        </is>
      </c>
      <c r="F57" s="66" t="inlineStr">
        <is>
          <t>Unresolved</t>
        </is>
      </c>
      <c r="G57" s="66" t="inlineStr">
        <is>
          <t>Unresolved</t>
        </is>
      </c>
      <c r="H57" s="66" t="n"/>
      <c r="I57" s="66" t="n"/>
      <c r="J57" s="66" t="inlineStr">
        <is>
          <t>Official name found: Off Vlieland (part of 'Off Vlieland, Vlieland North and Vlieland Junction'). As TSS-0050: amended by COLREG.2/Circ.59, implemented 1 May 2008 (S1); single entry in Ships' Routeing 2008 (S27). MSC 109 containership recommendation covers 'Off Vlieland' from 1 July 2025 (lead S5).</t>
        </is>
      </c>
      <c r="K57" s="66" t="inlineStr">
        <is>
          <t>SRC-001</t>
        </is>
      </c>
      <c r="L57" s="67" t="inlineStr">
        <is>
          <t>https://www.scribd.com/document/1014775753/1-1-IMO-Adopted-Traffic-Separation-Schemes-on-the-ADMIRALTY-Chart-Series</t>
        </is>
      </c>
      <c r="M57" s="66" t="inlineStr">
        <is>
          <t>Notice 17; scheme label: Off Vlieland</t>
        </is>
      </c>
      <c r="N57" s="66" t="inlineStr">
        <is>
          <t>UKHO-labelled document on third-party host; edition and currency unverified.</t>
        </is>
      </c>
      <c r="O57" s="66" t="inlineStr">
        <is>
          <t>SRC-024; SRC-027; SRC-028; SRC-036; SRC-037; SRC-038; SRC-050</t>
        </is>
      </c>
      <c r="P57" s="67"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https://kustwacht.nl/en/merchant-shipping/advice-for-container-ships-near-west-frisian-islands/
https://kustwacht.nl/hulpverlening/vtm/
https://kustwacht.nl/maritieme-organisaties/verkeerscentrales/
https://www.fpp.uni-lj.si/mma_bin.php?id=2011032217361737</t>
        </is>
      </c>
      <c r="Q57" s="66" t="inlineStr">
        <is>
          <t>B11</t>
        </is>
      </c>
      <c r="R57" s="66" t="inlineStr">
        <is>
          <t>Researched; unresolved</t>
        </is>
      </c>
      <c r="S57" s="66" t="inlineStr">
        <is>
          <t>2026-09-29</t>
        </is>
      </c>
    </row>
    <row r="58" ht="60" customHeight="1" s="63">
      <c r="A58" s="66" t="inlineStr">
        <is>
          <t>TSS-0052</t>
        </is>
      </c>
      <c r="B58" s="66" t="inlineStr">
        <is>
          <t>North Sea continental coast</t>
        </is>
      </c>
      <c r="C58" s="66" t="inlineStr">
        <is>
          <t>Off Texel</t>
        </is>
      </c>
      <c r="D58" s="66" t="inlineStr">
        <is>
          <t>Source entry; single scheme on first-pass evidence</t>
        </is>
      </c>
      <c r="E58" s="66" t="inlineStr">
        <is>
          <t>TSS identity confirmed (first pass); operational status: In force. Official baseline reconciliation pending.</t>
        </is>
      </c>
      <c r="F58" s="66" t="inlineStr">
        <is>
          <t>Unresolved</t>
        </is>
      </c>
      <c r="G58" s="66" t="inlineStr">
        <is>
          <t>Unresolved</t>
        </is>
      </c>
      <c r="H58" s="66" t="n"/>
      <c r="I58" s="66" t="n"/>
      <c r="J58" s="66" t="inlineStr">
        <is>
          <t>Amended by COLREG.2/Circ.59 (implemented 1 May 2008) (S1); further amended by COLREG.2/Circ.64 (MSC 91, 2012), implemented 1 August 2013, per the Transportstyrelsen list (S4); Circ.64 text itself not retrieved.</t>
        </is>
      </c>
      <c r="K58" s="66" t="inlineStr">
        <is>
          <t>SRC-001</t>
        </is>
      </c>
      <c r="L58" s="67" t="inlineStr">
        <is>
          <t>https://www.scribd.com/document/1014775753/1-1-IMO-Adopted-Traffic-Separation-Schemes-on-the-ADMIRALTY-Chart-Series</t>
        </is>
      </c>
      <c r="M58" s="66" t="inlineStr">
        <is>
          <t>Notice 17; scheme label: Off Texel</t>
        </is>
      </c>
      <c r="N58" s="66" t="inlineStr">
        <is>
          <t>UKHO-labelled document on third-party host; edition and currency unverified.</t>
        </is>
      </c>
      <c r="O58" s="66" t="inlineStr">
        <is>
          <t>SRC-024; SRC-027; SRC-037; SRC-038</t>
        </is>
      </c>
      <c r="P58" s="67" t="inlineStr">
        <is>
          <t>https://cimrc.shmtu.edu.cn/_upload/article/files/63/dc/35c66be74d12873254dc88a2ef00/465d5392-0ba5-4f33-8e61-a48e3499b1b3.pdf
https://transportstyrelsen.se/globalassets/global/sjofart/dokument/sjotrafik_dok/ruttsystem.pdf
https://kustwacht.nl/hulpverlening/vtm/
https://kustwacht.nl/maritieme-organisaties/verkeerscentrales/</t>
        </is>
      </c>
      <c r="Q58" s="66" t="inlineStr">
        <is>
          <t>B11</t>
        </is>
      </c>
      <c r="R58" s="66" t="inlineStr">
        <is>
          <t>Researched; unresolved</t>
        </is>
      </c>
      <c r="S58" s="66" t="inlineStr">
        <is>
          <t>2026-09-29</t>
        </is>
      </c>
    </row>
    <row r="59" ht="60" customHeight="1" s="63">
      <c r="A59" s="66" t="inlineStr">
        <is>
          <t>TSS-0053</t>
        </is>
      </c>
      <c r="B59" s="66" t="inlineStr">
        <is>
          <t>North Sea continental coast</t>
        </is>
      </c>
      <c r="C59" s="66" t="inlineStr">
        <is>
          <t>In the Approaches to IJmuiden</t>
        </is>
      </c>
      <c r="D59" s="66" t="inlineStr">
        <is>
          <t>Source entry; single scheme on first-pass evidence</t>
        </is>
      </c>
      <c r="E59" s="66" t="inlineStr">
        <is>
          <t>TSS identity confirmed (first pass); operational status: In force. Official baseline reconciliation pending.</t>
        </is>
      </c>
      <c r="F59" s="66" t="inlineStr">
        <is>
          <t>Unresolved (lead: VTS-019)</t>
        </is>
      </c>
      <c r="G59" s="66" t="inlineStr">
        <is>
          <t>Unresolved</t>
        </is>
      </c>
      <c r="H59" s="66" t="n"/>
      <c r="I59" s="66" t="n"/>
      <c r="J59" s="66" t="inlineStr">
        <is>
          <t>Official name found: In the approaches to IJmuiden. New scheme adopted by MSC 91 and circulated as COLREG.2/Circ.64 (2012), implemented 1 August 2013, per Transportstyrelsen list (S4); associated precautionary areas in SN.1/Circ.317 (S4). Separate IMO deep-water route leading to IJmuiden listed in Ships' Routeing 2008 (S27). Circ.64 text not retrieved.</t>
        </is>
      </c>
      <c r="K59" s="66" t="inlineStr">
        <is>
          <t>SRC-001</t>
        </is>
      </c>
      <c r="L59" s="67" t="inlineStr">
        <is>
          <t>https://www.scribd.com/document/1014775753/1-1-IMO-Adopted-Traffic-Separation-Schemes-on-the-ADMIRALTY-Chart-Series</t>
        </is>
      </c>
      <c r="M59" s="66" t="inlineStr">
        <is>
          <t>Notice 17; scheme label: In the Approaches to IJmuiden</t>
        </is>
      </c>
      <c r="N59" s="66" t="inlineStr">
        <is>
          <t>UKHO-labelled document on third-party host; edition and currency unverified.</t>
        </is>
      </c>
      <c r="O59" s="66" t="inlineStr">
        <is>
          <t>SRC-027; SRC-035; SRC-050</t>
        </is>
      </c>
      <c r="P59" s="67" t="inlineStr">
        <is>
          <t>https://transportstyrelsen.se/globalassets/global/sjofart/dokument/sjotrafik_dok/ruttsystem.pdf
https://www.portofamsterdam.com/sites/default/files/2025-09/2025-479_VTS%20communicatieregeling%202.0%20def_NLEN_rev.pdf
https://www.fpp.uni-lj.si/mma_bin.php?id=2011032217361737</t>
        </is>
      </c>
      <c r="Q59" s="66" t="inlineStr">
        <is>
          <t>B11</t>
        </is>
      </c>
      <c r="R59" s="66" t="inlineStr">
        <is>
          <t>Association proposed</t>
        </is>
      </c>
      <c r="S59" s="66" t="inlineStr">
        <is>
          <t>2026-09-29</t>
        </is>
      </c>
    </row>
    <row r="60" ht="60" customHeight="1" s="63">
      <c r="A60" s="66" t="inlineStr">
        <is>
          <t>TSS-0054</t>
        </is>
      </c>
      <c r="B60" s="66" t="inlineStr">
        <is>
          <t>North Sea continental coast</t>
        </is>
      </c>
      <c r="C60" s="66" t="inlineStr">
        <is>
          <t>Off Brown Ridge</t>
        </is>
      </c>
      <c r="D60" s="66" t="inlineStr">
        <is>
          <t>Source entry; single scheme on first-pass evidence</t>
        </is>
      </c>
      <c r="E60" s="66" t="inlineStr">
        <is>
          <t>TSS identity provisional (first pass); operational status: Not established. Official baseline reconciliation pending.</t>
        </is>
      </c>
      <c r="F60" s="66" t="inlineStr">
        <is>
          <t>Unresolved</t>
        </is>
      </c>
      <c r="G60" s="66" t="inlineStr">
        <is>
          <t>Unresolved</t>
        </is>
      </c>
      <c r="H60" s="66" t="n"/>
      <c r="I60" s="66" t="n"/>
      <c r="J60" s="66" t="inlineStr">
        <is>
          <t>Existence of a TSS 'Off Brown Ridge' is indicated only by leads: Wikipedia list 'Brown Ridge' (S30) and search snippets describing a deep-water route linking TSS Off Brown Ridge to TSS West Friesland and the 1 August 2013 Dutch re-routeing. Not found in Ships' Routeing 2008 contents (S27) or Transportstyrelsen 2017 list (S4) as a separate entry; may be a component of 'Off Friesland' or of the 2013 Dutch routeing package. Adopting instrument not retrieved.</t>
        </is>
      </c>
      <c r="K60" s="66" t="inlineStr">
        <is>
          <t>SRC-001</t>
        </is>
      </c>
      <c r="L60" s="67" t="inlineStr">
        <is>
          <t>https://www.scribd.com/document/1014775753/1-1-IMO-Adopted-Traffic-Separation-Schemes-on-the-ADMIRALTY-Chart-Series</t>
        </is>
      </c>
      <c r="M60" s="66" t="inlineStr">
        <is>
          <t>Notice 17; scheme label: Off Brown Ridge</t>
        </is>
      </c>
      <c r="N60" s="66" t="inlineStr">
        <is>
          <t>UKHO-labelled document on third-party host; edition and currency unverified.</t>
        </is>
      </c>
      <c r="O60" s="66" t="inlineStr">
        <is>
          <t>SRC-027; SRC-050; SRC-053</t>
        </is>
      </c>
      <c r="P60" s="67" t="inlineStr">
        <is>
          <t>https://transportstyrelsen.se/globalassets/global/sjofart/dokument/sjotrafik_dok/ruttsystem.pdf
https://www.fpp.uni-lj.si/mma_bin.php?id=2011032217361737
https://en.wikipedia.org/wiki/List_of_traffic_separation_schemes</t>
        </is>
      </c>
      <c r="Q60" s="66" t="inlineStr">
        <is>
          <t>B11</t>
        </is>
      </c>
      <c r="R60" s="66" t="inlineStr">
        <is>
          <t>Researched; unresolved</t>
        </is>
      </c>
      <c r="S60" s="66" t="inlineStr">
        <is>
          <t>2026-09-29</t>
        </is>
      </c>
    </row>
    <row r="61" ht="60" customHeight="1" s="63">
      <c r="A61" s="66" t="inlineStr">
        <is>
          <t>TSS-0055</t>
        </is>
      </c>
      <c r="B61" s="66" t="inlineStr">
        <is>
          <t>North Sea continental coast</t>
        </is>
      </c>
      <c r="C61" s="66" t="inlineStr">
        <is>
          <t>West Friesland</t>
        </is>
      </c>
      <c r="D61" s="66" t="inlineStr">
        <is>
          <t>Source entry; 5 parts recorded (structure only, not a scheme count)</t>
        </is>
      </c>
      <c r="E61" s="66" t="inlineStr">
        <is>
          <t>TSS identity confirmed (first pass); operational status: In force. Official baseline reconciliation pending.</t>
        </is>
      </c>
      <c r="F61" s="66" t="inlineStr">
        <is>
          <t>Unresolved</t>
        </is>
      </c>
      <c r="G61" s="66" t="inlineStr">
        <is>
          <t>Unresolved</t>
        </is>
      </c>
      <c r="H61" s="66" t="n"/>
      <c r="I61" s="66" t="n"/>
      <c r="J61" s="66" t="inlineStr">
        <is>
          <t>Official name found: West Friesland scheme (part of routeing system 'Off Friesland'). Component of the 'Off Friesland' routeing system; amended by COLREG.2/Circ.66 (MSC 94, 21 November 2014), implemented 1 June 2015 (S2), corrected by COLREG.2/Circ.66/Corr.1 (MSC 96, 2016, immediate effect) (S3). MSC 109 containership recommendation covers 'Off Friesland' from 1 July 2025 (lead S5).</t>
        </is>
      </c>
      <c r="K61" s="66" t="inlineStr">
        <is>
          <t>SRC-001</t>
        </is>
      </c>
      <c r="L61" s="67" t="inlineStr">
        <is>
          <t>https://www.scribd.com/document/1014775753/1-1-IMO-Adopted-Traffic-Separation-Schemes-on-the-ADMIRALTY-Chart-Series</t>
        </is>
      </c>
      <c r="M61" s="66" t="inlineStr">
        <is>
          <t>Notice 17; scheme label: West Friesland</t>
        </is>
      </c>
      <c r="N61" s="66" t="inlineStr">
        <is>
          <t>UKHO-labelled document on third-party host; edition and currency unverified.</t>
        </is>
      </c>
      <c r="O61" s="66" t="inlineStr">
        <is>
          <t>SRC-024; SRC-025; SRC-026; SRC-028; SRC-037; SRC-038</t>
        </is>
      </c>
      <c r="P61" s="67" t="inlineStr">
        <is>
          <t>https://cimrc.shmtu.edu.cn/_upload/article/files/63/dc/35c66be74d12873254dc88a2ef00/465d5392-0ba5-4f33-8e61-a48e3499b1b3.pdf
https://www.vimawa.gov.vn/f/Circ%2066.pdf
https://mindev.gov.ua/storage/app/sites/1/uploaded-files/colreg2-circ66-corr1-corrigendum-secretariat.pdf
https://www.isesassociation.com/wp-content/uploads/2024/12/MSC_109_Summary_Report.pdf
https://kustwacht.nl/hulpverlening/vtm/
https://kustwacht.nl/maritieme-organisaties/verkeerscentrales/</t>
        </is>
      </c>
      <c r="Q61" s="66" t="inlineStr">
        <is>
          <t>B11</t>
        </is>
      </c>
      <c r="R61" s="66" t="inlineStr">
        <is>
          <t>Researched; unresolved</t>
        </is>
      </c>
      <c r="S61" s="66" t="inlineStr">
        <is>
          <t>2026-09-29</t>
        </is>
      </c>
    </row>
    <row r="62" ht="60" customHeight="1" s="63">
      <c r="A62" s="66" t="inlineStr">
        <is>
          <t>TSS-0056</t>
        </is>
      </c>
      <c r="B62" s="66" t="inlineStr">
        <is>
          <t>North Sea continental coast</t>
        </is>
      </c>
      <c r="C62" s="66" t="inlineStr">
        <is>
          <t>North Friesland</t>
        </is>
      </c>
      <c r="D62" s="66" t="inlineStr">
        <is>
          <t>Source entry; 3 parts recorded (structure only, not a scheme count)</t>
        </is>
      </c>
      <c r="E62" s="66" t="inlineStr">
        <is>
          <t>TSS identity confirmed (first pass); operational status: In force. Official baseline reconciliation pending.</t>
        </is>
      </c>
      <c r="F62" s="66" t="inlineStr">
        <is>
          <t>Unresolved</t>
        </is>
      </c>
      <c r="G62" s="66" t="inlineStr">
        <is>
          <t>Unresolved</t>
        </is>
      </c>
      <c r="H62" s="66" t="n"/>
      <c r="I62" s="66" t="n"/>
      <c r="J62" s="66" t="inlineStr">
        <is>
          <t>Official name found: North Friesland scheme (part of routeing system 'Off Friesland'). Established within 'Off Friesland' by COLREG.2/Circ.66 (implemented 1 June 2015), with separation zones around 54° 00' to 54° 05' N, 004° 40' to 005° 06' E (S2, S3). Dutch offshore scheme, not the German North Frisian coast. Lead (search summary) says it replaced the Friesland Junction precautionary area; not verified in retrieved text.</t>
        </is>
      </c>
      <c r="K62" s="66" t="inlineStr">
        <is>
          <t>SRC-001</t>
        </is>
      </c>
      <c r="L62" s="67" t="inlineStr">
        <is>
          <t>https://www.scribd.com/document/1014775753/1-1-IMO-Adopted-Traffic-Separation-Schemes-on-the-ADMIRALTY-Chart-Series</t>
        </is>
      </c>
      <c r="M62" s="66" t="inlineStr">
        <is>
          <t>Notice 17; scheme label: North Friesland</t>
        </is>
      </c>
      <c r="N62" s="66" t="inlineStr">
        <is>
          <t>UKHO-labelled document on third-party host; edition and currency unverified.</t>
        </is>
      </c>
      <c r="O62" s="66" t="inlineStr">
        <is>
          <t>SRC-025; SRC-026; SRC-037; SRC-038</t>
        </is>
      </c>
      <c r="P62" s="67" t="inlineStr">
        <is>
          <t>https://www.vimawa.gov.vn/f/Circ%2066.pdf
https://mindev.gov.ua/storage/app/sites/1/uploaded-files/colreg2-circ66-corr1-corrigendum-secretariat.pdf
https://kustwacht.nl/hulpverlening/vtm/
https://kustwacht.nl/maritieme-organisaties/verkeerscentrales/</t>
        </is>
      </c>
      <c r="Q62" s="66" t="inlineStr">
        <is>
          <t>B12</t>
        </is>
      </c>
      <c r="R62" s="66" t="inlineStr">
        <is>
          <t>Researched; unresolved</t>
        </is>
      </c>
      <c r="S62" s="66" t="inlineStr">
        <is>
          <t>2026-09-29</t>
        </is>
      </c>
    </row>
    <row r="63" ht="60" customHeight="1" s="63">
      <c r="A63" s="66" t="inlineStr">
        <is>
          <t>TSS-0057</t>
        </is>
      </c>
      <c r="B63" s="66" t="inlineStr">
        <is>
          <t>North Sea continental coast</t>
        </is>
      </c>
      <c r="C63" s="66" t="inlineStr">
        <is>
          <t>East Friesland</t>
        </is>
      </c>
      <c r="D63" s="66" t="inlineStr">
        <is>
          <t>Source entry; 3 parts recorded (structure only, not a scheme count)</t>
        </is>
      </c>
      <c r="E63" s="66" t="inlineStr">
        <is>
          <t>TSS identity confirmed (first pass); operational status: In force. Official baseline reconciliation pending.</t>
        </is>
      </c>
      <c r="F63" s="66" t="inlineStr">
        <is>
          <t>Unresolved</t>
        </is>
      </c>
      <c r="G63" s="66" t="inlineStr">
        <is>
          <t>Unresolved</t>
        </is>
      </c>
      <c r="H63" s="66" t="n"/>
      <c r="I63" s="66" t="n"/>
      <c r="J63" s="66" t="inlineStr">
        <is>
          <t>Official name found: East Friesland scheme (part of routeing system 'Off Friesland'). Amended within 'Off Friesland' by COLREG.2/Circ.66 (implemented 1 June 2015) and Corr.1 (2016) (S2, S3). Dutch offshore scheme around 54° 02' to 54° 06' N, 005° 08' to 005° 10' E at its western boundary; not the German East Frisian coast.</t>
        </is>
      </c>
      <c r="K63" s="66" t="inlineStr">
        <is>
          <t>SRC-001</t>
        </is>
      </c>
      <c r="L63" s="67" t="inlineStr">
        <is>
          <t>https://www.scribd.com/document/1014775753/1-1-IMO-Adopted-Traffic-Separation-Schemes-on-the-ADMIRALTY-Chart-Series</t>
        </is>
      </c>
      <c r="M63" s="66" t="inlineStr">
        <is>
          <t>Notice 17; scheme label: East Friesland</t>
        </is>
      </c>
      <c r="N63" s="66" t="inlineStr">
        <is>
          <t>UKHO-labelled document on third-party host; edition and currency unverified.</t>
        </is>
      </c>
      <c r="O63" s="66" t="inlineStr">
        <is>
          <t>SRC-025; SRC-026; SRC-037; SRC-038</t>
        </is>
      </c>
      <c r="P63" s="67" t="inlineStr">
        <is>
          <t>https://www.vimawa.gov.vn/f/Circ%2066.pdf
https://mindev.gov.ua/storage/app/sites/1/uploaded-files/colreg2-circ66-corr1-corrigendum-secretariat.pdf
https://kustwacht.nl/hulpverlening/vtm/
https://kustwacht.nl/maritieme-organisaties/verkeerscentrales/</t>
        </is>
      </c>
      <c r="Q63" s="66" t="inlineStr">
        <is>
          <t>B12</t>
        </is>
      </c>
      <c r="R63" s="66" t="inlineStr">
        <is>
          <t>Researched; unresolved</t>
        </is>
      </c>
      <c r="S63" s="66" t="inlineStr">
        <is>
          <t>2026-09-29</t>
        </is>
      </c>
    </row>
    <row r="64" ht="60" customHeight="1" s="63">
      <c r="A64" s="66" t="inlineStr">
        <is>
          <t>TSS-0058</t>
        </is>
      </c>
      <c r="B64" s="66" t="inlineStr">
        <is>
          <t>North Sea continental coast</t>
        </is>
      </c>
      <c r="C64" s="66" t="inlineStr">
        <is>
          <t>Off Botney Ground</t>
        </is>
      </c>
      <c r="D64" s="66" t="inlineStr">
        <is>
          <t>Source entry; single scheme on first-pass evidence</t>
        </is>
      </c>
      <c r="E64" s="66" t="inlineStr">
        <is>
          <t>TSS identity confirmed (first pass); operational status: In force. Official baseline reconciliation pending.</t>
        </is>
      </c>
      <c r="F64" s="66" t="inlineStr">
        <is>
          <t>Unresolved</t>
        </is>
      </c>
      <c r="G64" s="66" t="inlineStr">
        <is>
          <t>Unresolved</t>
        </is>
      </c>
      <c r="H64" s="66" t="n"/>
      <c r="I64" s="66" t="n"/>
      <c r="J64" s="66" t="inlineStr">
        <is>
          <t>Official name found: Off Botney Ground (part of western route of routeing system 'Off Friesland'). COLREG.2/Circ.59 names 'TSS Off Botney Ground' as part of the alternative western route of the routeing system 'Off Friesland' for deep-draught tankers (S1). Not a separate entry in Ships' Routeing 2008 contents (S27). Currency after 2015 not separately verified.</t>
        </is>
      </c>
      <c r="K64" s="66" t="inlineStr">
        <is>
          <t>SRC-001</t>
        </is>
      </c>
      <c r="L64" s="67" t="inlineStr">
        <is>
          <t>https://www.scribd.com/document/1014775753/1-1-IMO-Adopted-Traffic-Separation-Schemes-on-the-ADMIRALTY-Chart-Series</t>
        </is>
      </c>
      <c r="M64" s="66" t="inlineStr">
        <is>
          <t>Notice 17; scheme label: Off Botney Ground</t>
        </is>
      </c>
      <c r="N64" s="66" t="inlineStr">
        <is>
          <t>UKHO-labelled document on third-party host; edition and currency unverified.</t>
        </is>
      </c>
      <c r="O64" s="66" t="inlineStr">
        <is>
          <t>SRC-024; SRC-050; SRC-053</t>
        </is>
      </c>
      <c r="P64" s="67" t="inlineStr">
        <is>
          <t>https://cimrc.shmtu.edu.cn/_upload/article/files/63/dc/35c66be74d12873254dc88a2ef00/465d5392-0ba5-4f33-8e61-a48e3499b1b3.pdf
https://www.fpp.uni-lj.si/mma_bin.php?id=2011032217361737
https://en.wikipedia.org/wiki/List_of_traffic_separation_schemes</t>
        </is>
      </c>
      <c r="Q64" s="66" t="inlineStr">
        <is>
          <t>B12</t>
        </is>
      </c>
      <c r="R64" s="66" t="inlineStr">
        <is>
          <t>Researched; unresolved</t>
        </is>
      </c>
      <c r="S64" s="66" t="inlineStr">
        <is>
          <t>2026-09-29</t>
        </is>
      </c>
    </row>
    <row r="65" ht="60" customHeight="1" s="63">
      <c r="A65" s="66" t="inlineStr">
        <is>
          <t>TSS-0059</t>
        </is>
      </c>
      <c r="B65" s="66" t="inlineStr">
        <is>
          <t>France, Iberia and Canary Islands</t>
        </is>
      </c>
      <c r="C65" s="66" t="inlineStr">
        <is>
          <t>Off Ushant (Île d'Ouessant)</t>
        </is>
      </c>
      <c r="D65" s="66" t="inlineStr">
        <is>
          <t>Source entry; single scheme on first-pass evidence</t>
        </is>
      </c>
      <c r="E65" s="66" t="inlineStr">
        <is>
          <t>TSS identity confirmed (first pass); operational status: In force. Official baseline reconciliation pending.</t>
        </is>
      </c>
      <c r="F65" s="66" t="inlineStr">
        <is>
          <t>Confirmed present: VTS-021</t>
        </is>
      </c>
      <c r="G65" s="66" t="inlineStr">
        <is>
          <t>Confirmed present: SRS-009</t>
        </is>
      </c>
      <c r="H65" s="66" t="inlineStr">
        <is>
          <t>VTS-021</t>
        </is>
      </c>
      <c r="I65" s="66" t="inlineStr">
        <is>
          <t>SRS-009</t>
        </is>
      </c>
      <c r="J65" s="66" t="inlineStr">
        <is>
          <t>Official name found: Off Ushant. Amended by COLREG.2/Circ.51 (MSC 75), implemented 1 May 2003 (S18); further amended by COLREG.2/Circ.64 (MSC 91), implemented 1 June 2013 per search result (Circ.64 text not retrieved). French ministry 2024 confirms DST Ouessant under CROSS Corsen (S19).</t>
        </is>
      </c>
      <c r="K65" s="66" t="inlineStr">
        <is>
          <t>SRC-001</t>
        </is>
      </c>
      <c r="L65" s="67" t="inlineStr">
        <is>
          <t>https://www.scribd.com/document/1014775753/1-1-IMO-Adopted-Traffic-Separation-Schemes-on-the-ADMIRALTY-Chart-Series</t>
        </is>
      </c>
      <c r="M65" s="66" t="inlineStr">
        <is>
          <t>Notice 17; scheme label: Off Ushant (Île d'Ouessant)</t>
        </is>
      </c>
      <c r="N65" s="66" t="inlineStr">
        <is>
          <t>UKHO-labelled document on third-party host; edition and currency unverified.</t>
        </is>
      </c>
      <c r="O65" s="66" t="inlineStr">
        <is>
          <t>SRC-039; SRC-040; SRC-041; SRC-042</t>
        </is>
      </c>
      <c r="P65" s="67" t="inlineStr">
        <is>
          <t>https://wwwcdn.imo.org/localresources/en/KnowledgeCentre/IndexofIMOResolutions/MSCResolutions/MSC.52(66).pdf
https://wwwcdn.imo.org/localresources/en/KnowledgeCentre/IndexofIMOResolutions/MSCResolutions/MSC.251(83).pdf
https://cimrc.shmtu.edu.cn/_upload/article/files/63/dc/35c66be74d12873254dc88a2ef00/a4f3f58b-c400-41cb-858b-89dccee63151.pdf
https://www.statistiques.developpement-durable.gouv.fr/edition-numerique/chiffres-cles-mer-littoral/18-surveillance-de-la-navigation-maritime</t>
        </is>
      </c>
      <c r="Q65" s="66" t="inlineStr">
        <is>
          <t>B12</t>
        </is>
      </c>
      <c r="R65" s="66" t="inlineStr">
        <is>
          <t>Initial association evidenced</t>
        </is>
      </c>
      <c r="S65" s="66" t="inlineStr">
        <is>
          <t>2026-09-29</t>
        </is>
      </c>
    </row>
    <row r="66" ht="60" customHeight="1" s="63">
      <c r="A66" s="66" t="inlineStr">
        <is>
          <t>TSS-0060</t>
        </is>
      </c>
      <c r="B66" s="66" t="inlineStr">
        <is>
          <t>France, Iberia and Canary Islands</t>
        </is>
      </c>
      <c r="C66" s="66" t="inlineStr">
        <is>
          <t>Off Finisterre</t>
        </is>
      </c>
      <c r="D66" s="66" t="inlineStr">
        <is>
          <t>Source entry; single scheme on first-pass evidence</t>
        </is>
      </c>
      <c r="E66" s="66" t="inlineStr">
        <is>
          <t>TSS identity confirmed (first pass); operational status: In force. Official baseline reconciliation pending.</t>
        </is>
      </c>
      <c r="F66" s="66" t="inlineStr">
        <is>
          <t>Confirmed present: VTS-022</t>
        </is>
      </c>
      <c r="G66" s="66" t="inlineStr">
        <is>
          <t>Confirmed present: SRS-010</t>
        </is>
      </c>
      <c r="H66" s="66" t="inlineStr">
        <is>
          <t>VTS-022</t>
        </is>
      </c>
      <c r="I66" s="66" t="inlineStr">
        <is>
          <t>SRS-010</t>
        </is>
      </c>
      <c r="J66" s="66" t="inlineStr">
        <is>
          <t>Originally adopted by A.767(18) (cited in S20); amended by A.957(23), implemented 1 June 2004, adding lanes for ships carrying dangerous or pollutant cargoes in bulk (S21). Listed in Ships' Routeing 2008 (S27).</t>
        </is>
      </c>
      <c r="K66" s="66" t="inlineStr">
        <is>
          <t>SRC-001</t>
        </is>
      </c>
      <c r="L66" s="67" t="inlineStr">
        <is>
          <t>https://www.scribd.com/document/1014775753/1-1-IMO-Adopted-Traffic-Separation-Schemes-on-the-ADMIRALTY-Chart-Series</t>
        </is>
      </c>
      <c r="M66" s="66" t="inlineStr">
        <is>
          <t>Notice 17; scheme label: Off Finisterre</t>
        </is>
      </c>
      <c r="N66" s="66" t="inlineStr">
        <is>
          <t>UKHO-labelled document on third-party host; edition and currency unverified.</t>
        </is>
      </c>
      <c r="O66" s="66" t="inlineStr">
        <is>
          <t>SRC-043; SRC-044; SRC-045; SRC-050</t>
        </is>
      </c>
      <c r="P66" s="67" t="inlineStr">
        <is>
          <t>https://wwwcdn.imo.org/localresources/en/KnowledgeCentre/IndexofIMOResolutions/MSCResolutions/MSC.63(67).pdf
https://wwwcdn.imo.org/localresources/en/KnowledgeCentre/IndexofIMOResolutions/AssemblyDocuments/A.957(23).pdf
https://metropolitano.gal/extra/el-centro-de-coordinacion-de-salvamento-maritimo-de-vigo-rescato-a-316-personas-en-el-2024
https://www.fpp.uni-lj.si/mma_bin.php?id=2011032217361737</t>
        </is>
      </c>
      <c r="Q66" s="66" t="inlineStr">
        <is>
          <t>B12</t>
        </is>
      </c>
      <c r="R66" s="66" t="inlineStr">
        <is>
          <t>Initial association evidenced</t>
        </is>
      </c>
      <c r="S66" s="66" t="inlineStr">
        <is>
          <t>2026-09-29</t>
        </is>
      </c>
    </row>
    <row r="67" ht="60" customHeight="1" s="63">
      <c r="A67" s="66" t="inlineStr">
        <is>
          <t>TSS-0061</t>
        </is>
      </c>
      <c r="B67" s="66" t="inlineStr">
        <is>
          <t>France, Iberia and Canary Islands</t>
        </is>
      </c>
      <c r="C67" s="66" t="inlineStr">
        <is>
          <t>Off Cape Roca (Cabo da Roca)</t>
        </is>
      </c>
      <c r="D67" s="66" t="inlineStr">
        <is>
          <t>Source entry; single scheme on first-pass evidence</t>
        </is>
      </c>
      <c r="E67" s="66" t="inlineStr">
        <is>
          <t>TSS identity confirmed (first pass); operational status: In force. Official baseline reconciliation pending.</t>
        </is>
      </c>
      <c r="F67" s="66" t="inlineStr">
        <is>
          <t>Confirmed present: VTS-023</t>
        </is>
      </c>
      <c r="G67" s="66" t="inlineStr">
        <is>
          <t>Confirmed present: SRS-011</t>
        </is>
      </c>
      <c r="H67" s="66" t="inlineStr">
        <is>
          <t>VTS-023</t>
        </is>
      </c>
      <c r="I67" s="66" t="inlineStr">
        <is>
          <t>SRS-011</t>
        </is>
      </c>
      <c r="J67" s="66" t="inlineStr">
        <is>
          <t>Official name found: Off Cape Roca. Amended by MSC 79 (December 2004) with entry into force 1 July 2005 (S23 preamble) and again by COLREG.2/Circ.61 (MSC 87), implemented 1 December 2010 (S26). Established in Portuguese law as 'EST do cabo da Roca' (S23 art. 4).</t>
        </is>
      </c>
      <c r="K67" s="66" t="inlineStr">
        <is>
          <t>SRC-001</t>
        </is>
      </c>
      <c r="L67" s="67" t="inlineStr">
        <is>
          <t>https://www.scribd.com/document/1014775753/1-1-IMO-Adopted-Traffic-Separation-Schemes-on-the-ADMIRALTY-Chart-Series</t>
        </is>
      </c>
      <c r="M67" s="66" t="inlineStr">
        <is>
          <t>Notice 17; scheme label: Off Cape Roca (Cabo da Roca)</t>
        </is>
      </c>
      <c r="N67" s="66" t="inlineStr">
        <is>
          <t>UKHO-labelled document on third-party host; edition and currency unverified.</t>
        </is>
      </c>
      <c r="O67" s="66" t="inlineStr">
        <is>
          <t>SRC-046; SRC-047; SRC-048; SRC-049</t>
        </is>
      </c>
      <c r="P67" s="67" t="inlineStr">
        <is>
          <t>https://www.marinha.pt/Conteudos_Externos/LexMar2/PGPAT%20100/PGPAT%201000%20-%20Cap%C3%ADtulos/Capitulo%20K%20EST/Decreto-Lei%20198-2006%20(19OUT2006).pdf
https://www.marinha.pt/Conteudos_Externos/LexMar2/PGPAT%20100/PGPAT%201000%20-%20Cap%C3%ADtulos/Capitulo%20K%20EST/Dec.%20Lei%20263_2009,%20de%2028Set.pdf
https://wwwcdn.imo.org/localresources/en/KnowledgeCentre/IndexofIMOResolutions/MSCResolutions/MSC.278(85).pdf
https://cimrc.shmtu.edu.cn/_upload/article/files/63/dc/35c66be74d12873254dc88a2ef00/25e2ceb4-d2d9-4cf2-b55b-cdb3d56001b5.pdf</t>
        </is>
      </c>
      <c r="Q67" s="66" t="inlineStr">
        <is>
          <t>B13</t>
        </is>
      </c>
      <c r="R67" s="66" t="inlineStr">
        <is>
          <t>Initial association evidenced</t>
        </is>
      </c>
      <c r="S67" s="66" t="inlineStr">
        <is>
          <t>2026-09-29</t>
        </is>
      </c>
    </row>
    <row r="68" ht="60" customHeight="1" s="63">
      <c r="A68" s="66" t="inlineStr">
        <is>
          <t>TSS-0062</t>
        </is>
      </c>
      <c r="B68" s="66" t="inlineStr">
        <is>
          <t>France, Iberia and Canary Islands</t>
        </is>
      </c>
      <c r="C68" s="66" t="inlineStr">
        <is>
          <t>Off Cape St. Vicente (Cabo de São Vicente)</t>
        </is>
      </c>
      <c r="D68" s="66" t="inlineStr">
        <is>
          <t>Source entry; single scheme on first-pass evidence</t>
        </is>
      </c>
      <c r="E68" s="66" t="inlineStr">
        <is>
          <t>TSS identity confirmed (first pass); operational status: In force. Official baseline reconciliation pending.</t>
        </is>
      </c>
      <c r="F68" s="66" t="inlineStr">
        <is>
          <t>Confirmed present: VTS-023</t>
        </is>
      </c>
      <c r="G68" s="66" t="inlineStr">
        <is>
          <t>Confirmed present: SRS-011</t>
        </is>
      </c>
      <c r="H68" s="66" t="inlineStr">
        <is>
          <t>VTS-023</t>
        </is>
      </c>
      <c r="I68" s="66" t="inlineStr">
        <is>
          <t>SRS-011</t>
        </is>
      </c>
      <c r="J68" s="66" t="inlineStr">
        <is>
          <t>Official name found: Off Cape S. Vicente. Amended by MSC 79 (in force 1 July 2005) (S23 preamble) and COLREG.2/Circ.61, implemented 1 December 2010 (S26). 'EST do cabo de São Vicente' in Portuguese law (S23 art. 4).</t>
        </is>
      </c>
      <c r="K68" s="66" t="inlineStr">
        <is>
          <t>SRC-001</t>
        </is>
      </c>
      <c r="L68" s="67" t="inlineStr">
        <is>
          <t>https://www.scribd.com/document/1014775753/1-1-IMO-Adopted-Traffic-Separation-Schemes-on-the-ADMIRALTY-Chart-Series</t>
        </is>
      </c>
      <c r="M68" s="66" t="inlineStr">
        <is>
          <t>Notice 17; scheme label: Off Cape St. Vicente (Cabo de São Vicente)</t>
        </is>
      </c>
      <c r="N68" s="66" t="inlineStr">
        <is>
          <t>UKHO-labelled document on third-party host; edition and currency unverified.</t>
        </is>
      </c>
      <c r="O68" s="66" t="inlineStr">
        <is>
          <t>SRC-046; SRC-047; SRC-048; SRC-049</t>
        </is>
      </c>
      <c r="P68" s="67" t="inlineStr">
        <is>
          <t>https://www.marinha.pt/Conteudos_Externos/LexMar2/PGPAT%20100/PGPAT%201000%20-%20Cap%C3%ADtulos/Capitulo%20K%20EST/Decreto-Lei%20198-2006%20(19OUT2006).pdf
https://www.marinha.pt/Conteudos_Externos/LexMar2/PGPAT%20100/PGPAT%201000%20-%20Cap%C3%ADtulos/Capitulo%20K%20EST/Dec.%20Lei%20263_2009,%20de%2028Set.pdf
https://wwwcdn.imo.org/localresources/en/KnowledgeCentre/IndexofIMOResolutions/MSCResolutions/MSC.278(85).pdf
https://cimrc.shmtu.edu.cn/_upload/article/files/63/dc/35c66be74d12873254dc88a2ef00/25e2ceb4-d2d9-4cf2-b55b-cdb3d56001b5.pdf</t>
        </is>
      </c>
      <c r="Q68" s="66" t="inlineStr">
        <is>
          <t>B13</t>
        </is>
      </c>
      <c r="R68" s="66" t="inlineStr">
        <is>
          <t>Initial association evidenced</t>
        </is>
      </c>
      <c r="S68" s="66" t="inlineStr">
        <is>
          <t>2026-09-29</t>
        </is>
      </c>
    </row>
    <row r="69" ht="60" customHeight="1" s="63">
      <c r="A69" s="66" t="inlineStr">
        <is>
          <t>TSS-0063</t>
        </is>
      </c>
      <c r="B69" s="66" t="inlineStr">
        <is>
          <t>France, Iberia and Canary Islands</t>
        </is>
      </c>
      <c r="C69" s="66" t="inlineStr">
        <is>
          <t>At Banco del Hoyo</t>
        </is>
      </c>
      <c r="D69" s="66" t="inlineStr">
        <is>
          <t>Source entry; single scheme on first-pass evidence</t>
        </is>
      </c>
      <c r="E69" s="66" t="inlineStr">
        <is>
          <t>TSS identity provisional (first pass); operational status: In force. Official baseline reconciliation pending.</t>
        </is>
      </c>
      <c r="F69" s="66" t="inlineStr">
        <is>
          <t>Unresolved</t>
        </is>
      </c>
      <c r="G69" s="66" t="inlineStr">
        <is>
          <t>Unresolved</t>
        </is>
      </c>
      <c r="H69" s="66" t="n"/>
      <c r="I69" s="66" t="n"/>
      <c r="J69" s="66" t="inlineStr">
        <is>
          <t>Listed in IMO Ships' Routeing 2008 contents, Section II Western European waters, page II/32, after Off Cape S. Vicente (S27), and in Transportstyrelsen 2017 list as adopted by A.284(VIII) 1973 with no later amendment (S4). Location, coordinates and responsible State not retrieved.</t>
        </is>
      </c>
      <c r="K69" s="66" t="inlineStr">
        <is>
          <t>SRC-001</t>
        </is>
      </c>
      <c r="L69" s="67" t="inlineStr">
        <is>
          <t>https://www.scribd.com/document/1014775753/1-1-IMO-Adopted-Traffic-Separation-Schemes-on-the-ADMIRALTY-Chart-Series</t>
        </is>
      </c>
      <c r="M69" s="66" t="inlineStr">
        <is>
          <t>Notice 17; scheme label: At Banco del Hoyo</t>
        </is>
      </c>
      <c r="N69" s="66" t="inlineStr">
        <is>
          <t>UKHO-labelled document on third-party host; edition and currency unverified.</t>
        </is>
      </c>
      <c r="O69" s="66" t="inlineStr">
        <is>
          <t>SRC-027; SRC-043; SRC-050; SRC-053</t>
        </is>
      </c>
      <c r="P69" s="67" t="inlineStr">
        <is>
          <t>https://transportstyrelsen.se/globalassets/global/sjofart/dokument/sjotrafik_dok/ruttsystem.pdf
https://wwwcdn.imo.org/localresources/en/KnowledgeCentre/IndexofIMOResolutions/MSCResolutions/MSC.63(67).pdf
https://www.fpp.uni-lj.si/mma_bin.php?id=2011032217361737
https://en.wikipedia.org/wiki/List_of_traffic_separation_schemes</t>
        </is>
      </c>
      <c r="Q69" s="66" t="inlineStr">
        <is>
          <t>B13</t>
        </is>
      </c>
      <c r="R69" s="66" t="inlineStr">
        <is>
          <t>Researched; unresolved</t>
        </is>
      </c>
      <c r="S69" s="66" t="inlineStr">
        <is>
          <t>2026-09-29</t>
        </is>
      </c>
    </row>
    <row r="70" ht="60" customHeight="1" s="63">
      <c r="A70" s="66" t="inlineStr">
        <is>
          <t>TSS-0064</t>
        </is>
      </c>
      <c r="B70" s="66" t="inlineStr">
        <is>
          <t>France, Iberia and Canary Islands</t>
        </is>
      </c>
      <c r="C70" s="66" t="inlineStr">
        <is>
          <t>Between Grand Canary and Tenerife</t>
        </is>
      </c>
      <c r="D70" s="66" t="inlineStr">
        <is>
          <t>Source entry; single scheme on first-pass evidence</t>
        </is>
      </c>
      <c r="E70" s="66" t="inlineStr">
        <is>
          <t>TSS identity confirmed (first pass); operational status: In force. Official baseline reconciliation pending.</t>
        </is>
      </c>
      <c r="F70" s="66" t="inlineStr">
        <is>
          <t>Unresolved</t>
        </is>
      </c>
      <c r="G70" s="66" t="inlineStr">
        <is>
          <t>Confirmed present: SRS-012</t>
        </is>
      </c>
      <c r="H70" s="66" t="n"/>
      <c r="I70" s="66" t="inlineStr">
        <is>
          <t>SRS-012</t>
        </is>
      </c>
      <c r="J70" s="66" t="inlineStr">
        <is>
          <t>Official name found: Western Traffic Separation Scheme (between Grand Canary and Tenerife), part of the Canary Islands schemes. New scheme adopted by MSC 81 in COLREG.2/Circ.57 (26 May 2006), implemented 1 December 2006 (S28). Listed as 'Between Grand Canary and Tenerife' in Ships' Routeing 2008 (S27).</t>
        </is>
      </c>
      <c r="K70" s="66" t="inlineStr">
        <is>
          <t>SRC-001</t>
        </is>
      </c>
      <c r="L70" s="67" t="inlineStr">
        <is>
          <t>https://www.scribd.com/document/1014775753/1-1-IMO-Adopted-Traffic-Separation-Schemes-on-the-ADMIRALTY-Chart-Series</t>
        </is>
      </c>
      <c r="M70" s="66" t="inlineStr">
        <is>
          <t>Notice 17; scheme label: Between Grand Canary and Tenerife</t>
        </is>
      </c>
      <c r="N70" s="66" t="inlineStr">
        <is>
          <t>UKHO-labelled document on third-party host; edition and currency unverified.</t>
        </is>
      </c>
      <c r="O70" s="66" t="inlineStr">
        <is>
          <t>SRC-050; SRC-051; SRC-052</t>
        </is>
      </c>
      <c r="P70" s="67" t="inlineStr">
        <is>
          <t>https://www.fpp.uni-lj.si/mma_bin.php?id=2011032217361737
https://cimrc.shmtu.edu.cn/_upload/article/files/63/dc/35c66be74d12873254dc88a2ef00/8c6a3c5f-5a85-4450-980a-5534de9fcd0a.pdf
https://wwwcdn.imo.org/localresources/en/KnowledgeCentre/IndexofIMOResolutions/MSCResolutions/MSC.213(81).pdf</t>
        </is>
      </c>
      <c r="Q70" s="66" t="inlineStr">
        <is>
          <t>B13</t>
        </is>
      </c>
      <c r="R70" s="66" t="inlineStr">
        <is>
          <t>Initial association evidenced</t>
        </is>
      </c>
      <c r="S70" s="66" t="inlineStr">
        <is>
          <t>2026-09-29</t>
        </is>
      </c>
    </row>
    <row r="71" ht="60" customHeight="1" s="63">
      <c r="A71" s="66" t="inlineStr">
        <is>
          <t>TSS-0065</t>
        </is>
      </c>
      <c r="B71" s="66" t="inlineStr">
        <is>
          <t>France, Iberia and Canary Islands</t>
        </is>
      </c>
      <c r="C71" s="66" t="inlineStr">
        <is>
          <t>Between Grand Canary and Fuerteventura</t>
        </is>
      </c>
      <c r="D71" s="66" t="inlineStr">
        <is>
          <t>Source entry; single scheme on first-pass evidence</t>
        </is>
      </c>
      <c r="E71" s="66" t="inlineStr">
        <is>
          <t>TSS identity confirmed (first pass); operational status: In force. Official baseline reconciliation pending.</t>
        </is>
      </c>
      <c r="F71" s="66" t="inlineStr">
        <is>
          <t>Unresolved</t>
        </is>
      </c>
      <c r="G71" s="66" t="inlineStr">
        <is>
          <t>Confirmed present: SRS-012</t>
        </is>
      </c>
      <c r="H71" s="66" t="n"/>
      <c r="I71" s="66" t="inlineStr">
        <is>
          <t>SRS-012</t>
        </is>
      </c>
      <c r="J71" s="66" t="inlineStr">
        <is>
          <t>Official name found: Eastern Traffic Separation Scheme (between Grand Canary and Fuerteventura), part of the Canary Islands schemes. New scheme in COLREG.2/Circ.57, implemented 1 December 2006 (S28); includes a precautionary area and inshore traffic zone. Listed in Ships' Routeing 2008 (S27).</t>
        </is>
      </c>
      <c r="K71" s="66" t="inlineStr">
        <is>
          <t>SRC-001</t>
        </is>
      </c>
      <c r="L71" s="67" t="inlineStr">
        <is>
          <t>https://www.scribd.com/document/1014775753/1-1-IMO-Adopted-Traffic-Separation-Schemes-on-the-ADMIRALTY-Chart-Series</t>
        </is>
      </c>
      <c r="M71" s="66" t="inlineStr">
        <is>
          <t>Notice 17; scheme label: Between Grand Canary and Fuerteventura</t>
        </is>
      </c>
      <c r="N71" s="66" t="inlineStr">
        <is>
          <t>UKHO-labelled document on third-party host; edition and currency unverified.</t>
        </is>
      </c>
      <c r="O71" s="66" t="inlineStr">
        <is>
          <t>SRC-050; SRC-051; SRC-052</t>
        </is>
      </c>
      <c r="P71" s="67" t="inlineStr">
        <is>
          <t>https://www.fpp.uni-lj.si/mma_bin.php?id=2011032217361737
https://cimrc.shmtu.edu.cn/_upload/article/files/63/dc/35c66be74d12873254dc88a2ef00/8c6a3c5f-5a85-4450-980a-5534de9fcd0a.pdf
https://wwwcdn.imo.org/localresources/en/KnowledgeCentre/IndexofIMOResolutions/MSCResolutions/MSC.213(81).pdf</t>
        </is>
      </c>
      <c r="Q71" s="66" t="inlineStr">
        <is>
          <t>B13</t>
        </is>
      </c>
      <c r="R71" s="66" t="inlineStr">
        <is>
          <t>Initial association evidenced</t>
        </is>
      </c>
      <c r="S71" s="66" t="inlineStr">
        <is>
          <t>2026-09-29</t>
        </is>
      </c>
    </row>
    <row r="72" ht="60" customHeight="1" s="63">
      <c r="A72" s="66" t="inlineStr">
        <is>
          <t>TSS-0066</t>
        </is>
      </c>
      <c r="B72" s="66" t="inlineStr">
        <is>
          <t>Mediterranean and Black Seas</t>
        </is>
      </c>
      <c r="C72" s="66" t="inlineStr">
        <is>
          <t>In the Strait of Gibraltar</t>
        </is>
      </c>
      <c r="D72" s="66" t="inlineStr">
        <is>
          <t>Source entry; single scheme on first-pass evidence</t>
        </is>
      </c>
      <c r="E72" s="66" t="inlineStr">
        <is>
          <t>TSS identity confirmed (first pass); operational status: In force. Official baseline reconciliation pending.</t>
        </is>
      </c>
      <c r="F72" s="66" t="inlineStr">
        <is>
          <t>Confirmed present: VTS-025, VTS-026</t>
        </is>
      </c>
      <c r="G72" s="66" t="inlineStr">
        <is>
          <t>Confirmed present: SRS-015</t>
        </is>
      </c>
      <c r="H72" s="66" t="inlineStr">
        <is>
          <t>VTS-025; VTS-026</t>
        </is>
      </c>
      <c r="I72" s="66" t="inlineStr">
        <is>
          <t>SRS-015</t>
        </is>
      </c>
      <c r="J72" s="66" t="inlineStr">
        <is>
          <t>Listed as amended scheme in COLREG.2/Circ.40 (implemented 24 Nov 1994) and COLREG.2/Circ.58 (MSC 82, implemented 1 July 2007); MSC.300(87) (2010) refers to the amended TSS within the GIBREP area. Earlier original adoption not traced.</t>
        </is>
      </c>
      <c r="K72" s="66" t="inlineStr">
        <is>
          <t>SRC-001</t>
        </is>
      </c>
      <c r="L72" s="67" t="inlineStr">
        <is>
          <t>https://www.scribd.com/document/1014775753/1-1-IMO-Adopted-Traffic-Separation-Schemes-on-the-ADMIRALTY-Chart-Series</t>
        </is>
      </c>
      <c r="M72" s="66" t="inlineStr">
        <is>
          <t>Notice 17; scheme label: In the Strait of Gibraltar</t>
        </is>
      </c>
      <c r="N72" s="66" t="inlineStr">
        <is>
          <t>UKHO-labelled document on third-party host; edition and currency unverified.</t>
        </is>
      </c>
      <c r="O72" s="66" t="inlineStr">
        <is>
          <t>SRC-054; SRC-055; SRC-056; SRC-059</t>
        </is>
      </c>
      <c r="P72" s="67" t="inlineStr">
        <is>
          <t>https://www.transportstyrelsen.se/globalassets/global/sjofart/dokument/sjotrafik_dok/imo_colreg.2_cirkular.pdf?id=58526
https://wwwcdn.imo.org/localresources/en/KnowledgeCentre/IndexofIMOResolutions/MSCResolutions/MSC.300(87).pdf
https://www.transportes.gob.es/recursos_mfom/comodin/recursos/06_los_dst_autopistas_del_mar.pdf
https://transportstyrelsen.se/globalassets/global/sjofart/dokument/sjotrafik_dok/mandatory-and-recommended-srs.pdf</t>
        </is>
      </c>
      <c r="Q72" s="66" t="inlineStr">
        <is>
          <t>B14</t>
        </is>
      </c>
      <c r="R72" s="66" t="inlineStr">
        <is>
          <t>Initial association evidenced</t>
        </is>
      </c>
      <c r="S72" s="66" t="inlineStr">
        <is>
          <t>2026-09-29</t>
        </is>
      </c>
    </row>
    <row r="73" ht="60" customHeight="1" s="63">
      <c r="A73" s="66" t="inlineStr">
        <is>
          <t>TSS-0067</t>
        </is>
      </c>
      <c r="B73" s="66" t="inlineStr">
        <is>
          <t>Mediterranean and Black Seas</t>
        </is>
      </c>
      <c r="C73" s="66" t="inlineStr">
        <is>
          <t>Off Cabo de Gata</t>
        </is>
      </c>
      <c r="D73" s="66" t="inlineStr">
        <is>
          <t>Source entry; single scheme on first-pass evidence</t>
        </is>
      </c>
      <c r="E73" s="66" t="inlineStr">
        <is>
          <t>TSS identity confirmed (first pass); operational status: In force. Official baseline reconciliation pending.</t>
        </is>
      </c>
      <c r="F73" s="66" t="inlineStr">
        <is>
          <t>Confirmed present: VTS-027</t>
        </is>
      </c>
      <c r="G73" s="66" t="inlineStr">
        <is>
          <t>Unresolved</t>
        </is>
      </c>
      <c r="H73" s="66" t="inlineStr">
        <is>
          <t>VTS-027</t>
        </is>
      </c>
      <c r="I73" s="66" t="n"/>
      <c r="J73" s="66" t="inlineStr">
        <is>
          <t>New scheme in COLREG.2/Circ.44 (MSC 69, implemented 1 Dec 1998); amended by COLREG.2/Circ.57 (MSC 81, implemented 1 Dec 2006). Amended scheme includes an inshore traffic zone.</t>
        </is>
      </c>
      <c r="K73" s="66" t="inlineStr">
        <is>
          <t>SRC-001</t>
        </is>
      </c>
      <c r="L73" s="67" t="inlineStr">
        <is>
          <t>https://www.scribd.com/document/1014775753/1-1-IMO-Adopted-Traffic-Separation-Schemes-on-the-ADMIRALTY-Chart-Series</t>
        </is>
      </c>
      <c r="M73" s="66" t="inlineStr">
        <is>
          <t>Notice 17; scheme label: Off Cabo de Gata</t>
        </is>
      </c>
      <c r="N73" s="66" t="inlineStr">
        <is>
          <t>UKHO-labelled document on third-party host; edition and currency unverified.</t>
        </is>
      </c>
      <c r="O73" s="66" t="inlineStr">
        <is>
          <t>SRC-054; SRC-056; SRC-057</t>
        </is>
      </c>
      <c r="P73" s="67" t="inlineStr">
        <is>
          <t>https://www.transportstyrelsen.se/globalassets/global/sjofart/dokument/sjotrafik_dok/imo_colreg.2_cirkular.pdf?id=58526
https://www.transportes.gob.es/recursos_mfom/comodin/recursos/06_los_dst_autopistas_del_mar.pdf
https://www.lamoncloa.gob.es/serviciosdeprensa/notasprensa/mfom/Paginas/2015/140115-tarifa.aspx</t>
        </is>
      </c>
      <c r="Q73" s="66" t="inlineStr">
        <is>
          <t>B14</t>
        </is>
      </c>
      <c r="R73" s="66" t="inlineStr">
        <is>
          <t>Initial association evidenced</t>
        </is>
      </c>
      <c r="S73" s="66" t="inlineStr">
        <is>
          <t>2026-09-29</t>
        </is>
      </c>
    </row>
    <row r="74" ht="60" customHeight="1" s="63">
      <c r="A74" s="66" t="inlineStr">
        <is>
          <t>TSS-0068</t>
        </is>
      </c>
      <c r="B74" s="66" t="inlineStr">
        <is>
          <t>Mediterranean and Black Seas</t>
        </is>
      </c>
      <c r="C74" s="66" t="inlineStr">
        <is>
          <t>Off Cape Palos (Cabo de Palos)</t>
        </is>
      </c>
      <c r="D74" s="66" t="inlineStr">
        <is>
          <t>Source entry; single scheme on first-pass evidence</t>
        </is>
      </c>
      <c r="E74" s="66" t="inlineStr">
        <is>
          <t>TSS identity confirmed (first pass); operational status: In force. Official baseline reconciliation pending.</t>
        </is>
      </c>
      <c r="F74" s="66" t="inlineStr">
        <is>
          <t>Unresolved (lead: VTS-028)</t>
        </is>
      </c>
      <c r="G74" s="66" t="inlineStr">
        <is>
          <t>Unresolved</t>
        </is>
      </c>
      <c r="H74" s="66" t="n"/>
      <c r="I74" s="66" t="n"/>
      <c r="J74" s="66" t="inlineStr">
        <is>
          <t>Official name found: Off Cape Palos. New scheme in COLREG.2/Circ.52 (MSC 76, implemented 1 July 2003). S11 (2025) lists cabo de Palos among Spain's existing DSTs.</t>
        </is>
      </c>
      <c r="K74" s="66" t="inlineStr">
        <is>
          <t>SRC-001</t>
        </is>
      </c>
      <c r="L74" s="67" t="inlineStr">
        <is>
          <t>https://www.scribd.com/document/1014775753/1-1-IMO-Adopted-Traffic-Separation-Schemes-on-the-ADMIRALTY-Chart-Series</t>
        </is>
      </c>
      <c r="M74" s="66" t="inlineStr">
        <is>
          <t>Notice 17; scheme label: Off Cape Palos (Cabo de Palos)</t>
        </is>
      </c>
      <c r="N74" s="66" t="inlineStr">
        <is>
          <t>UKHO-labelled document on third-party host; edition and currency unverified.</t>
        </is>
      </c>
      <c r="O74" s="66" t="inlineStr">
        <is>
          <t>SRC-054; SRC-056</t>
        </is>
      </c>
      <c r="P74" s="67" t="inlineStr">
        <is>
          <t>https://www.transportstyrelsen.se/globalassets/global/sjofart/dokument/sjotrafik_dok/imo_colreg.2_cirkular.pdf?id=58526
https://www.transportes.gob.es/recursos_mfom/comodin/recursos/06_los_dst_autopistas_del_mar.pdf</t>
        </is>
      </c>
      <c r="Q74" s="66" t="inlineStr">
        <is>
          <t>B14</t>
        </is>
      </c>
      <c r="R74" s="66" t="inlineStr">
        <is>
          <t>Association proposed</t>
        </is>
      </c>
      <c r="S74" s="66" t="inlineStr">
        <is>
          <t>2026-09-29</t>
        </is>
      </c>
    </row>
    <row r="75" ht="60" customHeight="1" s="63">
      <c r="A75" s="66" t="inlineStr">
        <is>
          <t>TSS-0069</t>
        </is>
      </c>
      <c r="B75" s="66" t="inlineStr">
        <is>
          <t>Mediterranean and Black Seas</t>
        </is>
      </c>
      <c r="C75" s="66" t="inlineStr">
        <is>
          <t>Off Cape la Nao (Cabo de la Nao)</t>
        </is>
      </c>
      <c r="D75" s="66" t="inlineStr">
        <is>
          <t>Source entry; single scheme on first-pass evidence</t>
        </is>
      </c>
      <c r="E75" s="66" t="inlineStr">
        <is>
          <t>TSS identity confirmed (first pass); operational status: In force. Official baseline reconciliation pending.</t>
        </is>
      </c>
      <c r="F75" s="66" t="inlineStr">
        <is>
          <t>Unresolved (lead: VTS-029)</t>
        </is>
      </c>
      <c r="G75" s="66" t="inlineStr">
        <is>
          <t>Unresolved</t>
        </is>
      </c>
      <c r="H75" s="66" t="n"/>
      <c r="I75" s="66" t="n"/>
      <c r="J75" s="66" t="inlineStr">
        <is>
          <t>Official name found: Off Cape La Nao. New scheme in COLREG.2/Circ.52 (MSC 76, implemented 1 July 2003); reference chart Spanish IHM chart 47. S11 (2025) lists cabo de la Nao among Spain's DSTs.</t>
        </is>
      </c>
      <c r="K75" s="66" t="inlineStr">
        <is>
          <t>SRC-001</t>
        </is>
      </c>
      <c r="L75" s="67" t="inlineStr">
        <is>
          <t>https://www.scribd.com/document/1014775753/1-1-IMO-Adopted-Traffic-Separation-Schemes-on-the-ADMIRALTY-Chart-Series</t>
        </is>
      </c>
      <c r="M75" s="66" t="inlineStr">
        <is>
          <t>Notice 17; scheme label: Off Cape la Nao (Cabo de la Nao)</t>
        </is>
      </c>
      <c r="N75" s="66" t="inlineStr">
        <is>
          <t>UKHO-labelled document on third-party host; edition and currency unverified.</t>
        </is>
      </c>
      <c r="O75" s="66" t="inlineStr">
        <is>
          <t>SRC-054; SRC-056</t>
        </is>
      </c>
      <c r="P75" s="67" t="inlineStr">
        <is>
          <t>https://www.transportstyrelsen.se/globalassets/global/sjofart/dokument/sjotrafik_dok/imo_colreg.2_cirkular.pdf?id=58526
https://www.transportes.gob.es/recursos_mfom/comodin/recursos/06_los_dst_autopistas_del_mar.pdf</t>
        </is>
      </c>
      <c r="Q75" s="66" t="inlineStr">
        <is>
          <t>B14</t>
        </is>
      </c>
      <c r="R75" s="66" t="inlineStr">
        <is>
          <t>Association proposed</t>
        </is>
      </c>
      <c r="S75" s="66" t="inlineStr">
        <is>
          <t>2026-09-29</t>
        </is>
      </c>
    </row>
    <row r="76" ht="60" customHeight="1" s="63">
      <c r="A76" s="66" t="inlineStr">
        <is>
          <t>TSS-0070</t>
        </is>
      </c>
      <c r="B76" s="66" t="inlineStr">
        <is>
          <t>Mediterranean and Black Seas</t>
        </is>
      </c>
      <c r="C76" s="66" t="inlineStr">
        <is>
          <t>Off Cani Island (Îles Cani)</t>
        </is>
      </c>
      <c r="D76" s="66" t="inlineStr">
        <is>
          <t>Source entry; single scheme on first-pass evidence</t>
        </is>
      </c>
      <c r="E76" s="66" t="inlineStr">
        <is>
          <t>TSS identity confirmed (first pass); operational status: In force. Official baseline reconciliation pending.</t>
        </is>
      </c>
      <c r="F76" s="66" t="inlineStr">
        <is>
          <t>Unresolved</t>
        </is>
      </c>
      <c r="G76" s="66" t="inlineStr">
        <is>
          <t>Unresolved</t>
        </is>
      </c>
      <c r="H76" s="66" t="n"/>
      <c r="I76" s="66" t="n"/>
      <c r="J76" s="66" t="inlineStr">
        <is>
          <t>Official name found: North of Cani Island (Off Cani Island). Tunisian scheme (Îles Cani, off Bizerte coast), not the Bonifacio Strait. Amended by COLREG.2/Circ.58 (MSC 82, implemented 1 July 2007) together with Off Cape Bon; reference chart 150-DST of the Tunisian Hydrographic and Oceanographic Service. Original scheme reported operating since 1 Aug 1970 (search snippet from NOAA document, lead only).</t>
        </is>
      </c>
      <c r="K76" s="66" t="inlineStr">
        <is>
          <t>SRC-001</t>
        </is>
      </c>
      <c r="L76" s="67" t="inlineStr">
        <is>
          <t>https://www.scribd.com/document/1014775753/1-1-IMO-Adopted-Traffic-Separation-Schemes-on-the-ADMIRALTY-Chart-Series</t>
        </is>
      </c>
      <c r="M76" s="66" t="inlineStr">
        <is>
          <t>Notice 17; scheme label: Off Cani Island (Îles Cani)</t>
        </is>
      </c>
      <c r="N76" s="66" t="inlineStr">
        <is>
          <t>UKHO-labelled document on third-party host; edition and currency unverified.</t>
        </is>
      </c>
      <c r="O76" s="66" t="inlineStr">
        <is>
          <t>SRC-054; SRC-059</t>
        </is>
      </c>
      <c r="P76" s="67" t="inlineStr">
        <is>
          <t>https://www.transportstyrelsen.se/globalassets/global/sjofart/dokument/sjotrafik_dok/imo_colreg.2_cirkular.pdf?id=58526
https://transportstyrelsen.se/globalassets/global/sjofart/dokument/sjotrafik_dok/mandatory-and-recommended-srs.pdf</t>
        </is>
      </c>
      <c r="Q76" s="66" t="inlineStr">
        <is>
          <t>B14</t>
        </is>
      </c>
      <c r="R76" s="66" t="inlineStr">
        <is>
          <t>Researched; unresolved</t>
        </is>
      </c>
      <c r="S76" s="66" t="inlineStr">
        <is>
          <t>2026-09-29</t>
        </is>
      </c>
    </row>
    <row r="77" ht="60" customHeight="1" s="63">
      <c r="A77" s="66" t="inlineStr">
        <is>
          <t>TSS-0071</t>
        </is>
      </c>
      <c r="B77" s="66" t="inlineStr">
        <is>
          <t>Mediterranean and Black Seas</t>
        </is>
      </c>
      <c r="C77" s="66" t="inlineStr">
        <is>
          <t>Off Cape Bon (Cap Bon)</t>
        </is>
      </c>
      <c r="D77" s="66" t="inlineStr">
        <is>
          <t>Source entry; single scheme on first-pass evidence</t>
        </is>
      </c>
      <c r="E77" s="66" t="inlineStr">
        <is>
          <t>TSS identity confirmed (first pass); operational status: In force. Official baseline reconciliation pending.</t>
        </is>
      </c>
      <c r="F77" s="66" t="inlineStr">
        <is>
          <t>Unresolved</t>
        </is>
      </c>
      <c r="G77" s="66" t="inlineStr">
        <is>
          <t>Unresolved</t>
        </is>
      </c>
      <c r="H77" s="66" t="n"/>
      <c r="I77" s="66" t="n"/>
      <c r="J77" s="66" t="inlineStr">
        <is>
          <t>Official name found: North of Cape Bon (Off Cape Bon). Amended by COLREG.2/Circ.58 (MSC 82, implemented 1 July 2007) with Off Cani Island; reference chart 150-DST (Tunisia). Original scheme reported operating since 1 Aug 1970 (lead only).</t>
        </is>
      </c>
      <c r="K77" s="66" t="inlineStr">
        <is>
          <t>SRC-001</t>
        </is>
      </c>
      <c r="L77" s="67" t="inlineStr">
        <is>
          <t>https://www.scribd.com/document/1014775753/1-1-IMO-Adopted-Traffic-Separation-Schemes-on-the-ADMIRALTY-Chart-Series</t>
        </is>
      </c>
      <c r="M77" s="66" t="inlineStr">
        <is>
          <t>Notice 17; scheme label: Off Cape Bon (Cap Bon)</t>
        </is>
      </c>
      <c r="N77" s="66" t="inlineStr">
        <is>
          <t>UKHO-labelled document on third-party host; edition and currency unverified.</t>
        </is>
      </c>
      <c r="O77" s="66" t="inlineStr">
        <is>
          <t>SRC-054; SRC-059</t>
        </is>
      </c>
      <c r="P77" s="67" t="inlineStr">
        <is>
          <t>https://www.transportstyrelsen.se/globalassets/global/sjofart/dokument/sjotrafik_dok/imo_colreg.2_cirkular.pdf?id=58526
https://transportstyrelsen.se/globalassets/global/sjofart/dokument/sjotrafik_dok/mandatory-and-recommended-srs.pdf</t>
        </is>
      </c>
      <c r="Q77" s="66" t="inlineStr">
        <is>
          <t>B15</t>
        </is>
      </c>
      <c r="R77" s="66" t="inlineStr">
        <is>
          <t>Researched; unresolved</t>
        </is>
      </c>
      <c r="S77" s="66" t="inlineStr">
        <is>
          <t>2026-09-29</t>
        </is>
      </c>
    </row>
    <row r="78" ht="60" customHeight="1" s="63">
      <c r="A78" s="66" t="inlineStr">
        <is>
          <t>TSS-0072</t>
        </is>
      </c>
      <c r="B78" s="66" t="inlineStr">
        <is>
          <t>Mediterranean and Black Seas</t>
        </is>
      </c>
      <c r="C78" s="66" t="inlineStr">
        <is>
          <t>In the Corsica Channel</t>
        </is>
      </c>
      <c r="D78" s="66" t="inlineStr">
        <is>
          <t>Source entry; single scheme on first-pass evidence</t>
        </is>
      </c>
      <c r="E78" s="66" t="inlineStr">
        <is>
          <t>TSS identity confirmed (first pass); operational status: In force. Official baseline reconciliation pending.</t>
        </is>
      </c>
      <c r="F78" s="66" t="inlineStr">
        <is>
          <t>Unresolved</t>
        </is>
      </c>
      <c r="G78" s="66" t="inlineStr">
        <is>
          <t>Unresolved</t>
        </is>
      </c>
      <c r="H78" s="66" t="n"/>
      <c r="I78" s="66" t="n"/>
      <c r="J78" s="66" t="inlineStr">
        <is>
          <t>New scheme in COLREG.2/Circ.67 (MSC 96, implemented 1 Dec 2016), between Cap Corse and Isola Capraia, with ITZ along the Corsican coast; reference charts SHOM 7013 and IIM 40.</t>
        </is>
      </c>
      <c r="K78" s="66" t="inlineStr">
        <is>
          <t>SRC-001</t>
        </is>
      </c>
      <c r="L78" s="67" t="inlineStr">
        <is>
          <t>https://www.scribd.com/document/1014775753/1-1-IMO-Adopted-Traffic-Separation-Schemes-on-the-ADMIRALTY-Chart-Series</t>
        </is>
      </c>
      <c r="M78" s="66" t="inlineStr">
        <is>
          <t>Notice 17; scheme label: In the Corsica Channel</t>
        </is>
      </c>
      <c r="N78" s="66" t="inlineStr">
        <is>
          <t>UKHO-labelled document on third-party host; edition and currency unverified.</t>
        </is>
      </c>
      <c r="O78" s="66" t="inlineStr">
        <is>
          <t>SRC-054; SRC-063; SRC-064; SRC-059</t>
        </is>
      </c>
      <c r="P78" s="67" t="inlineStr">
        <is>
          <t>https://www.transportstyrelsen.se/globalassets/global/sjofart/dokument/sjotrafik_dok/imo_colreg.2_cirkular.pdf?id=58526
https://www.guardiacostiera.gov.it/portale/vessel-traffic-service
https://documenti.camera.it/leg19/documentiAcquisiti/COM08/Audizioni/leg19.com08.Audizioni.Memoria.PUBBLICO.ideGes.7923.15-06-2023-16-25-26.360.pdf
https://transportstyrelsen.se/globalassets/global/sjofart/dokument/sjotrafik_dok/mandatory-and-recommended-srs.pdf</t>
        </is>
      </c>
      <c r="Q78" s="66" t="inlineStr">
        <is>
          <t>B15</t>
        </is>
      </c>
      <c r="R78" s="66" t="inlineStr">
        <is>
          <t>Researched; unresolved</t>
        </is>
      </c>
      <c r="S78" s="66" t="inlineStr">
        <is>
          <t>2026-09-29</t>
        </is>
      </c>
    </row>
    <row r="79" ht="60" customHeight="1" s="63">
      <c r="A79" s="66" t="inlineStr">
        <is>
          <t>TSS-0073</t>
        </is>
      </c>
      <c r="B79" s="66" t="inlineStr">
        <is>
          <t>Mediterranean and Black Seas</t>
        </is>
      </c>
      <c r="C79" s="66" t="inlineStr">
        <is>
          <t>In the Adriatic Sea: In the North Adriatic Sea</t>
        </is>
      </c>
      <c r="D79" s="66" t="inlineStr">
        <is>
          <t>Source entry; 3 parts recorded (structure only, not a scheme count)</t>
        </is>
      </c>
      <c r="E79" s="66" t="inlineStr">
        <is>
          <t>TSS identity confirmed (first pass); operational status: In force. Official baseline reconciliation pending.</t>
        </is>
      </c>
      <c r="F79" s="66" t="inlineStr">
        <is>
          <t>Unresolved (lead: VTS-033)</t>
        </is>
      </c>
      <c r="G79" s="66" t="inlineStr">
        <is>
          <t>Confirmed present: SRS-016</t>
        </is>
      </c>
      <c r="H79" s="66" t="n"/>
      <c r="I79" s="66" t="inlineStr">
        <is>
          <t>SRS-016</t>
        </is>
      </c>
      <c r="J79" s="66" t="inlineStr">
        <is>
          <t>Official name found: In the North Adriatic Sea (eastern part and western part), part of 'In the Adriatic Sea'. Adopted in COLREG.2/Circ.54 annex 3 (MSC 78, implemented 1 Dec 2004); western part amended by COLREG.2/Circ.58 (implemented 1 July 2007). Includes precautionary area at southern limits.</t>
        </is>
      </c>
      <c r="K79" s="66" t="inlineStr">
        <is>
          <t>SRC-001</t>
        </is>
      </c>
      <c r="L79" s="67" t="inlineStr">
        <is>
          <t>https://www.scribd.com/document/1014775753/1-1-IMO-Adopted-Traffic-Separation-Schemes-on-the-ADMIRALTY-Chart-Series</t>
        </is>
      </c>
      <c r="M79" s="66" t="inlineStr">
        <is>
          <t>Notice 17; scheme label: In the Adriatic Sea: In the North Adriatic Sea</t>
        </is>
      </c>
      <c r="N79" s="66" t="inlineStr">
        <is>
          <t>UKHO-labelled document on third-party host; edition and currency unverified.</t>
        </is>
      </c>
      <c r="O79" s="66" t="inlineStr">
        <is>
          <t>SRC-054; SRC-058; SRC-065</t>
        </is>
      </c>
      <c r="P79" s="67"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Q79" s="66" t="inlineStr">
        <is>
          <t>B15</t>
        </is>
      </c>
      <c r="R79" s="66" t="inlineStr">
        <is>
          <t>Initial association evidenced</t>
        </is>
      </c>
      <c r="S79" s="66" t="inlineStr">
        <is>
          <t>2026-09-29</t>
        </is>
      </c>
    </row>
    <row r="80" ht="60" customHeight="1" s="63">
      <c r="A80" s="66" t="inlineStr">
        <is>
          <t>TSS-0074</t>
        </is>
      </c>
      <c r="B80" s="66" t="inlineStr">
        <is>
          <t>Mediterranean and Black Seas</t>
        </is>
      </c>
      <c r="C80" s="66" t="inlineStr">
        <is>
          <t>In the Adriatic Sea: Approaches to the Gulf of Trieste</t>
        </is>
      </c>
      <c r="D80" s="66" t="inlineStr">
        <is>
          <t>Source entry; single scheme on first-pass evidence</t>
        </is>
      </c>
      <c r="E80" s="66" t="inlineStr">
        <is>
          <t>TSS identity confirmed (first pass); operational status: In force. Official baseline reconciliation pending.</t>
        </is>
      </c>
      <c r="F80" s="66" t="inlineStr">
        <is>
          <t>Unresolved (lead: VTS-033)</t>
        </is>
      </c>
      <c r="G80" s="66" t="inlineStr">
        <is>
          <t>Confirmed present: SRS-016</t>
        </is>
      </c>
      <c r="H80" s="66" t="n"/>
      <c r="I80" s="66" t="inlineStr">
        <is>
          <t>SRS-016</t>
        </is>
      </c>
      <c r="J80" s="66" t="inlineStr">
        <is>
          <t>Official name found: Approaches to Gulf of Trieste. Component of 'In the Adriatic Sea', COLREG.2/Circ.54 annex 3 (implemented 1 Dec 2004); separation line 45°07'.50N 013°00'.37E to 45°19'.00N 012°56'.87E.</t>
        </is>
      </c>
      <c r="K80" s="66" t="inlineStr">
        <is>
          <t>SRC-001</t>
        </is>
      </c>
      <c r="L80" s="67" t="inlineStr">
        <is>
          <t>https://www.scribd.com/document/1014775753/1-1-IMO-Adopted-Traffic-Separation-Schemes-on-the-ADMIRALTY-Chart-Series</t>
        </is>
      </c>
      <c r="M80" s="66" t="inlineStr">
        <is>
          <t>Notice 17; scheme label: In the Adriatic Sea: Approaches to the Gulf of Trieste</t>
        </is>
      </c>
      <c r="N80" s="66" t="inlineStr">
        <is>
          <t>UKHO-labelled document on third-party host; edition and currency unverified.</t>
        </is>
      </c>
      <c r="O80" s="66" t="inlineStr">
        <is>
          <t>SRC-054; SRC-058; SRC-065</t>
        </is>
      </c>
      <c r="P80" s="67"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Q80" s="66" t="inlineStr">
        <is>
          <t>B15</t>
        </is>
      </c>
      <c r="R80" s="66" t="inlineStr">
        <is>
          <t>Initial association evidenced</t>
        </is>
      </c>
      <c r="S80" s="66" t="inlineStr">
        <is>
          <t>2026-09-29</t>
        </is>
      </c>
    </row>
    <row r="81" ht="60" customHeight="1" s="63">
      <c r="A81" s="66" t="inlineStr">
        <is>
          <t>TSS-0075</t>
        </is>
      </c>
      <c r="B81" s="66" t="inlineStr">
        <is>
          <t>Mediterranean and Black Seas</t>
        </is>
      </c>
      <c r="C81" s="66" t="inlineStr">
        <is>
          <t>In the Adriatic Sea: Approaches to the Gulf of Venice</t>
        </is>
      </c>
      <c r="D81" s="66" t="inlineStr">
        <is>
          <t>Source entry; single scheme on first-pass evidence</t>
        </is>
      </c>
      <c r="E81" s="66" t="inlineStr">
        <is>
          <t>TSS identity confirmed (first pass); operational status: In force. Official baseline reconciliation pending.</t>
        </is>
      </c>
      <c r="F81" s="66" t="inlineStr">
        <is>
          <t>Confirmed present: VTS-032</t>
        </is>
      </c>
      <c r="G81" s="66" t="inlineStr">
        <is>
          <t>Confirmed present: SRS-016</t>
        </is>
      </c>
      <c r="H81" s="66" t="inlineStr">
        <is>
          <t>VTS-032</t>
        </is>
      </c>
      <c r="I81" s="66" t="inlineStr">
        <is>
          <t>SRS-016</t>
        </is>
      </c>
      <c r="J81" s="66" t="inlineStr">
        <is>
          <t>Official name found: Approaches to Gulf of Venice. Component of 'In the Adriatic Sea', COLREG.2/Circ.54 annex 3 (implemented 1 Dec 2004); separation zone amended by COLREG.2/Circ.58 (implemented 1 July 2007).</t>
        </is>
      </c>
      <c r="K81" s="66" t="inlineStr">
        <is>
          <t>SRC-001</t>
        </is>
      </c>
      <c r="L81" s="67" t="inlineStr">
        <is>
          <t>https://www.scribd.com/document/1014775753/1-1-IMO-Adopted-Traffic-Separation-Schemes-on-the-ADMIRALTY-Chart-Series</t>
        </is>
      </c>
      <c r="M81" s="66" t="inlineStr">
        <is>
          <t>Notice 17; scheme label: In the Adriatic Sea: Approaches to the Gulf of Venice</t>
        </is>
      </c>
      <c r="N81" s="66" t="inlineStr">
        <is>
          <t>UKHO-labelled document on third-party host; edition and currency unverified.</t>
        </is>
      </c>
      <c r="O81" s="66" t="inlineStr">
        <is>
          <t>SRC-054; SRC-058; SRC-062; SRC-063</t>
        </is>
      </c>
      <c r="P81" s="67" t="inlineStr">
        <is>
          <t>https://www.transportstyrelsen.se/globalassets/global/sjofart/dokument/sjotrafik_dok/imo_colreg.2_cirkular.pdf?id=58526
https://wwwcdn.imo.org/localresources/en/KnowledgeCentre/IndexofIMOResolutions/MSCResolutions/MSC.598(111).pdf
https://www.guardiacostiera.gov.it/portale/documents/d/guest/en_venezia_manuale_utentevts
https://www.guardiacostiera.gov.it/portale/vessel-traffic-service</t>
        </is>
      </c>
      <c r="Q81" s="66" t="inlineStr">
        <is>
          <t>B15</t>
        </is>
      </c>
      <c r="R81" s="66" t="inlineStr">
        <is>
          <t>Initial association evidenced</t>
        </is>
      </c>
      <c r="S81" s="66" t="inlineStr">
        <is>
          <t>2026-09-29</t>
        </is>
      </c>
    </row>
    <row r="82" ht="60" customHeight="1" s="63">
      <c r="A82" s="66" t="inlineStr">
        <is>
          <t>TSS-0076</t>
        </is>
      </c>
      <c r="B82" s="66" t="inlineStr">
        <is>
          <t>Mediterranean and Black Seas</t>
        </is>
      </c>
      <c r="C82" s="66" t="inlineStr">
        <is>
          <t>In the Adriatic Sea: In the Gulf of Trieste and approaches to/from Koper</t>
        </is>
      </c>
      <c r="D82" s="66" t="inlineStr">
        <is>
          <t>Source entry; 3 parts recorded (structure only, not a scheme count)</t>
        </is>
      </c>
      <c r="E82" s="66" t="inlineStr">
        <is>
          <t>TSS identity confirmed (first pass); operational status: In force. Official baseline reconciliation pending.</t>
        </is>
      </c>
      <c r="F82" s="66" t="inlineStr">
        <is>
          <t>Confirmed present: VTS-030, VTS-031</t>
        </is>
      </c>
      <c r="G82" s="66" t="inlineStr">
        <is>
          <t>Confirmed present: SRS-016</t>
        </is>
      </c>
      <c r="H82" s="66" t="inlineStr">
        <is>
          <t>VTS-030; VTS-031</t>
        </is>
      </c>
      <c r="I82" s="66" t="inlineStr">
        <is>
          <t>SRS-016</t>
        </is>
      </c>
      <c r="J82" s="66" t="inlineStr">
        <is>
          <t>Official name found: In the Gulf of Trieste; Approaches to/from Koper (with precautionary area in the Gulf of Trieste). Components of 'In the Adriatic Sea', COLREG.2/Circ.54 annex 3 (implemented 1 Dec 2004). Label groups two schemes plus a precautionary area.</t>
        </is>
      </c>
      <c r="K82" s="66" t="inlineStr">
        <is>
          <t>SRC-001</t>
        </is>
      </c>
      <c r="L82" s="67" t="inlineStr">
        <is>
          <t>https://www.scribd.com/document/1014775753/1-1-IMO-Adopted-Traffic-Separation-Schemes-on-the-ADMIRALTY-Chart-Series</t>
        </is>
      </c>
      <c r="M82" s="66" t="inlineStr">
        <is>
          <t>Notice 17; scheme label: In the Adriatic Sea: In the Gulf of Trieste and approaches to/from Koper</t>
        </is>
      </c>
      <c r="N82" s="66" t="inlineStr">
        <is>
          <t>UKHO-labelled document on third-party host; edition and currency unverified.</t>
        </is>
      </c>
      <c r="O82" s="66" t="inlineStr">
        <is>
          <t>SRC-054; SRC-058; SRC-060; SRC-061</t>
        </is>
      </c>
      <c r="P82" s="67" t="inlineStr">
        <is>
          <t>https://www.transportstyrelsen.se/globalassets/global/sjofart/dokument/sjotrafik_dok/imo_colreg.2_cirkular.pdf?id=58526
https://wwwcdn.imo.org/localresources/en/KnowledgeCentre/IndexofIMOResolutions/MSCResolutions/MSC.598(111).pdf
https://www.gov.si/assets/organi-v-sestavi/URSP/Dokumenti/VTS/Koper-VTS-Users-Manual.pdf
https://www.guardiacostiera.gov.it/portale/documents/d/guest/it_trieste_manuale_utentevts</t>
        </is>
      </c>
      <c r="Q82" s="66" t="inlineStr">
        <is>
          <t>B16</t>
        </is>
      </c>
      <c r="R82" s="66" t="inlineStr">
        <is>
          <t>Initial association evidenced</t>
        </is>
      </c>
      <c r="S82" s="66" t="inlineStr">
        <is>
          <t>2026-09-29</t>
        </is>
      </c>
    </row>
    <row r="83" ht="60" customHeight="1" s="63">
      <c r="A83" s="66" t="inlineStr">
        <is>
          <t>TSS-0077</t>
        </is>
      </c>
      <c r="B83" s="66" t="inlineStr">
        <is>
          <t>Mediterranean and Black Seas</t>
        </is>
      </c>
      <c r="C83" s="66" t="inlineStr">
        <is>
          <t>In the Adriatic Sea: Approaches to/from Monfalcone</t>
        </is>
      </c>
      <c r="D83" s="66" t="inlineStr">
        <is>
          <t>Source entry; single scheme on first-pass evidence</t>
        </is>
      </c>
      <c r="E83" s="66" t="inlineStr">
        <is>
          <t>TSS identity confirmed (first pass); operational status: In force. Official baseline reconciliation pending.</t>
        </is>
      </c>
      <c r="F83" s="66" t="inlineStr">
        <is>
          <t>Confirmed present: VTS-031</t>
        </is>
      </c>
      <c r="G83" s="66" t="inlineStr">
        <is>
          <t>Confirmed present: SRS-016</t>
        </is>
      </c>
      <c r="H83" s="66" t="inlineStr">
        <is>
          <t>VTS-031</t>
        </is>
      </c>
      <c r="I83" s="66" t="inlineStr">
        <is>
          <t>SRS-016</t>
        </is>
      </c>
      <c r="J83" s="66" t="inlineStr">
        <is>
          <t>Official name found: Approaches to/from Monfalcone. Component of 'In the Adriatic Sea', COLREG.2/Circ.54 annex 3 (implemented 1 Dec 2004); amended scheme per COLREG.2/Circ.58 referenced in VTS Trieste manual.</t>
        </is>
      </c>
      <c r="K83" s="66" t="inlineStr">
        <is>
          <t>SRC-001</t>
        </is>
      </c>
      <c r="L83" s="67" t="inlineStr">
        <is>
          <t>https://www.scribd.com/document/1014775753/1-1-IMO-Adopted-Traffic-Separation-Schemes-on-the-ADMIRALTY-Chart-Series</t>
        </is>
      </c>
      <c r="M83" s="66" t="inlineStr">
        <is>
          <t>Notice 17; scheme label: In the Adriatic Sea: Approaches to/from Monfalcone</t>
        </is>
      </c>
      <c r="N83" s="66" t="inlineStr">
        <is>
          <t>UKHO-labelled document on third-party host; edition and currency unverified.</t>
        </is>
      </c>
      <c r="O83" s="66" t="inlineStr">
        <is>
          <t>SRC-054; SRC-058; SRC-061</t>
        </is>
      </c>
      <c r="P83" s="67" t="inlineStr">
        <is>
          <t>https://www.transportstyrelsen.se/globalassets/global/sjofart/dokument/sjotrafik_dok/imo_colreg.2_cirkular.pdf?id=58526
https://wwwcdn.imo.org/localresources/en/KnowledgeCentre/IndexofIMOResolutions/MSCResolutions/MSC.598(111).pdf
https://www.guardiacostiera.gov.it/portale/documents/d/guest/it_trieste_manuale_utentevts</t>
        </is>
      </c>
      <c r="Q83" s="66" t="inlineStr">
        <is>
          <t>B16</t>
        </is>
      </c>
      <c r="R83" s="66" t="inlineStr">
        <is>
          <t>Initial association evidenced</t>
        </is>
      </c>
      <c r="S83" s="66" t="inlineStr">
        <is>
          <t>2026-09-29</t>
        </is>
      </c>
    </row>
    <row r="84" ht="60" customHeight="1" s="63">
      <c r="A84" s="66" t="inlineStr">
        <is>
          <t>TSS-0078</t>
        </is>
      </c>
      <c r="B84" s="66" t="inlineStr">
        <is>
          <t>Mediterranean and Black Seas</t>
        </is>
      </c>
      <c r="C84" s="66" t="inlineStr">
        <is>
          <t>Saronicos Gulf (Saronikós Kólpos, in the Approaches to Piraiévs)</t>
        </is>
      </c>
      <c r="D84" s="66" t="inlineStr">
        <is>
          <t>Source entry; single scheme on first-pass evidence</t>
        </is>
      </c>
      <c r="E84" s="66" t="inlineStr">
        <is>
          <t>TSS identity provisional (first pass); operational status: In force. Official baseline reconciliation pending.</t>
        </is>
      </c>
      <c r="F84" s="66" t="inlineStr">
        <is>
          <t>Unresolved (lead: VTS-035)</t>
        </is>
      </c>
      <c r="G84" s="66" t="inlineStr">
        <is>
          <t>Unresolved</t>
        </is>
      </c>
      <c r="H84" s="66" t="n"/>
      <c r="I84" s="66" t="n"/>
      <c r="J84" s="66" t="inlineStr">
        <is>
          <t>Official name found: Saronicos Gulf. Existence as an IMO-adopted TSS evidenced by the 1991 COLREG.2 circular cancelling its inshore traffic zone (implemented 19 April 1991); original adoption instrument and current status not verified.</t>
        </is>
      </c>
      <c r="K84" s="66" t="inlineStr">
        <is>
          <t>SRC-001</t>
        </is>
      </c>
      <c r="L84" s="67" t="inlineStr">
        <is>
          <t>https://www.scribd.com/document/1014775753/1-1-IMO-Adopted-Traffic-Separation-Schemes-on-the-ADMIRALTY-Chart-Series</t>
        </is>
      </c>
      <c r="M84" s="66" t="inlineStr">
        <is>
          <t>Notice 17; scheme label: Saronicos Gulf (Saronikós Kólpos, in the Approaches to Piraiévs)</t>
        </is>
      </c>
      <c r="N84" s="66" t="inlineStr">
        <is>
          <t>UKHO-labelled document on third-party host; edition and currency unverified.</t>
        </is>
      </c>
      <c r="O84" s="66" t="inlineStr">
        <is>
          <t>SRC-054; SRC-068; SRC-069</t>
        </is>
      </c>
      <c r="P84" s="67" t="inlineStr">
        <is>
          <t>https://www.transportstyrelsen.se/globalassets/global/sjofart/dokument/sjotrafik_dok/imo_colreg.2_cirkular.pdf?id=58526
https://mitos.gov.gr/index.php/%CE%94%CE%94:%CE%A3%CF%84%CE%B5%CE%BB%CE%AD%CF%87%CF%89%CF%83%CE%B7_%CF%84%CF%89%CE%BD_%CE%9A%CE%AD%CE%BD%CF%84%CF%81%CF%89%CE%BD_%CE%A0%CE%B1%CF%81%CE%B1%CE%BA%CE%BF%CE%BB%CE%BF%CF%8D%CE%B8%CE%B7%CF%83%CE%B7%CF%82_%CE%B8%CE%B1%CE%BB%CE%AC%CF%83%CF%83%CE%B9%CE%B1%CF%82_%CE%9A%CF%85%CE%BA%CE%BB%CE%BF%CF%86%CE%BF%CF%81%CE%AF%CE%B1%CF%82_(VTS)_%CF%84%CE%B7%CF%82_%CE%A7%CF%8E%CF%81%CE%B1%CF%82
https://maredu.hcg.gr/modules/document/file.php/MAK264/%CE%9D%CE%B1%CF%85%CF%84%CE%B9%CE%BA%CE%AD%CF%82%20%CE%95%CF%80%CE%B9%CE%BA%CE%BF%CE%B9%CE%BD%CF%89%CE%BD%CE%AF%CE%B5%CF%82%20-%20%CE%9D%CE%97%CE%9F/%CE%A3%CF%85%CF%83%CF%84%CE%AE%CE%BC%CE%B1%CF%84%CE%B1%20%CF%80%CE%B1%CF%81%CE%B1%CE%BA%CE%BF%CE%BB%CE%BF%CF%8D%CE%B8%CE%B7%CF%83%CE%B7%CF%82%20%CF%80%CE%BB%CE%BF%CE%AF%CF%89%CE%BD%20%CE%B1%CE%BD%CE%AC%20%CF%84%CE%B7%CE%BD%20%CF%85%CF%86%CE%AE%CE%BB%CE%B9%CE%BF%20%CE%BA%CE%B1%CE%B9%20%CE%B5%CE%BE%CE%BF%CF%80%CE%BB%CE%B9%CF%83%CE%BC%CF%8C%CF%82%20%CE%B5%CF%80%CE%AF%20%CF%84%CE%BF%CF%85%20%CF%80%CE%BB%CE%BF%CE%AF%CE%BF%CF%85.pdf</t>
        </is>
      </c>
      <c r="Q84" s="66" t="inlineStr">
        <is>
          <t>B16</t>
        </is>
      </c>
      <c r="R84" s="66" t="inlineStr">
        <is>
          <t>Association proposed</t>
        </is>
      </c>
      <c r="S84" s="66" t="inlineStr">
        <is>
          <t>2026-09-29</t>
        </is>
      </c>
    </row>
    <row r="85" ht="60" customHeight="1" s="63">
      <c r="A85" s="66" t="inlineStr">
        <is>
          <t>TSS-0079</t>
        </is>
      </c>
      <c r="B85" s="66" t="inlineStr">
        <is>
          <t>Mediterranean and Black Seas</t>
        </is>
      </c>
      <c r="C85" s="66" t="inlineStr">
        <is>
          <t>In the approaches to the port of Thessaloníki</t>
        </is>
      </c>
      <c r="D85" s="66" t="inlineStr">
        <is>
          <t>Source entry; single scheme on first-pass evidence</t>
        </is>
      </c>
      <c r="E85" s="66" t="inlineStr">
        <is>
          <t>TSS identity confirmed (first pass); operational status: In force. Official baseline reconciliation pending.</t>
        </is>
      </c>
      <c r="F85" s="66" t="inlineStr">
        <is>
          <t>Unresolved</t>
        </is>
      </c>
      <c r="G85" s="66" t="inlineStr">
        <is>
          <t>Unresolved</t>
        </is>
      </c>
      <c r="H85" s="66" t="n"/>
      <c r="I85" s="66" t="n"/>
      <c r="J85" s="66" t="inlineStr">
        <is>
          <t>Official name found: In the approaches to the Port of Thessaloniki. New scheme in COLREG.2/Circ.60 (MSC 85, implemented 1 June 2009).</t>
        </is>
      </c>
      <c r="K85" s="66" t="inlineStr">
        <is>
          <t>SRC-001</t>
        </is>
      </c>
      <c r="L85" s="67" t="inlineStr">
        <is>
          <t>https://www.scribd.com/document/1014775753/1-1-IMO-Adopted-Traffic-Separation-Schemes-on-the-ADMIRALTY-Chart-Series</t>
        </is>
      </c>
      <c r="M85" s="66" t="inlineStr">
        <is>
          <t>Notice 17; scheme label: In the approaches to the port of Thessaloníki</t>
        </is>
      </c>
      <c r="N85" s="66" t="inlineStr">
        <is>
          <t>UKHO-labelled document on third-party host; edition and currency unverified.</t>
        </is>
      </c>
      <c r="O85" s="66" t="inlineStr">
        <is>
          <t>SRC-054; SRC-068; SRC-069</t>
        </is>
      </c>
      <c r="P85" s="67" t="inlineStr">
        <is>
          <t>https://www.transportstyrelsen.se/globalassets/global/sjofart/dokument/sjotrafik_dok/imo_colreg.2_cirkular.pdf?id=58526
https://mitos.gov.gr/index.php/%CE%94%CE%94:%CE%A3%CF%84%CE%B5%CE%BB%CE%AD%CF%87%CF%89%CF%83%CE%B7_%CF%84%CF%89%CE%BD_%CE%9A%CE%AD%CE%BD%CF%84%CF%81%CF%89%CE%BD_%CE%A0%CE%B1%CF%81%CE%B1%CE%BA%CE%BF%CE%BB%CE%BF%CF%8D%CE%B8%CE%B7%CF%83%CE%B7%CF%82_%CE%B8%CE%B1%CE%BB%CE%AC%CF%83%CF%83%CE%B9%CE%B1%CF%82_%CE%9A%CF%85%CE%BA%CE%BB%CE%BF%CF%86%CE%BF%CF%81%CE%AF%CE%B1%CF%82_(VTS)_%CF%84%CE%B7%CF%82_%CE%A7%CF%8E%CF%81%CE%B1%CF%82
https://maredu.hcg.gr/modules/document/file.php/MAK264/%CE%9D%CE%B1%CF%85%CF%84%CE%B9%CE%BA%CE%AD%CF%82%20%CE%95%CF%80%CE%B9%CE%BA%CE%BF%CE%B9%CE%BD%CF%89%CE%BD%CE%AF%CE%B5%CF%82%20-%20%CE%9D%CE%97%CE%9F/%CE%A3%CF%85%CF%83%CF%84%CE%AE%CE%BC%CE%B1%CF%84%CE%B1%20%CF%80%CE%B1%CF%81%CE%B1%CE%BA%CE%BF%CE%BB%CE%BF%CF%8D%CE%B8%CE%B7%CF%83%CE%B7%CF%82%20%CF%80%CE%BB%CE%BF%CE%AF%CF%89%CE%BD%20%CE%B1%CE%BD%CE%AC%20%CF%84%CE%B7%CE%BD%20%CF%85%CF%86%CE%AE%CE%BB%CE%B9%CE%BF%20%CE%BA%CE%B1%CE%B9%20%CE%B5%CE%BE%CE%BF%CF%80%CE%BB%CE%B9%CF%83%CE%BC%CF%8C%CF%82%20%CE%B5%CF%80%CE%AF%20%CF%84%CE%BF%CF%85%20%CF%80%CE%BB%CE%BF%CE%AF%CE%BF%CF%85.pdf</t>
        </is>
      </c>
      <c r="Q85" s="66" t="inlineStr">
        <is>
          <t>B16</t>
        </is>
      </c>
      <c r="R85" s="66" t="inlineStr">
        <is>
          <t>Researched; unresolved</t>
        </is>
      </c>
      <c r="S85" s="66" t="inlineStr">
        <is>
          <t>2026-09-29</t>
        </is>
      </c>
    </row>
    <row r="86" ht="60" customHeight="1" s="63">
      <c r="A86" s="66" t="inlineStr">
        <is>
          <t>TSS-0080</t>
        </is>
      </c>
      <c r="B86" s="66" t="inlineStr">
        <is>
          <t>Mediterranean and Black Seas</t>
        </is>
      </c>
      <c r="C86" s="66" t="inlineStr">
        <is>
          <t>Strait of Istanbul - North Approach</t>
        </is>
      </c>
      <c r="D86" s="66" t="inlineStr">
        <is>
          <t>Source entry; single scheme on first-pass evidence</t>
        </is>
      </c>
      <c r="E86" s="66" t="inlineStr">
        <is>
          <t>TSS identity confirmed (first pass); operational status: In force. Official baseline reconciliation pending.</t>
        </is>
      </c>
      <c r="F86" s="66" t="inlineStr">
        <is>
          <t>Confirmed present: VTS-034</t>
        </is>
      </c>
      <c r="G86" s="66" t="inlineStr">
        <is>
          <t>Confirmed present: SRS-017</t>
        </is>
      </c>
      <c r="H86" s="66" t="inlineStr">
        <is>
          <t>VTS-034</t>
        </is>
      </c>
      <c r="I86" s="66" t="inlineStr">
        <is>
          <t>SRS-017</t>
        </is>
      </c>
      <c r="J86" s="66" t="inlineStr">
        <is>
          <t>Linked Turkish Straits source segments. Resolve component schemes and VTS areas separately. Adopted by MSC 63, COLREG.2/Circ.40 (implemented 24 Nov 1994), together with 'Strait of Istanbul', 'Strait of Istanbul - South Approach and Sea of Marmara', 'Strait of Canakkale' and its South-West Approach. National regulation (2019) Art. 4 sets the TSS limits in the north at 41°20'.944 N. This record covers the North Approach only; linked components to be resolved in their own records.</t>
        </is>
      </c>
      <c r="K86" s="66" t="inlineStr">
        <is>
          <t>SRC-001</t>
        </is>
      </c>
      <c r="L86" s="67" t="inlineStr">
        <is>
          <t>https://www.scribd.com/document/1014775753/1-1-IMO-Adopted-Traffic-Separation-Schemes-on-the-ADMIRALTY-Chart-Series</t>
        </is>
      </c>
      <c r="M86" s="66" t="inlineStr">
        <is>
          <t>Notice 17; scheme label: Strait of Istanbul - North Approach</t>
        </is>
      </c>
      <c r="N86" s="66" t="inlineStr">
        <is>
          <t>UKHO-labelled document on third-party host; edition and currency unverified.</t>
        </is>
      </c>
      <c r="O86" s="66" t="inlineStr">
        <is>
          <t>SRC-054; SRC-066; SRC-067; SRC-059</t>
        </is>
      </c>
      <c r="P86" s="67" t="inlineStr">
        <is>
          <t>https://www.transportstyrelsen.se/globalassets/global/sjofart/dokument/sjotrafik_dok/imo_colreg.2_cirkular.pdf?id=58526
https://kiyiemniyeti.gov.tr/vessel_traffic_and_pilotage_services
https://www.resmigazete.gov.tr/eskiler/2019/08/20190815-18.pdf
https://transportstyrelsen.se/globalassets/global/sjofart/dokument/sjotrafik_dok/mandatory-and-recommended-srs.pdf</t>
        </is>
      </c>
      <c r="Q86" s="66" t="inlineStr">
        <is>
          <t>B16</t>
        </is>
      </c>
      <c r="R86" s="66" t="inlineStr">
        <is>
          <t>Initial association evidenced</t>
        </is>
      </c>
      <c r="S86" s="66" t="inlineStr">
        <is>
          <t>2026-09-29</t>
        </is>
      </c>
    </row>
    <row r="87" ht="60" customHeight="1" s="63">
      <c r="A87" s="66" t="inlineStr">
        <is>
          <t>TSS-0081</t>
        </is>
      </c>
      <c r="B87" s="66" t="inlineStr">
        <is>
          <t>Mediterranean and Black Seas</t>
        </is>
      </c>
      <c r="C87" s="66" t="inlineStr">
        <is>
          <t>Strait of Istanbul</t>
        </is>
      </c>
      <c r="D87" s="66" t="inlineStr">
        <is>
          <t>Source entry; 2 parts recorded (structure only, not a scheme count)</t>
        </is>
      </c>
      <c r="E87" s="66" t="inlineStr">
        <is>
          <t>TSS identity confirmed (first pass); operational status: In force. Official baseline reconciliation pending.</t>
        </is>
      </c>
      <c r="F87" s="66" t="inlineStr">
        <is>
          <t>Confirmed present: VTS-034</t>
        </is>
      </c>
      <c r="G87" s="66" t="inlineStr">
        <is>
          <t>Confirmed present: SRS-017</t>
        </is>
      </c>
      <c r="H87" s="66" t="inlineStr">
        <is>
          <t>VTS-034</t>
        </is>
      </c>
      <c r="I87" s="66" t="inlineStr">
        <is>
          <t>SRS-017</t>
        </is>
      </c>
      <c r="J87" s="66" t="inlineStr">
        <is>
          <t>Linked Turkish Straits source segments. Resolve component schemes and VTS areas separately. Adopted by MSC 63 (May 1994), COLREG.2/Circ.40 item .3, implemented 0000 UTC 24 November 1994; companion schemes 'Strait of Istanbul - North Approach' (item .2) and 'South Approach and Sea of Marmara' (item .4) are separate IMO entries. Associated Rules and Recommendations confirmed by A.827(19). Nationally reproduced in 2019 Turkish Straits Maritime Traffic Regulation Annex 1 (English text lead only).</t>
        </is>
      </c>
      <c r="K87" s="66" t="inlineStr">
        <is>
          <t>SRC-001</t>
        </is>
      </c>
      <c r="L87" s="67" t="inlineStr">
        <is>
          <t>https://www.scribd.com/document/1014775753/1-1-IMO-Adopted-Traffic-Separation-Schemes-on-the-ADMIRALTY-Chart-Series</t>
        </is>
      </c>
      <c r="M87" s="66" t="inlineStr">
        <is>
          <t>Notice 17; scheme label: Strait of Istanbul</t>
        </is>
      </c>
      <c r="N87" s="66" t="inlineStr">
        <is>
          <t>UKHO-labelled document on third-party host; edition and currency unverified.</t>
        </is>
      </c>
      <c r="O87" s="66" t="inlineStr">
        <is>
          <t>SRC-066; SRC-070; SRC-071; SRC-072; SRC-073; SRC-054</t>
        </is>
      </c>
      <c r="P87" s="67"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Q87" s="66" t="inlineStr">
        <is>
          <t>B17</t>
        </is>
      </c>
      <c r="R87" s="66" t="inlineStr">
        <is>
          <t>Initial association evidenced</t>
        </is>
      </c>
      <c r="S87" s="66" t="inlineStr">
        <is>
          <t>2026-09-29</t>
        </is>
      </c>
    </row>
    <row r="88" ht="60" customHeight="1" s="63">
      <c r="A88" s="66" t="inlineStr">
        <is>
          <t>TSS-0082</t>
        </is>
      </c>
      <c r="B88" s="66" t="inlineStr">
        <is>
          <t>Mediterranean and Black Seas</t>
        </is>
      </c>
      <c r="C88" s="66" t="inlineStr">
        <is>
          <t>Strait of Istanbul - South Approach and Sea of Marmara</t>
        </is>
      </c>
      <c r="D88" s="66" t="inlineStr">
        <is>
          <t>Source entry; 2 parts recorded (structure only, not a scheme count)</t>
        </is>
      </c>
      <c r="E88" s="66" t="inlineStr">
        <is>
          <t>TSS identity confirmed (first pass); operational status: In force. Official baseline reconciliation pending.</t>
        </is>
      </c>
      <c r="F88" s="66" t="inlineStr">
        <is>
          <t>Confirmed present: VTS-034</t>
        </is>
      </c>
      <c r="G88" s="66" t="inlineStr">
        <is>
          <t>Confirmed present: SRS-017</t>
        </is>
      </c>
      <c r="H88" s="66" t="inlineStr">
        <is>
          <t>VTS-034</t>
        </is>
      </c>
      <c r="I88" s="66" t="inlineStr">
        <is>
          <t>SRS-017</t>
        </is>
      </c>
      <c r="J88" s="66" t="inlineStr">
        <is>
          <t>Linked Turkish Straits source segments. Resolve component schemes and VTS areas separately. COLREG.2/Circ.40 item .4, implemented 0000 UTC 24 November 1994. 2019 national regulation Annex 1.3 'Istanbul Strait Southern Approach and Marmara Sea' (English text lead only).</t>
        </is>
      </c>
      <c r="K88" s="66" t="inlineStr">
        <is>
          <t>SRC-001</t>
        </is>
      </c>
      <c r="L88" s="67" t="inlineStr">
        <is>
          <t>https://www.scribd.com/document/1014775753/1-1-IMO-Adopted-Traffic-Separation-Schemes-on-the-ADMIRALTY-Chart-Series</t>
        </is>
      </c>
      <c r="M88" s="66" t="inlineStr">
        <is>
          <t>Notice 17; scheme label: Strait of Istanbul - South Approach and Sea of Marmara</t>
        </is>
      </c>
      <c r="N88" s="66" t="inlineStr">
        <is>
          <t>UKHO-labelled document on third-party host; edition and currency unverified.</t>
        </is>
      </c>
      <c r="O88" s="66" t="inlineStr">
        <is>
          <t>SRC-066; SRC-070; SRC-071; SRC-072; SRC-073; SRC-054</t>
        </is>
      </c>
      <c r="P88" s="67"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Q88" s="66" t="inlineStr">
        <is>
          <t>B17</t>
        </is>
      </c>
      <c r="R88" s="66" t="inlineStr">
        <is>
          <t>Initial association evidenced</t>
        </is>
      </c>
      <c r="S88" s="66" t="inlineStr">
        <is>
          <t>2026-09-29</t>
        </is>
      </c>
    </row>
    <row r="89" ht="60" customHeight="1" s="63">
      <c r="A89" s="66" t="inlineStr">
        <is>
          <t>TSS-0083</t>
        </is>
      </c>
      <c r="B89" s="66" t="inlineStr">
        <is>
          <t>Mediterranean and Black Seas</t>
        </is>
      </c>
      <c r="C89" s="66" t="inlineStr">
        <is>
          <t>Strait of Canakkale</t>
        </is>
      </c>
      <c r="D89" s="66" t="inlineStr">
        <is>
          <t>Source entry; single scheme on first-pass evidence</t>
        </is>
      </c>
      <c r="E89" s="66" t="inlineStr">
        <is>
          <t>TSS identity confirmed (first pass); operational status: In force. Official baseline reconciliation pending.</t>
        </is>
      </c>
      <c r="F89" s="66" t="inlineStr">
        <is>
          <t>Confirmed present: VTS-034</t>
        </is>
      </c>
      <c r="G89" s="66" t="inlineStr">
        <is>
          <t>Confirmed present: SRS-017</t>
        </is>
      </c>
      <c r="H89" s="66" t="inlineStr">
        <is>
          <t>VTS-034</t>
        </is>
      </c>
      <c r="I89" s="66" t="inlineStr">
        <is>
          <t>SRS-017</t>
        </is>
      </c>
      <c r="J89" s="66" t="inlineStr">
        <is>
          <t>Linked Turkish Straits source segments. Resolve component schemes and VTS areas separately. COLREG.2/Circ.40 item .5, implemented 0000 UTC 24 November 1994; national Annex 1.4 (English text lead only).</t>
        </is>
      </c>
      <c r="K89" s="66" t="inlineStr">
        <is>
          <t>SRC-001</t>
        </is>
      </c>
      <c r="L89" s="67" t="inlineStr">
        <is>
          <t>https://www.scribd.com/document/1014775753/1-1-IMO-Adopted-Traffic-Separation-Schemes-on-the-ADMIRALTY-Chart-Series</t>
        </is>
      </c>
      <c r="M89" s="66" t="inlineStr">
        <is>
          <t>Notice 17; scheme label: Strait of Canakkale</t>
        </is>
      </c>
      <c r="N89" s="66" t="inlineStr">
        <is>
          <t>UKHO-labelled document on third-party host; edition and currency unverified.</t>
        </is>
      </c>
      <c r="O89" s="66" t="inlineStr">
        <is>
          <t>SRC-066; SRC-071; SRC-072; SRC-073; SRC-054</t>
        </is>
      </c>
      <c r="P89" s="67" t="inlineStr">
        <is>
          <t>https://kiyiemniyeti.gov.tr/vessel_traffic_and_pilotage_services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Q89" s="66" t="inlineStr">
        <is>
          <t>B17</t>
        </is>
      </c>
      <c r="R89" s="66" t="inlineStr">
        <is>
          <t>Initial association evidenced</t>
        </is>
      </c>
      <c r="S89" s="66" t="inlineStr">
        <is>
          <t>2026-09-29</t>
        </is>
      </c>
    </row>
    <row r="90" ht="60" customHeight="1" s="63">
      <c r="A90" s="66" t="inlineStr">
        <is>
          <t>TSS-0084</t>
        </is>
      </c>
      <c r="B90" s="66" t="inlineStr">
        <is>
          <t>Mediterranean and Black Seas</t>
        </is>
      </c>
      <c r="C90" s="66" t="inlineStr">
        <is>
          <t>Strait of Canakkale - South-west Approach</t>
        </is>
      </c>
      <c r="D90" s="66" t="inlineStr">
        <is>
          <t>Source entry; single scheme on first-pass evidence</t>
        </is>
      </c>
      <c r="E90" s="66" t="inlineStr">
        <is>
          <t>TSS identity confirmed (first pass); operational status: In force. Official baseline reconciliation pending.</t>
        </is>
      </c>
      <c r="F90" s="66" t="inlineStr">
        <is>
          <t>Unresolved (lead: VTS-034)</t>
        </is>
      </c>
      <c r="G90" s="66" t="inlineStr">
        <is>
          <t>Unresolved (lead: SRS-017)</t>
        </is>
      </c>
      <c r="H90" s="66" t="n"/>
      <c r="I90" s="66" t="n"/>
      <c r="J90" s="66" t="inlineStr">
        <is>
          <t>Linked Turkish Straits source segments. Resolve component schemes and VTS areas separately. Official name found: Strait of Canakkale - South-West Approach. COLREG.2/Circ.40 item .6, implemented 0000 UTC 24 November 1994; national Annex 1.5 'Canakkale Strait Southwestern Approaches' (English text lead only).</t>
        </is>
      </c>
      <c r="K90" s="66" t="inlineStr">
        <is>
          <t>SRC-001</t>
        </is>
      </c>
      <c r="L90" s="67" t="inlineStr">
        <is>
          <t>https://www.scribd.com/document/1014775753/1-1-IMO-Adopted-Traffic-Separation-Schemes-on-the-ADMIRALTY-Chart-Series</t>
        </is>
      </c>
      <c r="M90" s="66" t="inlineStr">
        <is>
          <t>Notice 17; scheme label: Strait of Canakkale - South-west Approach</t>
        </is>
      </c>
      <c r="N90" s="66" t="inlineStr">
        <is>
          <t>UKHO-labelled document on third-party host; edition and currency unverified.</t>
        </is>
      </c>
      <c r="O90" s="66" t="inlineStr">
        <is>
          <t>SRC-066; SRC-071; SRC-073; SRC-054</t>
        </is>
      </c>
      <c r="P90" s="67" t="inlineStr">
        <is>
          <t>https://kiyiemniyeti.gov.tr/vessel_traffic_and_pilotage_services
https://denizcilik.uab.gov.tr/uploads/pages/yonerge-talimat/tbdtduy.pdf
https://media.ellinikahoaxes.gr/uploads/2021/03/TURK-BOGAZLARI-DENIZ-TRAFIK-DUZENI-YONETMELIGI-INGILIZCE-2019.pdf
https://www.transportstyrelsen.se/globalassets/global/sjofart/dokument/sjotrafik_dok/imo_colreg.2_cirkular.pdf?id=58526</t>
        </is>
      </c>
      <c r="Q90" s="66" t="inlineStr">
        <is>
          <t>B17</t>
        </is>
      </c>
      <c r="R90" s="66" t="inlineStr">
        <is>
          <t>Association proposed</t>
        </is>
      </c>
      <c r="S90" s="66" t="inlineStr">
        <is>
          <t>2026-09-29</t>
        </is>
      </c>
    </row>
    <row r="91" ht="60" customHeight="1" s="63">
      <c r="A91" s="66" t="inlineStr">
        <is>
          <t>TSS-0085</t>
        </is>
      </c>
      <c r="B91" s="66" t="inlineStr">
        <is>
          <t>Mediterranean and Black Seas</t>
        </is>
      </c>
      <c r="C91" s="66" t="inlineStr">
        <is>
          <t>In the Approaches to the Ports of Odessa and Ilichevsk</t>
        </is>
      </c>
      <c r="D91" s="66" t="inlineStr">
        <is>
          <t>Source entry; single scheme on first-pass evidence</t>
        </is>
      </c>
      <c r="E91" s="66" t="inlineStr">
        <is>
          <t>TSS identity confirmed (first pass); operational status: Withdrawn/superseded. Official baseline reconciliation pending.</t>
        </is>
      </c>
      <c r="F91" s="66" t="inlineStr">
        <is>
          <t>Unresolved (lead: VTS-036)</t>
        </is>
      </c>
      <c r="G91" s="66" t="inlineStr">
        <is>
          <t>Unresolved</t>
        </is>
      </c>
      <c r="H91" s="66" t="n"/>
      <c r="I91" s="66" t="n"/>
      <c r="J91" s="66" t="inlineStr">
        <is>
          <t>Historical source label retained. Current naming, implementation and service status require authority confirmation. Official name found: In the approaches to the ports of Odessa and Ilichevsk (historical); now part of 'Approaches to the Chornomorsk, Odesa and Pivdennyi ports'. Adopted by IMCO/IMO, COLREG.2/Circ.14 of 22 April 1981 (Marad and scanned circular). Ilichevsk renamed Chornomorsk. Per secondary summary of COLREG.2/Circ.78 (MSC 106, issued 13 December 2022), replaced by the amended scheme 'Approaches to the Chornomorsk, Odesa and Pivdennyi ports', implemented 0000 UTC 1 June 2023. Marad primary confirms Ukraine's proposal to merge the two schemes; IMO circular text not itself retrieved.</t>
        </is>
      </c>
      <c r="K91" s="66" t="inlineStr">
        <is>
          <t>SRC-001</t>
        </is>
      </c>
      <c r="L91" s="67" t="inlineStr">
        <is>
          <t>https://www.scribd.com/document/1014775753/1-1-IMO-Adopted-Traffic-Separation-Schemes-on-the-ADMIRALTY-Chart-Series</t>
        </is>
      </c>
      <c r="M91" s="66" t="inlineStr">
        <is>
          <t>Notice 17; scheme label: In the Approaches to the Ports of Odessa and Ilichevsk</t>
        </is>
      </c>
      <c r="N91" s="66" t="inlineStr">
        <is>
          <t>UKHO-labelled document on third-party host; edition and currency unverified.</t>
        </is>
      </c>
      <c r="O91" s="66" t="inlineStr">
        <is>
          <t>SRC-075; SRC-076; SRC-077; SRC-054</t>
        </is>
      </c>
      <c r="P91" s="67" t="inlineStr">
        <is>
          <t>https://marad.gov.ua/storage/app/sites/1/international-activities/Propozicii_sistemi_rozpodilu_ryhu_en.pdf
https://hksoa.org/member_circulars/colreg-2-circ-78-new-separation-schemes-and-associated-measures/
https://www.uspa.gov.ua/en/announcements-en/information-for-shipowners-agents-port-operators
https://www.transportstyrelsen.se/globalassets/global/sjofart/dokument/sjotrafik_dok/imo_colreg.2_cirkular.pdf?id=58526</t>
        </is>
      </c>
      <c r="Q91" s="66" t="inlineStr">
        <is>
          <t>B17</t>
        </is>
      </c>
      <c r="R91" s="66" t="inlineStr">
        <is>
          <t>Association proposed</t>
        </is>
      </c>
      <c r="S91" s="66" t="inlineStr">
        <is>
          <t>2026-09-29</t>
        </is>
      </c>
    </row>
    <row r="92" ht="60" customHeight="1" s="63">
      <c r="A92" s="66" t="inlineStr">
        <is>
          <t>TSS-0086</t>
        </is>
      </c>
      <c r="B92" s="66" t="inlineStr">
        <is>
          <t>Mediterranean and Black Seas</t>
        </is>
      </c>
      <c r="C92" s="66" t="inlineStr">
        <is>
          <t>Between the Ports of Odessa and Ilichevsk</t>
        </is>
      </c>
      <c r="D92" s="66" t="inlineStr">
        <is>
          <t>Source entry; single scheme on first-pass evidence</t>
        </is>
      </c>
      <c r="E92" s="66" t="inlineStr">
        <is>
          <t>TSS identity confirmed (first pass); operational status: Withdrawn/superseded. Official baseline reconciliation pending.</t>
        </is>
      </c>
      <c r="F92" s="66" t="inlineStr">
        <is>
          <t>Unresolved (lead: VTS-036)</t>
        </is>
      </c>
      <c r="G92" s="66" t="inlineStr">
        <is>
          <t>Unresolved</t>
        </is>
      </c>
      <c r="H92" s="66" t="n"/>
      <c r="I92" s="66" t="n"/>
      <c r="J92" s="66" t="inlineStr">
        <is>
          <t>Historical source label retained. Current naming, implementation and service status require authority confirmation. Official name found: Between the ports of Odessa and Ilichevsk (historical); now part of 'Approaches to the Chornomorsk, Odesa and Pivdennyi ports'. Adopted per COLREG.2/Circ.14 (22 April 1981). Replaced with effect from 1 June 2023 by the combined amended scheme under COLREG.2/Circ.78 (secondary summary; Marad primary confirms merger proposal).</t>
        </is>
      </c>
      <c r="K92" s="66" t="inlineStr">
        <is>
          <t>SRC-001</t>
        </is>
      </c>
      <c r="L92" s="67" t="inlineStr">
        <is>
          <t>https://www.scribd.com/document/1014775753/1-1-IMO-Adopted-Traffic-Separation-Schemes-on-the-ADMIRALTY-Chart-Series</t>
        </is>
      </c>
      <c r="M92" s="66" t="inlineStr">
        <is>
          <t>Notice 17; scheme label: Between the Ports of Odessa and Ilichevsk</t>
        </is>
      </c>
      <c r="N92" s="66" t="inlineStr">
        <is>
          <t>UKHO-labelled document on third-party host; edition and currency unverified.</t>
        </is>
      </c>
      <c r="O92" s="66" t="inlineStr">
        <is>
          <t>SRC-075; SRC-076; SRC-077; SRC-054</t>
        </is>
      </c>
      <c r="P92" s="67" t="inlineStr">
        <is>
          <t>https://marad.gov.ua/storage/app/sites/1/international-activities/Propozicii_sistemi_rozpodilu_ryhu_en.pdf
https://hksoa.org/member_circulars/colreg-2-circ-78-new-separation-schemes-and-associated-measures/
https://www.uspa.gov.ua/en/announcements-en/information-for-shipowners-agents-port-operators
https://www.transportstyrelsen.se/globalassets/global/sjofart/dokument/sjotrafik_dok/imo_colreg.2_cirkular.pdf?id=58526</t>
        </is>
      </c>
      <c r="Q92" s="66" t="inlineStr">
        <is>
          <t>B18</t>
        </is>
      </c>
      <c r="R92" s="66" t="inlineStr">
        <is>
          <t>Association proposed</t>
        </is>
      </c>
      <c r="S92" s="66" t="inlineStr">
        <is>
          <t>2026-09-29</t>
        </is>
      </c>
    </row>
    <row r="93" ht="60" customHeight="1" s="63">
      <c r="A93" s="66" t="inlineStr">
        <is>
          <t>TSS-0087</t>
        </is>
      </c>
      <c r="B93" s="66" t="inlineStr">
        <is>
          <t>Mediterranean and Black Seas</t>
        </is>
      </c>
      <c r="C93" s="66" t="inlineStr">
        <is>
          <t>In the area Off the South-western Coast of the Crimea</t>
        </is>
      </c>
      <c r="D93" s="66" t="inlineStr">
        <is>
          <t>Source entry; 2 parts recorded (structure only, not a scheme count)</t>
        </is>
      </c>
      <c r="E93" s="66" t="inlineStr">
        <is>
          <t>TSS identity confirmed (first pass); operational status: Not established. Official baseline reconciliation pending.</t>
        </is>
      </c>
      <c r="F93" s="66" t="inlineStr">
        <is>
          <t>Unresolved</t>
        </is>
      </c>
      <c r="G93" s="66" t="inlineStr">
        <is>
          <t>Unresolved</t>
        </is>
      </c>
      <c r="H93" s="66" t="n"/>
      <c r="I93" s="66" t="n"/>
      <c r="J93" s="66" t="inlineStr">
        <is>
          <t>Historical source label retained. Current naming, implementation and service status require authority confirmation. Official name found: In the area off the south-western coast of the Crimea. New scheme adopted at MSC 87, COLREG.2/Circ.61 (1 June 2010), implemented 0000 UTC 1 December 2010. Two parts: Routeing System No.9 'Sevastopol Harbour Approach' and No.3 'From Cape Khersones to Cape Aitodor'. No IMO revocation found in retrieved sources.</t>
        </is>
      </c>
      <c r="K93" s="66" t="inlineStr">
        <is>
          <t>SRC-001</t>
        </is>
      </c>
      <c r="L93" s="67" t="inlineStr">
        <is>
          <t>https://www.scribd.com/document/1014775753/1-1-IMO-Adopted-Traffic-Separation-Schemes-on-the-ADMIRALTY-Chart-Series</t>
        </is>
      </c>
      <c r="M93" s="66" t="inlineStr">
        <is>
          <t>Notice 17; scheme label: In the area Off the South-western Coast of the Crimea</t>
        </is>
      </c>
      <c r="N93" s="66" t="inlineStr">
        <is>
          <t>UKHO-labelled document on third-party host; edition and currency unverified.</t>
        </is>
      </c>
      <c r="O93" s="66" t="inlineStr">
        <is>
          <t>SRC-049; SRC-078; SRC-079</t>
        </is>
      </c>
      <c r="P93" s="67" t="inlineStr">
        <is>
          <t>https://cimrc.shmtu.edu.cn/_upload/article/files/63/dc/35c66be74d12873254dc88a2ef00/25e2ceb4-d2d9-4cf2-b55b-cdb3d56001b5.pdf
https://iho.int/uploads/user/Inter-Regional%20Coordination/RHC/MBSHC/BASWG/BASWG15/StatementOnMSI_Ukraine.pdf
https://marina.gov.ph/wp-content/uploads/2022/03/Circular-Letter-No.4508-Communication-From-The-Government-Of-Ukraine-Secretariat1.pdf</t>
        </is>
      </c>
      <c r="Q93" s="66" t="inlineStr">
        <is>
          <t>B18</t>
        </is>
      </c>
      <c r="R93" s="66" t="inlineStr">
        <is>
          <t>Researched; unresolved</t>
        </is>
      </c>
      <c r="S93" s="66" t="inlineStr">
        <is>
          <t>2026-09-29</t>
        </is>
      </c>
    </row>
    <row r="94" ht="60" customHeight="1" s="63">
      <c r="A94" s="66" t="inlineStr">
        <is>
          <t>TSS-0088</t>
        </is>
      </c>
      <c r="B94" s="66" t="inlineStr">
        <is>
          <t>Mediterranean and Black Seas</t>
        </is>
      </c>
      <c r="C94" s="66" t="inlineStr">
        <is>
          <t>In the Southern Approaches to the Kerch Strait</t>
        </is>
      </c>
      <c r="D94" s="66" t="inlineStr">
        <is>
          <t>Source entry; single scheme on first-pass evidence</t>
        </is>
      </c>
      <c r="E94" s="66" t="inlineStr">
        <is>
          <t>TSS identity confirmed (first pass); operational status: Not established. Official baseline reconciliation pending.</t>
        </is>
      </c>
      <c r="F94" s="66" t="inlineStr">
        <is>
          <t>Unresolved</t>
        </is>
      </c>
      <c r="G94" s="66" t="inlineStr">
        <is>
          <t>Unresolved</t>
        </is>
      </c>
      <c r="H94" s="66" t="n"/>
      <c r="I94" s="66" t="n"/>
      <c r="J94" s="66" t="inlineStr">
        <is>
          <t>Historical source label retained. Current naming, implementation and service status require authority confirmation. Official name found: In the southern approaches to the Kerch Strait. New scheme adopted by resolution A.374(X), 14 November 1977 (reference chart USSR No.514). Implementation date 15 May 1978 is a search-snippet lead only. Ukraine's IMO Circular Letter 4508 calls it 'Approaches to the Kerch Strait from the South', approved by IMO. No revocation found.</t>
        </is>
      </c>
      <c r="K94" s="66" t="inlineStr">
        <is>
          <t>SRC-001</t>
        </is>
      </c>
      <c r="L94" s="67" t="inlineStr">
        <is>
          <t>https://www.scribd.com/document/1014775753/1-1-IMO-Adopted-Traffic-Separation-Schemes-on-the-ADMIRALTY-Chart-Series</t>
        </is>
      </c>
      <c r="M94" s="66" t="inlineStr">
        <is>
          <t>Notice 17; scheme label: In the Southern Approaches to the Kerch Strait</t>
        </is>
      </c>
      <c r="N94" s="66" t="inlineStr">
        <is>
          <t>UKHO-labelled document on third-party host; edition and currency unverified.</t>
        </is>
      </c>
      <c r="O94" s="66" t="inlineStr">
        <is>
          <t>SRC-074; SRC-078; SRC-079</t>
        </is>
      </c>
      <c r="P94" s="67" t="inlineStr">
        <is>
          <t>https://wwwcdn.imo.org/localresources/en/KnowledgeCentre/IndexofIMOResolutions/AssemblyDocuments/A.374(10).pdf
https://iho.int/uploads/user/Inter-Regional%20Coordination/RHC/MBSHC/BASWG/BASWG15/StatementOnMSI_Ukraine.pdf
https://marina.gov.ph/wp-content/uploads/2022/03/Circular-Letter-No.4508-Communication-From-The-Government-Of-Ukraine-Secretariat1.pdf</t>
        </is>
      </c>
      <c r="Q94" s="66" t="inlineStr">
        <is>
          <t>B18</t>
        </is>
      </c>
      <c r="R94" s="66" t="inlineStr">
        <is>
          <t>Researched; unresolved</t>
        </is>
      </c>
      <c r="S94" s="66" t="inlineStr">
        <is>
          <t>2026-09-29</t>
        </is>
      </c>
    </row>
    <row r="95" ht="60" customHeight="1" s="63">
      <c r="A95" s="66" t="inlineStr">
        <is>
          <t>TSS-0089</t>
        </is>
      </c>
      <c r="B95" s="66" t="inlineStr">
        <is>
          <t>Mediterranean and Black Seas</t>
        </is>
      </c>
      <c r="C95" s="66" t="inlineStr">
        <is>
          <t>Off the Mediterranean Coast of Egypt</t>
        </is>
      </c>
      <c r="D95" s="66" t="inlineStr">
        <is>
          <t>Source entry; 6 parts recorded (structure only, not a scheme count)</t>
        </is>
      </c>
      <c r="E95" s="66" t="inlineStr">
        <is>
          <t>TSS identity confirmed (first pass); operational status: In force. Official baseline reconciliation pending.</t>
        </is>
      </c>
      <c r="F95" s="66" t="inlineStr">
        <is>
          <t>Unresolved</t>
        </is>
      </c>
      <c r="G95" s="66" t="inlineStr">
        <is>
          <t>Unresolved</t>
        </is>
      </c>
      <c r="H95" s="66" t="n"/>
      <c r="I95" s="66" t="n"/>
      <c r="J95" s="66" t="inlineStr">
        <is>
          <t>Official name found: Off the Mediterranean coast of Egypt. New scheme adopted at MSC 75, COLREG.2/Circ.51 (31 May 2002), implemented 0000 UTC 1 December 2002. Comprises approach schemes to Damietta (Mina Dumyat) and Port Said (Bur Said) with two precautionary areas.</t>
        </is>
      </c>
      <c r="K95" s="66" t="inlineStr">
        <is>
          <t>SRC-001</t>
        </is>
      </c>
      <c r="L95" s="67" t="inlineStr">
        <is>
          <t>https://www.scribd.com/document/1014775753/1-1-IMO-Adopted-Traffic-Separation-Schemes-on-the-ADMIRALTY-Chart-Series</t>
        </is>
      </c>
      <c r="M95" s="66" t="inlineStr">
        <is>
          <t>Notice 17; scheme label: Off the Mediterranean Coast of Egypt</t>
        </is>
      </c>
      <c r="N95" s="66" t="inlineStr">
        <is>
          <t>UKHO-labelled document on third-party host; edition and currency unverified.</t>
        </is>
      </c>
      <c r="O95" s="66" t="inlineStr">
        <is>
          <t>SRC-041</t>
        </is>
      </c>
      <c r="P95" s="67" t="inlineStr">
        <is>
          <t>https://cimrc.shmtu.edu.cn/_upload/article/files/63/dc/35c66be74d12873254dc88a2ef00/a4f3f58b-c400-41cb-858b-89dccee63151.pdf</t>
        </is>
      </c>
      <c r="Q95" s="66" t="inlineStr">
        <is>
          <t>B18</t>
        </is>
      </c>
      <c r="R95" s="66" t="inlineStr">
        <is>
          <t>Researched; unresolved</t>
        </is>
      </c>
      <c r="S95" s="66" t="inlineStr">
        <is>
          <t>2026-09-29</t>
        </is>
      </c>
    </row>
    <row r="96" ht="60" customHeight="1" s="63">
      <c r="A96" s="66" t="inlineStr">
        <is>
          <t>TSS-0090</t>
        </is>
      </c>
      <c r="B96" s="66" t="inlineStr">
        <is>
          <t>Southern Africa</t>
        </is>
      </c>
      <c r="C96" s="66" t="inlineStr">
        <is>
          <t>Off Alphard Banks, 34 miles south of Cape Infanta</t>
        </is>
      </c>
      <c r="D96" s="66" t="inlineStr">
        <is>
          <t>Source entry; single scheme on first-pass evidence</t>
        </is>
      </c>
      <c r="E96" s="66" t="inlineStr">
        <is>
          <t>TSS identity confirmed (first pass); operational status: In force. Official baseline reconciliation pending.</t>
        </is>
      </c>
      <c r="F96" s="66" t="inlineStr">
        <is>
          <t>Unresolved</t>
        </is>
      </c>
      <c r="G96" s="66" t="inlineStr">
        <is>
          <t>Unresolved</t>
        </is>
      </c>
      <c r="H96" s="66" t="n"/>
      <c r="I96" s="66" t="n"/>
      <c r="J96" s="66" t="inlineStr">
        <is>
          <t>Official name found: Off Alphard Banks 34 miles south of Cape Infanta. New scheme adopted at MSC 69, COLREG.2/Circ.44 (May 1998) Annex 9 'Off the south coast of South Africa', implemented 0000 UTC 1 December 1998. Charts on Cape Datum.</t>
        </is>
      </c>
      <c r="K96" s="66" t="inlineStr">
        <is>
          <t>SRC-001</t>
        </is>
      </c>
      <c r="L96" s="67" t="inlineStr">
        <is>
          <t>https://www.scribd.com/document/1014775753/1-1-IMO-Adopted-Traffic-Separation-Schemes-on-the-ADMIRALTY-Chart-Series</t>
        </is>
      </c>
      <c r="M96" s="66" t="inlineStr">
        <is>
          <t>Notice 17; scheme label: Off Alphard Banks, 34 miles south of Cape Infanta</t>
        </is>
      </c>
      <c r="N96" s="66" t="inlineStr">
        <is>
          <t>UKHO-labelled document on third-party host; edition and currency unverified.</t>
        </is>
      </c>
      <c r="O96" s="66" t="inlineStr">
        <is>
          <t>SRC-054; SRC-081; SRC-082</t>
        </is>
      </c>
      <c r="P96" s="67" t="inlineStr">
        <is>
          <t>https://www.transportstyrelsen.se/globalassets/global/sjofart/dokument/sjotrafik_dok/imo_colreg.2_cirkular.pdf?id=58526
https://www.westpandi.com/globalassets/news/mn-13-of-2017.pdf
https://source.acts.co.za/south-african-maritime-and%20aeronautical-search-and-rescue-act-2002/r604_30__ship_reporting_sy.php</t>
        </is>
      </c>
      <c r="Q96" s="66" t="inlineStr">
        <is>
          <t>B18</t>
        </is>
      </c>
      <c r="R96" s="66" t="inlineStr">
        <is>
          <t>Researched; unresolved</t>
        </is>
      </c>
      <c r="S96" s="66" t="inlineStr">
        <is>
          <t>2026-09-29</t>
        </is>
      </c>
    </row>
    <row r="97" ht="60" customHeight="1" s="63">
      <c r="A97" s="66" t="inlineStr">
        <is>
          <t>TSS-0091</t>
        </is>
      </c>
      <c r="B97" s="66" t="inlineStr">
        <is>
          <t>Southern Africa</t>
        </is>
      </c>
      <c r="C97" s="66" t="inlineStr">
        <is>
          <t>Off the FA Platform, 47 miles south of Mossel Bay</t>
        </is>
      </c>
      <c r="D97" s="66" t="inlineStr">
        <is>
          <t>Source entry; single scheme on first-pass evidence</t>
        </is>
      </c>
      <c r="E97" s="66" t="inlineStr">
        <is>
          <t>TSS identity confirmed (first pass); operational status: In force. Official baseline reconciliation pending.</t>
        </is>
      </c>
      <c r="F97" s="66" t="inlineStr">
        <is>
          <t>Unresolved</t>
        </is>
      </c>
      <c r="G97" s="66" t="inlineStr">
        <is>
          <t>Unresolved</t>
        </is>
      </c>
      <c r="H97" s="66" t="n"/>
      <c r="I97" s="66" t="n"/>
      <c r="J97" s="66" t="inlineStr">
        <is>
          <t>Official name found: Off the FA Platform 47 miles south of Mossel Bay. New scheme adopted at MSC 69, COLREG.2/Circ.44 Annex 9, implemented 0000 UTC 1 December 1998.</t>
        </is>
      </c>
      <c r="K97" s="66" t="inlineStr">
        <is>
          <t>SRC-001</t>
        </is>
      </c>
      <c r="L97" s="67" t="inlineStr">
        <is>
          <t>https://www.scribd.com/document/1014775753/1-1-IMO-Adopted-Traffic-Separation-Schemes-on-the-ADMIRALTY-Chart-Series</t>
        </is>
      </c>
      <c r="M97" s="66" t="inlineStr">
        <is>
          <t>Notice 17; scheme label: Off the FA Platform, 47 miles south of Mossel Bay</t>
        </is>
      </c>
      <c r="N97" s="66" t="inlineStr">
        <is>
          <t>UKHO-labelled document on third-party host; edition and currency unverified.</t>
        </is>
      </c>
      <c r="O97" s="66" t="inlineStr">
        <is>
          <t>SRC-054; SRC-081; SRC-082</t>
        </is>
      </c>
      <c r="P97" s="67" t="inlineStr">
        <is>
          <t>https://www.transportstyrelsen.se/globalassets/global/sjofart/dokument/sjotrafik_dok/imo_colreg.2_cirkular.pdf?id=58526
https://www.westpandi.com/globalassets/news/mn-13-of-2017.pdf
https://source.acts.co.za/south-african-maritime-and%20aeronautical-search-and-rescue-act-2002/r604_30__ship_reporting_sy.php</t>
        </is>
      </c>
      <c r="Q97" s="66" t="inlineStr">
        <is>
          <t>B19</t>
        </is>
      </c>
      <c r="R97" s="66" t="inlineStr">
        <is>
          <t>Researched; unresolved</t>
        </is>
      </c>
      <c r="S97" s="66" t="inlineStr">
        <is>
          <t>2026-09-29</t>
        </is>
      </c>
    </row>
    <row r="98" ht="60" customHeight="1" s="63">
      <c r="A98" s="66" t="inlineStr">
        <is>
          <t>TSS-0092</t>
        </is>
      </c>
      <c r="B98" s="66" t="inlineStr">
        <is>
          <t>Red Sea and Arabian region</t>
        </is>
      </c>
      <c r="C98" s="66" t="inlineStr">
        <is>
          <t>In the Gulf of Suez</t>
        </is>
      </c>
      <c r="D98" s="66" t="inlineStr">
        <is>
          <t>Source entry; single scheme on first-pass evidence</t>
        </is>
      </c>
      <c r="E98" s="66" t="inlineStr">
        <is>
          <t>TSS identity confirmed (first pass); operational status: In force. Official baseline reconciliation pending.</t>
        </is>
      </c>
      <c r="F98" s="66" t="inlineStr">
        <is>
          <t>Unresolved (lead: VTS-037)</t>
        </is>
      </c>
      <c r="G98" s="66" t="inlineStr">
        <is>
          <t>Unresolved</t>
        </is>
      </c>
      <c r="H98" s="66" t="n"/>
      <c r="I98" s="66" t="n"/>
      <c r="J98" s="66" t="inlineStr">
        <is>
          <t>New scheme adopted by resolution A.374(X) (14 November 1977); amended scheme adopted at MSC 67, COLREG.2/Circ.42 (2 January 1997), implemented 1 July 1997. Compilation notes associated 'Rules for ships navigating in the Gulf of Suez' (MSC 46/19). Earlier amendments also appear in the compilation.</t>
        </is>
      </c>
      <c r="K98" s="66" t="inlineStr">
        <is>
          <t>SRC-001</t>
        </is>
      </c>
      <c r="L98" s="67" t="inlineStr">
        <is>
          <t>https://www.scribd.com/document/1014775753/1-1-IMO-Adopted-Traffic-Separation-Schemes-on-the-ADMIRALTY-Chart-Series</t>
        </is>
      </c>
      <c r="M98" s="66" t="inlineStr">
        <is>
          <t>Notice 17; scheme label: In the Gulf of Suez</t>
        </is>
      </c>
      <c r="N98" s="66" t="inlineStr">
        <is>
          <t>UKHO-labelled document on third-party host; edition and currency unverified.</t>
        </is>
      </c>
      <c r="O98" s="66" t="inlineStr">
        <is>
          <t>SRC-054; SRC-074; SRC-080</t>
        </is>
      </c>
      <c r="P98" s="67" t="inlineStr">
        <is>
          <t>https://www.transportstyrelsen.se/globalassets/global/sjofart/dokument/sjotrafik_dok/imo_colreg.2_cirkular.pdf?id=58526
https://wwwcdn.imo.org/localresources/en/KnowledgeCentre/IndexofIMOResolutions/AssemblyDocuments/A.374(10).pdf
https://www.marinelink.com/news/307563</t>
        </is>
      </c>
      <c r="Q98" s="66" t="inlineStr">
        <is>
          <t>B19</t>
        </is>
      </c>
      <c r="R98" s="66" t="inlineStr">
        <is>
          <t>Association proposed</t>
        </is>
      </c>
      <c r="S98" s="66" t="inlineStr">
        <is>
          <t>2026-09-29</t>
        </is>
      </c>
    </row>
    <row r="99" ht="60" customHeight="1" s="63">
      <c r="A99" s="66" t="inlineStr">
        <is>
          <t>TSS-0093</t>
        </is>
      </c>
      <c r="B99" s="66" t="inlineStr">
        <is>
          <t>Red Sea and Arabian region</t>
        </is>
      </c>
      <c r="C99" s="66" t="inlineStr">
        <is>
          <t>In the Entrance to the Gulf of Aqaba</t>
        </is>
      </c>
      <c r="D99" s="66" t="inlineStr">
        <is>
          <t>Source entry; single scheme on first-pass evidence</t>
        </is>
      </c>
      <c r="E99" s="66" t="inlineStr">
        <is>
          <t>TSS identity confirmed (first pass); operational status: In force. Official baseline reconciliation pending.</t>
        </is>
      </c>
      <c r="F99" s="66" t="inlineStr">
        <is>
          <t>Unresolved</t>
        </is>
      </c>
      <c r="G99" s="66" t="inlineStr">
        <is>
          <t>Unresolved</t>
        </is>
      </c>
      <c r="H99" s="66" t="n"/>
      <c r="I99" s="66" t="n"/>
      <c r="J99" s="66" t="inlineStr">
        <is>
          <t>Official name found: In the entrance to the Gulf of Aqaba. New scheme adopted at MSC 61 (December 1992), COLREG.2/Circ.39; implemented 0000 UTC 1 October 1993 after Egypt confirmed survey of Grafton Passage and aids (Circ.39/Add.1). Nearby areas to be avoided north of the Strait of Tiran and at Ras Mohammed adopted by A.827(19).</t>
        </is>
      </c>
      <c r="K99" s="66" t="inlineStr">
        <is>
          <t>SRC-001</t>
        </is>
      </c>
      <c r="L99" s="67" t="inlineStr">
        <is>
          <t>https://www.scribd.com/document/1014775753/1-1-IMO-Adopted-Traffic-Separation-Schemes-on-the-ADMIRALTY-Chart-Series</t>
        </is>
      </c>
      <c r="M99" s="66" t="inlineStr">
        <is>
          <t>Notice 17; scheme label: In the Entrance to the Gulf of Aqaba</t>
        </is>
      </c>
      <c r="N99" s="66" t="inlineStr">
        <is>
          <t>UKHO-labelled document on third-party host; edition and currency unverified.</t>
        </is>
      </c>
      <c r="O99" s="66" t="inlineStr">
        <is>
          <t>SRC-054; SRC-072</t>
        </is>
      </c>
      <c r="P99" s="67" t="inlineStr">
        <is>
          <t>https://www.transportstyrelsen.se/globalassets/global/sjofart/dokument/sjotrafik_dok/imo_colreg.2_cirkular.pdf?id=58526
https://wwwcdn.imo.org/localresources/en/KnowledgeCentre/IndexofIMOResolutions/AssemblyDocuments/A.827(19).pdf</t>
        </is>
      </c>
      <c r="Q99" s="66" t="inlineStr">
        <is>
          <t>B19</t>
        </is>
      </c>
      <c r="R99" s="66" t="inlineStr">
        <is>
          <t>Researched; unresolved</t>
        </is>
      </c>
      <c r="S99" s="66" t="inlineStr">
        <is>
          <t>2026-09-29</t>
        </is>
      </c>
    </row>
    <row r="100" ht="60" customHeight="1" s="63">
      <c r="A100" s="66" t="inlineStr">
        <is>
          <t>TSS-0094</t>
        </is>
      </c>
      <c r="B100" s="66" t="inlineStr">
        <is>
          <t>Red Sea and Arabian region</t>
        </is>
      </c>
      <c r="C100" s="66" t="inlineStr">
        <is>
          <t>In the Southern Red Sea - West and South of Hanish al Kubra</t>
        </is>
      </c>
      <c r="D100" s="66" t="inlineStr">
        <is>
          <t>Source entry; single scheme on first-pass evidence</t>
        </is>
      </c>
      <c r="E100" s="66" t="inlineStr">
        <is>
          <t>TSS identity confirmed (first pass); operational status: In force. Official baseline reconciliation pending.</t>
        </is>
      </c>
      <c r="F100" s="66" t="inlineStr">
        <is>
          <t>Unresolved</t>
        </is>
      </c>
      <c r="G100" s="66" t="inlineStr">
        <is>
          <t>Unresolved</t>
        </is>
      </c>
      <c r="H100" s="66" t="n"/>
      <c r="I100" s="66" t="n"/>
      <c r="J100" s="66" t="inlineStr">
        <is>
          <t>Official name found: In the Southern Red Sea: west and south of Hanish al Kubra Island. New scheme adopted at MSC 76, COLREG.2/Circ.52 (6 January 2003) Annex 1, implemented 0000 UTC 1 July 2003. Annex 1 contains two schemes (this and east of Jabal Zuqar, TSS-0095).</t>
        </is>
      </c>
      <c r="K100" s="66" t="inlineStr">
        <is>
          <t>SRC-001</t>
        </is>
      </c>
      <c r="L100" s="67" t="inlineStr">
        <is>
          <t>https://www.scribd.com/document/1014775753/1-1-IMO-Adopted-Traffic-Separation-Schemes-on-the-ADMIRALTY-Chart-Series</t>
        </is>
      </c>
      <c r="M100" s="66" t="inlineStr">
        <is>
          <t>Notice 17; scheme label: In the Southern Red Sea - West and South of Hanish al Kubra</t>
        </is>
      </c>
      <c r="N100" s="66" t="inlineStr">
        <is>
          <t>UKHO-labelled document on third-party host; edition and currency unverified.</t>
        </is>
      </c>
      <c r="O100" s="66" t="inlineStr">
        <is>
          <t>SRC-054</t>
        </is>
      </c>
      <c r="P100" s="67" t="inlineStr">
        <is>
          <t>https://www.transportstyrelsen.se/globalassets/global/sjofart/dokument/sjotrafik_dok/imo_colreg.2_cirkular.pdf?id=58526</t>
        </is>
      </c>
      <c r="Q100" s="66" t="inlineStr">
        <is>
          <t>B19</t>
        </is>
      </c>
      <c r="R100" s="66" t="inlineStr">
        <is>
          <t>Researched; unresolved</t>
        </is>
      </c>
      <c r="S100" s="66" t="inlineStr">
        <is>
          <t>2026-09-29</t>
        </is>
      </c>
    </row>
    <row r="101" ht="60" customHeight="1" s="63">
      <c r="A101" s="66" t="inlineStr">
        <is>
          <t>TSS-0095</t>
        </is>
      </c>
      <c r="B101" s="66" t="inlineStr">
        <is>
          <t>Red Sea and Arabian region</t>
        </is>
      </c>
      <c r="C101" s="66" t="inlineStr">
        <is>
          <t>In the Southern Red Sea - East of Jabal Zuqar Island</t>
        </is>
      </c>
      <c r="D101" s="66" t="inlineStr">
        <is>
          <t>Source entry; single scheme on first-pass evidence</t>
        </is>
      </c>
      <c r="E101" s="66" t="inlineStr">
        <is>
          <t>TSS identity confirmed (first pass); operational status: In force. Official baseline reconciliation pending.</t>
        </is>
      </c>
      <c r="F101" s="66" t="inlineStr">
        <is>
          <t>Unresolved</t>
        </is>
      </c>
      <c r="G101" s="66" t="inlineStr">
        <is>
          <t>Unresolved</t>
        </is>
      </c>
      <c r="H101" s="66" t="n"/>
      <c r="I101" s="66" t="n"/>
      <c r="J101" s="66" t="inlineStr">
        <is>
          <t>Official name found: In the Southern Red Sea: east of Jabal Zuqar Island. New scheme adopted at MSC 76, COLREG.2/Circ.52 Annex 1, implemented 0000 UTC 1 July 2003. Southbound lane 140° then 166°, northbound 346° then 320°.</t>
        </is>
      </c>
      <c r="K101" s="66" t="inlineStr">
        <is>
          <t>SRC-001</t>
        </is>
      </c>
      <c r="L101" s="67" t="inlineStr">
        <is>
          <t>https://www.scribd.com/document/1014775753/1-1-IMO-Adopted-Traffic-Separation-Schemes-on-the-ADMIRALTY-Chart-Series</t>
        </is>
      </c>
      <c r="M101" s="66" t="inlineStr">
        <is>
          <t>Notice 17; scheme label: In the Southern Red Sea - East of Jabal Zuqar Island</t>
        </is>
      </c>
      <c r="N101" s="66" t="inlineStr">
        <is>
          <t>UKHO-labelled document on third-party host; edition and currency unverified.</t>
        </is>
      </c>
      <c r="O101" s="66" t="inlineStr">
        <is>
          <t>SRC-054</t>
        </is>
      </c>
      <c r="P101" s="67" t="inlineStr">
        <is>
          <t>https://www.transportstyrelsen.se/globalassets/global/sjofart/dokument/sjotrafik_dok/imo_colreg.2_cirkular.pdf?id=58526</t>
        </is>
      </c>
      <c r="Q101" s="66" t="inlineStr">
        <is>
          <t>B19</t>
        </is>
      </c>
      <c r="R101" s="66" t="inlineStr">
        <is>
          <t>Researched; unresolved</t>
        </is>
      </c>
      <c r="S101" s="66" t="inlineStr">
        <is>
          <t>2026-09-29</t>
        </is>
      </c>
    </row>
    <row r="102" ht="60" customHeight="1" s="63">
      <c r="A102" s="66" t="inlineStr">
        <is>
          <t>TSS-0096</t>
        </is>
      </c>
      <c r="B102" s="66" t="inlineStr">
        <is>
          <t>Red Sea and Arabian region</t>
        </is>
      </c>
      <c r="C102" s="66" t="inlineStr">
        <is>
          <t>In the Strait of Bab-el-Mandeb</t>
        </is>
      </c>
      <c r="D102" s="66" t="inlineStr">
        <is>
          <t>Source entry; single scheme on first-pass evidence</t>
        </is>
      </c>
      <c r="E102" s="66" t="inlineStr">
        <is>
          <t>TSS identity confirmed (first pass); operational status: In force. Official baseline reconciliation pending.</t>
        </is>
      </c>
      <c r="F102" s="66" t="inlineStr">
        <is>
          <t>Unresolved</t>
        </is>
      </c>
      <c r="G102" s="66" t="inlineStr">
        <is>
          <t>Unresolved</t>
        </is>
      </c>
      <c r="H102" s="66" t="n"/>
      <c r="I102" s="66" t="n"/>
      <c r="J102" s="66" t="inlineStr">
        <is>
          <t>Official name found: In the Strait of Bab el Mandeb. IMO-adopted by Assembly resolution A.284(VIII) (20 Nov 1973). Amended scheme adopted by MSC 76 and promulgated by COLREG.2/Circ.52, implemented 0000 UTC 1 July 2003 (southbound 155° then 120°, northbound 300° then 335°, turning line off Mayyun Island). Separate from the 'In the Southern Red Sea' TSS adopted in the same circular.</t>
        </is>
      </c>
      <c r="K102" s="66" t="inlineStr">
        <is>
          <t>SRC-001</t>
        </is>
      </c>
      <c r="L102" s="67" t="inlineStr">
        <is>
          <t>https://www.scribd.com/document/1014775753/1-1-IMO-Adopted-Traffic-Separation-Schemes-on-the-ADMIRALTY-Chart-Series</t>
        </is>
      </c>
      <c r="M102" s="66" t="inlineStr">
        <is>
          <t>Notice 17; scheme label: In the Strait of Bab-el-Mandeb</t>
        </is>
      </c>
      <c r="N102" s="66" t="inlineStr">
        <is>
          <t>UKHO-labelled document on third-party host; edition and currency unverified.</t>
        </is>
      </c>
      <c r="O102" s="66" t="inlineStr">
        <is>
          <t>SRC-086; SRC-054; SRC-091</t>
        </is>
      </c>
      <c r="P102" s="67" t="inlineStr">
        <is>
          <t>https://wwwcdn.imo.org/localresources/en/KnowledgeCentre/IndexofIMOResolutions/AssemblyDocuments/A.284(8).pdf
https://www.transportstyrelsen.se/globalassets/global/sjofart/dokument/sjotrafik_dok/imo_colreg.2_cirkular.pdf?id=58526
https://www.liscr.com/marketing/liscr/media/liscr/online%20library/maritime/msb-14_2026.pdf</t>
        </is>
      </c>
      <c r="Q102" s="66" t="inlineStr">
        <is>
          <t>B20</t>
        </is>
      </c>
      <c r="R102" s="66" t="inlineStr">
        <is>
          <t>Researched; unresolved</t>
        </is>
      </c>
      <c r="S102" s="66" t="inlineStr">
        <is>
          <t>2026-09-29</t>
        </is>
      </c>
    </row>
    <row r="103" ht="60" customHeight="1" s="63">
      <c r="A103" s="66" t="inlineStr">
        <is>
          <t>TSS-0097</t>
        </is>
      </c>
      <c r="B103" s="66" t="inlineStr">
        <is>
          <t>Red Sea and Arabian region</t>
        </is>
      </c>
      <c r="C103" s="66" t="inlineStr">
        <is>
          <t>Off Ras al Hadd</t>
        </is>
      </c>
      <c r="D103" s="66" t="inlineStr">
        <is>
          <t>Source entry; single scheme on first-pass evidence</t>
        </is>
      </c>
      <c r="E103" s="66" t="inlineStr">
        <is>
          <t>TSS identity confirmed (first pass); operational status: In force. Official baseline reconciliation pending.</t>
        </is>
      </c>
      <c r="F103" s="66" t="inlineStr">
        <is>
          <t>Unresolved</t>
        </is>
      </c>
      <c r="G103" s="66" t="inlineStr">
        <is>
          <t>Unresolved</t>
        </is>
      </c>
      <c r="H103" s="66" t="n"/>
      <c r="I103" s="66" t="n"/>
      <c r="J103" s="66" t="inlineStr">
        <is>
          <t>New scheme adopted by MSC 41; COLREG.2/Circ.12 (19 Nov 1979), effective 15 Feb 1980. Inshore traffic zone redescribed by COLREG.2/Circ.40 (MSC 63), implemented 24 Nov 1994.</t>
        </is>
      </c>
      <c r="K103" s="66" t="inlineStr">
        <is>
          <t>SRC-001</t>
        </is>
      </c>
      <c r="L103" s="67" t="inlineStr">
        <is>
          <t>https://www.scribd.com/document/1014775753/1-1-IMO-Adopted-Traffic-Separation-Schemes-on-the-ADMIRALTY-Chart-Series</t>
        </is>
      </c>
      <c r="M103" s="66" t="inlineStr">
        <is>
          <t>Notice 17; scheme label: Off Ras al Hadd</t>
        </is>
      </c>
      <c r="N103" s="66" t="inlineStr">
        <is>
          <t>UKHO-labelled document on third-party host; edition and currency unverified.</t>
        </is>
      </c>
      <c r="O103" s="66" t="inlineStr">
        <is>
          <t>SRC-054; SRC-091</t>
        </is>
      </c>
      <c r="P103" s="67" t="inlineStr">
        <is>
          <t>https://www.transportstyrelsen.se/globalassets/global/sjofart/dokument/sjotrafik_dok/imo_colreg.2_cirkular.pdf?id=58526
https://www.liscr.com/marketing/liscr/media/liscr/online%20library/maritime/msb-14_2026.pdf</t>
        </is>
      </c>
      <c r="Q103" s="66" t="inlineStr">
        <is>
          <t>B20</t>
        </is>
      </c>
      <c r="R103" s="66" t="inlineStr">
        <is>
          <t>Researched; unresolved</t>
        </is>
      </c>
      <c r="S103" s="66" t="inlineStr">
        <is>
          <t>2026-09-29</t>
        </is>
      </c>
    </row>
    <row r="104" ht="60" customHeight="1" s="63">
      <c r="A104" s="66" t="inlineStr">
        <is>
          <t>TSS-0098</t>
        </is>
      </c>
      <c r="B104" s="66" t="inlineStr">
        <is>
          <t>Red Sea and Arabian region</t>
        </is>
      </c>
      <c r="C104" s="66" t="inlineStr">
        <is>
          <t>Off Ra's al Kuh</t>
        </is>
      </c>
      <c r="D104" s="66" t="inlineStr">
        <is>
          <t>Source entry; single scheme on first-pass evidence</t>
        </is>
      </c>
      <c r="E104" s="66" t="inlineStr">
        <is>
          <t>TSS identity confirmed (first pass); operational status: In force. Official baseline reconciliation pending.</t>
        </is>
      </c>
      <c r="F104" s="66" t="inlineStr">
        <is>
          <t>Unresolved</t>
        </is>
      </c>
      <c r="G104" s="66" t="inlineStr">
        <is>
          <t>Unresolved</t>
        </is>
      </c>
      <c r="H104" s="66" t="n"/>
      <c r="I104" s="66" t="n"/>
      <c r="J104" s="66" t="inlineStr">
        <is>
          <t>New scheme adopted by MSC 78; COLREG.2/Circ.54 (28 May 2004), implemented 0000 UTC 1 December 2004. Two 2-mile lanes, 2-mile separation zone and an associated inshore traffic zone; lanes lead towards the Strait of Hormuz / Gulf of Oman.</t>
        </is>
      </c>
      <c r="K104" s="66" t="inlineStr">
        <is>
          <t>SRC-001</t>
        </is>
      </c>
      <c r="L104" s="67" t="inlineStr">
        <is>
          <t>https://www.scribd.com/document/1014775753/1-1-IMO-Adopted-Traffic-Separation-Schemes-on-the-ADMIRALTY-Chart-Series</t>
        </is>
      </c>
      <c r="M104" s="66" t="inlineStr">
        <is>
          <t>Notice 17; scheme label: Off Ra's al Kuh</t>
        </is>
      </c>
      <c r="N104" s="66" t="inlineStr">
        <is>
          <t>UKHO-labelled document on third-party host; edition and currency unverified.</t>
        </is>
      </c>
      <c r="O104" s="66" t="inlineStr">
        <is>
          <t>SRC-054; SRC-091</t>
        </is>
      </c>
      <c r="P104" s="67" t="inlineStr">
        <is>
          <t>https://www.transportstyrelsen.se/globalassets/global/sjofart/dokument/sjotrafik_dok/imo_colreg.2_cirkular.pdf?id=58526
https://www.liscr.com/marketing/liscr/media/liscr/online%20library/maritime/msb-14_2026.pdf</t>
        </is>
      </c>
      <c r="Q104" s="66" t="inlineStr">
        <is>
          <t>B20</t>
        </is>
      </c>
      <c r="R104" s="66" t="inlineStr">
        <is>
          <t>Researched; unresolved</t>
        </is>
      </c>
      <c r="S104" s="66" t="inlineStr">
        <is>
          <t>2026-09-29</t>
        </is>
      </c>
    </row>
    <row r="105" ht="60" customHeight="1" s="63">
      <c r="A105" s="66" t="inlineStr">
        <is>
          <t>TSS-0099</t>
        </is>
      </c>
      <c r="B105" s="66" t="inlineStr">
        <is>
          <t>Red Sea and Arabian region</t>
        </is>
      </c>
      <c r="C105" s="66" t="inlineStr">
        <is>
          <t>In the Strait of Hormuz</t>
        </is>
      </c>
      <c r="D105" s="66" t="inlineStr">
        <is>
          <t>Source entry; single scheme on first-pass evidence</t>
        </is>
      </c>
      <c r="E105" s="66" t="inlineStr">
        <is>
          <t>TSS identity confirmed (first pass); operational status: In force. Official baseline reconciliation pending.</t>
        </is>
      </c>
      <c r="F105" s="66" t="inlineStr">
        <is>
          <t>Unresolved (lead: VTS-039)</t>
        </is>
      </c>
      <c r="G105" s="66" t="inlineStr">
        <is>
          <t>Unresolved</t>
        </is>
      </c>
      <c r="H105" s="66" t="n"/>
      <c r="I105" s="66" t="n"/>
      <c r="J105" s="66" t="inlineStr">
        <is>
          <t>Proposed by Iran and Oman and adopted by IMO in 1968 (IMO page, 2026); included in A.284(VIII) (1973); amended scheme adopted by MSC 40 (IMCO circular dated 7 June 1979); reference chart changed to BA 3172 (WGS 84) by COLREG.2/Circ.33 (25 Feb 1994); inshore traffic zone off Musandam redescribed by COLREG.2/Circ.40 (implemented 24 Nov 1994). 2026 hostilities: IMO page confirms the TSS as 'existing'; press reports of temporary Omani routes north and south of the lanes are leads only and were not verified from an Omani Notice to Mariners.</t>
        </is>
      </c>
      <c r="K105" s="66" t="inlineStr">
        <is>
          <t>SRC-001</t>
        </is>
      </c>
      <c r="L105" s="67" t="inlineStr">
        <is>
          <t>https://www.scribd.com/document/1014775753/1-1-IMO-Adopted-Traffic-Separation-Schemes-on-the-ADMIRALTY-Chart-Series</t>
        </is>
      </c>
      <c r="M105" s="66" t="inlineStr">
        <is>
          <t>Notice 17; scheme label: In the Strait of Hormuz</t>
        </is>
      </c>
      <c r="N105" s="66" t="inlineStr">
        <is>
          <t>UKHO-labelled document on third-party host; edition and currency unverified.</t>
        </is>
      </c>
      <c r="O105" s="66" t="inlineStr">
        <is>
          <t>SRC-088; SRC-086; SRC-054; SRC-091</t>
        </is>
      </c>
      <c r="P105" s="67" t="inlineStr">
        <is>
          <t>https://www.imo.org/en/mediacentre/hottopics/pages/middle-east-strait-of-hormuz.aspx
https://wwwcdn.imo.org/localresources/en/KnowledgeCentre/IndexofIMOResolutions/AssemblyDocuments/A.284(8).pdf
https://www.transportstyrelsen.se/globalassets/global/sjofart/dokument/sjotrafik_dok/imo_colreg.2_cirkular.pdf?id=58526
https://www.liscr.com/marketing/liscr/media/liscr/online%20library/maritime/msb-14_2026.pdf</t>
        </is>
      </c>
      <c r="Q105" s="66" t="inlineStr">
        <is>
          <t>B20</t>
        </is>
      </c>
      <c r="R105" s="66" t="inlineStr">
        <is>
          <t>Association proposed</t>
        </is>
      </c>
      <c r="S105" s="66" t="inlineStr">
        <is>
          <t>2026-09-29</t>
        </is>
      </c>
    </row>
    <row r="106" ht="60" customHeight="1" s="63">
      <c r="A106" s="66" t="inlineStr">
        <is>
          <t>TSS-0100</t>
        </is>
      </c>
      <c r="B106" s="66" t="inlineStr">
        <is>
          <t>Red Sea and Arabian region</t>
        </is>
      </c>
      <c r="C106" s="66" t="inlineStr">
        <is>
          <t>Tunb-Farur</t>
        </is>
      </c>
      <c r="D106" s="66" t="inlineStr">
        <is>
          <t>Source entry; 2 parts recorded (structure only, not a scheme count)</t>
        </is>
      </c>
      <c r="E106" s="66" t="inlineStr">
        <is>
          <t>TSS identity provisional (first pass); operational status: In force. Official baseline reconciliation pending.</t>
        </is>
      </c>
      <c r="F106" s="66" t="inlineStr">
        <is>
          <t>Unresolved</t>
        </is>
      </c>
      <c r="G106" s="66" t="inlineStr">
        <is>
          <t>Unresolved</t>
        </is>
      </c>
      <c r="H106" s="66" t="n"/>
      <c r="I106" s="66" t="n"/>
      <c r="J106" s="66" t="inlineStr">
        <is>
          <t>Adopted by Assembly resolution A.284(VIII) (20 Nov 1973): separate westbound (258°/278°) and eastbound (098°/078°) lanes, linking to the Strait of Hormuz scheme. No later amendment or revocation found in the COLREG.2 circular compilation, but current status not verified in the current Ships' Routeing.</t>
        </is>
      </c>
      <c r="K106" s="66" t="inlineStr">
        <is>
          <t>SRC-001</t>
        </is>
      </c>
      <c r="L106" s="67" t="inlineStr">
        <is>
          <t>https://www.scribd.com/document/1014775753/1-1-IMO-Adopted-Traffic-Separation-Schemes-on-the-ADMIRALTY-Chart-Series</t>
        </is>
      </c>
      <c r="M106" s="66" t="inlineStr">
        <is>
          <t>Notice 17; scheme label: Tunb-Farur</t>
        </is>
      </c>
      <c r="N106" s="66" t="inlineStr">
        <is>
          <t>UKHO-labelled document on third-party host; edition and currency unverified.</t>
        </is>
      </c>
      <c r="O106" s="66" t="inlineStr">
        <is>
          <t>SRC-086; SRC-091</t>
        </is>
      </c>
      <c r="P106" s="67" t="inlineStr">
        <is>
          <t>https://wwwcdn.imo.org/localresources/en/KnowledgeCentre/IndexofIMOResolutions/AssemblyDocuments/A.284(8).pdf
https://www.liscr.com/marketing/liscr/media/liscr/online%20library/maritime/msb-14_2026.pdf</t>
        </is>
      </c>
      <c r="Q106" s="66" t="inlineStr">
        <is>
          <t>B20</t>
        </is>
      </c>
      <c r="R106" s="66" t="inlineStr">
        <is>
          <t>Researched; unresolved</t>
        </is>
      </c>
      <c r="S106" s="66" t="inlineStr">
        <is>
          <t>2026-09-29</t>
        </is>
      </c>
    </row>
    <row r="107" ht="60" customHeight="1" s="63">
      <c r="A107" s="66" t="inlineStr">
        <is>
          <t>TSS-0101</t>
        </is>
      </c>
      <c r="B107" s="66" t="inlineStr">
        <is>
          <t>Red Sea and Arabian region</t>
        </is>
      </c>
      <c r="C107" s="66" t="inlineStr">
        <is>
          <t>Between Zaqqum and Umm Shaif</t>
        </is>
      </c>
      <c r="D107" s="66" t="inlineStr">
        <is>
          <t>Source entry; single scheme on first-pass evidence</t>
        </is>
      </c>
      <c r="E107" s="66" t="inlineStr">
        <is>
          <t>TSS identity confirmed (first pass); operational status: In force. Official baseline reconciliation pending.</t>
        </is>
      </c>
      <c r="F107" s="66" t="inlineStr">
        <is>
          <t>Unresolved (lead: VTS-038)</t>
        </is>
      </c>
      <c r="G107" s="66" t="inlineStr">
        <is>
          <t>Unresolved</t>
        </is>
      </c>
      <c r="H107" s="66" t="n"/>
      <c r="I107" s="66" t="n"/>
      <c r="J107" s="66" t="inlineStr">
        <is>
          <t>Official name found: Between Zaqqum and Umm Shaif oilfields. New scheme adopted by MSC 46; COLREG.2/Circ.15 (6 April 1982); effective not before 31 Dec 1982 and on notification by the Government concerned. ADNOC Port Marine Notice DZM/MN/019/2023 (14 Mar 2023) refers to the 'Zaqqum Traffic Separation Scheme', indicating it remains in use.</t>
        </is>
      </c>
      <c r="K107" s="66" t="inlineStr">
        <is>
          <t>SRC-001</t>
        </is>
      </c>
      <c r="L107" s="67" t="inlineStr">
        <is>
          <t>https://www.scribd.com/document/1014775753/1-1-IMO-Adopted-Traffic-Separation-Schemes-on-the-ADMIRALTY-Chart-Series</t>
        </is>
      </c>
      <c r="M107" s="66" t="inlineStr">
        <is>
          <t>Notice 17; scheme label: Between Zaqqum and Umm Shaif</t>
        </is>
      </c>
      <c r="N107" s="66" t="inlineStr">
        <is>
          <t>UKHO-labelled document on third-party host; edition and currency unverified.</t>
        </is>
      </c>
      <c r="O107" s="66" t="inlineStr">
        <is>
          <t>SRC-054; SRC-089; SRC-091</t>
        </is>
      </c>
      <c r="P107" s="67" t="inlineStr">
        <is>
          <t>https://www.transportstyrelsen.se/globalassets/global/sjofart/dokument/sjotrafik_dok/imo_colreg.2_cirkular.pdf?id=58526
https://ppa.adnoc.ae/-/media/ppa/files/marine-notices/local-marine-notices/das/2023/marine-notice-019-2023---pipe-laying-operation---traffic-arrangement-in-zaqqum-tss.ashx
https://www.liscr.com/marketing/liscr/media/liscr/online%20library/maritime/msb-14_2026.pdf</t>
        </is>
      </c>
      <c r="Q107" s="66" t="inlineStr">
        <is>
          <t>B21</t>
        </is>
      </c>
      <c r="R107" s="66" t="inlineStr">
        <is>
          <t>Association proposed</t>
        </is>
      </c>
      <c r="S107" s="66" t="inlineStr">
        <is>
          <t>2026-09-29</t>
        </is>
      </c>
    </row>
    <row r="108" ht="60" customHeight="1" s="63">
      <c r="A108" s="66" t="inlineStr">
        <is>
          <t>TSS-0102</t>
        </is>
      </c>
      <c r="B108" s="66" t="inlineStr">
        <is>
          <t>Red Sea and Arabian region</t>
        </is>
      </c>
      <c r="C108" s="66" t="inlineStr">
        <is>
          <t>In the Approaches to Ras Tanura and Ju'aymah</t>
        </is>
      </c>
      <c r="D108" s="66" t="inlineStr">
        <is>
          <t>Source entry; 3 parts recorded (structure only, not a scheme count)</t>
        </is>
      </c>
      <c r="E108" s="66" t="inlineStr">
        <is>
          <t>TSS identity confirmed (first pass); operational status: In force. Official baseline reconciliation pending.</t>
        </is>
      </c>
      <c r="F108" s="66" t="inlineStr">
        <is>
          <t>Unresolved (lead: VTS-040)</t>
        </is>
      </c>
      <c r="G108" s="66" t="inlineStr">
        <is>
          <t>Unresolved</t>
        </is>
      </c>
      <c r="H108" s="66" t="n"/>
      <c r="I108" s="66" t="n"/>
      <c r="J108" s="66" t="inlineStr">
        <is>
          <t>Official name found: In the approaches to Ras Tanura and Ju'aymah. 'In the approach to Ras Tanura' in A.284(VIII) (1973); amended and renamed 'In the approaches to Ras Tanura and Ju'aymah (as amended)' by A.338(IX) (12 Nov 1975), in three parts. Later amendments not checked.</t>
        </is>
      </c>
      <c r="K108" s="66" t="inlineStr">
        <is>
          <t>SRC-001</t>
        </is>
      </c>
      <c r="L108" s="67" t="inlineStr">
        <is>
          <t>https://www.scribd.com/document/1014775753/1-1-IMO-Adopted-Traffic-Separation-Schemes-on-the-ADMIRALTY-Chart-Series</t>
        </is>
      </c>
      <c r="M108" s="66" t="inlineStr">
        <is>
          <t>Notice 17; scheme label: In the Approaches to Ras Tanura and Ju'aymah</t>
        </is>
      </c>
      <c r="N108" s="66" t="inlineStr">
        <is>
          <t>UKHO-labelled document on third-party host; edition and currency unverified.</t>
        </is>
      </c>
      <c r="O108" s="66" t="inlineStr">
        <is>
          <t>SRC-086; SRC-087; SRC-091</t>
        </is>
      </c>
      <c r="P108" s="67" t="inlineStr">
        <is>
          <t>https://wwwcdn.imo.org/localresources/en/KnowledgeCentre/IndexofIMOResolutions/AssemblyDocuments/A.284(8).pdf
https://wwwcdn.imo.org/localresources/en/KnowledgeCentre/IndexofIMOResolutions/AssemblyDocuments/A.338%289%29.pdf
https://www.liscr.com/marketing/liscr/media/liscr/online%20library/maritime/msb-14_2026.pdf</t>
        </is>
      </c>
      <c r="Q108" s="66" t="inlineStr">
        <is>
          <t>B21</t>
        </is>
      </c>
      <c r="R108" s="66" t="inlineStr">
        <is>
          <t>Association proposed</t>
        </is>
      </c>
      <c r="S108" s="66" t="inlineStr">
        <is>
          <t>2026-09-29</t>
        </is>
      </c>
    </row>
    <row r="109" ht="60" customHeight="1" s="63">
      <c r="A109" s="66" t="inlineStr">
        <is>
          <t>TSS-0103</t>
        </is>
      </c>
      <c r="B109" s="66" t="inlineStr">
        <is>
          <t>Red Sea and Arabian region</t>
        </is>
      </c>
      <c r="C109" s="66" t="inlineStr">
        <is>
          <t>Marjan/Zuluf</t>
        </is>
      </c>
      <c r="D109" s="66" t="inlineStr">
        <is>
          <t>Source entry; single scheme on first-pass evidence</t>
        </is>
      </c>
      <c r="E109" s="66" t="inlineStr">
        <is>
          <t>TSS identity confirmed (first pass); operational status: In force. Official baseline reconciliation pending.</t>
        </is>
      </c>
      <c r="F109" s="66" t="inlineStr">
        <is>
          <t>Unresolved</t>
        </is>
      </c>
      <c r="G109" s="66" t="inlineStr">
        <is>
          <t>Unresolved</t>
        </is>
      </c>
      <c r="H109" s="66" t="n"/>
      <c r="I109" s="66" t="n"/>
      <c r="J109" s="66" t="inlineStr">
        <is>
          <t>Official name found: Marjan/Zuluf (originally 'Between the Zuluf and Marjan oil fields'). New scheme adopted by MSC 59; COLREG.2/Circ.37 (19 June 1991), implemented 16 Nov 1991. Amended by MSC 70; COLREG.2/Circ.45 (8 Jan 1999), implemented 1 July 1999, superseding COLREG.2/Circ.43 (10 Feb 1997). Renamed 'Marjan/Zuluf (amended scheme)'.</t>
        </is>
      </c>
      <c r="K109" s="66" t="inlineStr">
        <is>
          <t>SRC-001</t>
        </is>
      </c>
      <c r="L109" s="67" t="inlineStr">
        <is>
          <t>https://www.scribd.com/document/1014775753/1-1-IMO-Adopted-Traffic-Separation-Schemes-on-the-ADMIRALTY-Chart-Series</t>
        </is>
      </c>
      <c r="M109" s="66" t="inlineStr">
        <is>
          <t>Notice 17; scheme label: Marjan/Zuluf</t>
        </is>
      </c>
      <c r="N109" s="66" t="inlineStr">
        <is>
          <t>UKHO-labelled document on third-party host; edition and currency unverified.</t>
        </is>
      </c>
      <c r="O109" s="66" t="inlineStr">
        <is>
          <t>SRC-054; SRC-091</t>
        </is>
      </c>
      <c r="P109" s="67" t="inlineStr">
        <is>
          <t>https://www.transportstyrelsen.se/globalassets/global/sjofart/dokument/sjotrafik_dok/imo_colreg.2_cirkular.pdf?id=58526
https://www.liscr.com/marketing/liscr/media/liscr/online%20library/maritime/msb-14_2026.pdf</t>
        </is>
      </c>
      <c r="Q109" s="66" t="inlineStr">
        <is>
          <t>B21</t>
        </is>
      </c>
      <c r="R109" s="66" t="inlineStr">
        <is>
          <t>Researched; unresolved</t>
        </is>
      </c>
      <c r="S109" s="66" t="inlineStr">
        <is>
          <t>2026-09-29</t>
        </is>
      </c>
    </row>
    <row r="110" ht="60" customHeight="1" s="63">
      <c r="A110" s="66" t="inlineStr">
        <is>
          <t>TSS-0104</t>
        </is>
      </c>
      <c r="B110" s="66" t="inlineStr">
        <is>
          <t>Red Sea and Arabian region</t>
        </is>
      </c>
      <c r="C110" s="66" t="inlineStr">
        <is>
          <t>Approaches to the Port of Ra's al Khafji</t>
        </is>
      </c>
      <c r="D110" s="66" t="inlineStr">
        <is>
          <t>Source entry; single scheme on first-pass evidence</t>
        </is>
      </c>
      <c r="E110" s="66" t="inlineStr">
        <is>
          <t>TSS identity confirmed (first pass); operational status: In force. Official baseline reconciliation pending.</t>
        </is>
      </c>
      <c r="F110" s="66" t="inlineStr">
        <is>
          <t>Unresolved</t>
        </is>
      </c>
      <c r="G110" s="66" t="inlineStr">
        <is>
          <t>Unresolved</t>
        </is>
      </c>
      <c r="H110" s="66" t="n"/>
      <c r="I110" s="66" t="n"/>
      <c r="J110" s="66" t="inlineStr">
        <is>
          <t>New scheme adopted by MSC 78; COLREG.2/Circ.54 (28 May 2004), planned 1 Dec 2004; implementation postponed to 1 June 2005 by COLREG.2/Circ.54/Add.1 (13 Sep 2004, note by Saudi Arabia).</t>
        </is>
      </c>
      <c r="K110" s="66" t="inlineStr">
        <is>
          <t>SRC-001</t>
        </is>
      </c>
      <c r="L110" s="67" t="inlineStr">
        <is>
          <t>https://www.scribd.com/document/1014775753/1-1-IMO-Adopted-Traffic-Separation-Schemes-on-the-ADMIRALTY-Chart-Series</t>
        </is>
      </c>
      <c r="M110" s="66" t="inlineStr">
        <is>
          <t>Notice 17; scheme label: Approaches to the Port of Ra's al Khafji</t>
        </is>
      </c>
      <c r="N110" s="66" t="inlineStr">
        <is>
          <t>UKHO-labelled document on third-party host; edition and currency unverified.</t>
        </is>
      </c>
      <c r="O110" s="66" t="inlineStr">
        <is>
          <t>SRC-054; SRC-085; SRC-091</t>
        </is>
      </c>
      <c r="P110" s="67" t="inlineStr">
        <is>
          <t>https://www.transportstyrelsen.se/globalassets/global/sjofart/dokument/sjotrafik_dok/imo_colreg.2_cirkular.pdf?id=58526
https://cimrc.shmtu.edu.cn/_upload/article/files/63/dc/35c66be74d12873254dc88a2ef00/aa83707e-76b8-4c8b-b69d-ff9f9a86bd6c.pdf
https://www.liscr.com/marketing/liscr/media/liscr/online%20library/maritime/msb-14_2026.pdf</t>
        </is>
      </c>
      <c r="Q110" s="66" t="inlineStr">
        <is>
          <t>B21</t>
        </is>
      </c>
      <c r="R110" s="66" t="inlineStr">
        <is>
          <t>Researched; unresolved</t>
        </is>
      </c>
      <c r="S110" s="66" t="inlineStr">
        <is>
          <t>2026-09-29</t>
        </is>
      </c>
    </row>
    <row r="111" ht="60" customHeight="1" s="63">
      <c r="A111" s="66" t="inlineStr">
        <is>
          <t>TSS-0105</t>
        </is>
      </c>
      <c r="B111" s="66" t="inlineStr">
        <is>
          <t>Red Sea and Arabian region</t>
        </is>
      </c>
      <c r="C111" s="66" t="inlineStr">
        <is>
          <t>Off Mina'Al Ahmadi</t>
        </is>
      </c>
      <c r="D111" s="66" t="inlineStr">
        <is>
          <t>Source entry; 3 parts recorded (structure only, not a scheme count)</t>
        </is>
      </c>
      <c r="E111" s="66" t="inlineStr">
        <is>
          <t>TSS identity confirmed (first pass); operational status: In force. Official baseline reconciliation pending.</t>
        </is>
      </c>
      <c r="F111" s="66" t="inlineStr">
        <is>
          <t>Unresolved</t>
        </is>
      </c>
      <c r="G111" s="66" t="inlineStr">
        <is>
          <t>Unresolved</t>
        </is>
      </c>
      <c r="H111" s="66" t="n"/>
      <c r="I111" s="66" t="n"/>
      <c r="J111" s="66" t="inlineStr">
        <is>
          <t>Official name found: Off Mina Al-Ahmadi. New scheme adopted by MSC 79; COLREG.2/Circ.55 (15 Dec 2004), implemented 0000 UTC 1 July 2005. The adopted measure comprises three schemes (North Scheme I, North Scheme II, The South Scheme); annex notes the Mina Al-Ahmadi deep departure channel remains in use.</t>
        </is>
      </c>
      <c r="K111" s="66" t="inlineStr">
        <is>
          <t>SRC-001</t>
        </is>
      </c>
      <c r="L111" s="67" t="inlineStr">
        <is>
          <t>https://www.scribd.com/document/1014775753/1-1-IMO-Adopted-Traffic-Separation-Schemes-on-the-ADMIRALTY-Chart-Series</t>
        </is>
      </c>
      <c r="M111" s="66" t="inlineStr">
        <is>
          <t>Notice 17; scheme label: Off Mina'Al Ahmadi</t>
        </is>
      </c>
      <c r="N111" s="66" t="inlineStr">
        <is>
          <t>UKHO-labelled document on third-party host; edition and currency unverified.</t>
        </is>
      </c>
      <c r="O111" s="66" t="inlineStr">
        <is>
          <t>SRC-054; SRC-091</t>
        </is>
      </c>
      <c r="P111" s="67" t="inlineStr">
        <is>
          <t>https://www.transportstyrelsen.se/globalassets/global/sjofart/dokument/sjotrafik_dok/imo_colreg.2_cirkular.pdf?id=58526
https://www.liscr.com/marketing/liscr/media/liscr/online%20library/maritime/msb-14_2026.pdf</t>
        </is>
      </c>
      <c r="Q111" s="66" t="inlineStr">
        <is>
          <t>B21</t>
        </is>
      </c>
      <c r="R111" s="66" t="inlineStr">
        <is>
          <t>Researched; unresolved</t>
        </is>
      </c>
      <c r="S111" s="66" t="inlineStr">
        <is>
          <t>2026-09-29</t>
        </is>
      </c>
    </row>
    <row r="112" ht="60" customHeight="1" s="63">
      <c r="A112" s="66" t="inlineStr">
        <is>
          <t>TSS-0106</t>
        </is>
      </c>
      <c r="B112" s="66" t="inlineStr">
        <is>
          <t>Indian Ocean and South Asia</t>
        </is>
      </c>
      <c r="C112" s="66" t="inlineStr">
        <is>
          <t>Off Dondra Head</t>
        </is>
      </c>
      <c r="D112" s="66" t="inlineStr">
        <is>
          <t>Source entry; single scheme on first-pass evidence</t>
        </is>
      </c>
      <c r="E112" s="66" t="inlineStr">
        <is>
          <t>TSS identity provisional (first pass); operational status: In force. Official baseline reconciliation pending.</t>
        </is>
      </c>
      <c r="F112" s="66" t="inlineStr">
        <is>
          <t>Unresolved</t>
        </is>
      </c>
      <c r="G112" s="66" t="inlineStr">
        <is>
          <t>Unresolved</t>
        </is>
      </c>
      <c r="H112" s="66" t="n"/>
      <c r="I112" s="66" t="n"/>
      <c r="J112" s="66" t="inlineStr">
        <is>
          <t>Official name found: Off Dondra Head (TSS south of Dondra Head). MEPC 80/16/3 (28 Apr 2023) states the existing TSS south of Dondra Head is in Ships' Routeing Section IV and was established in 1980; adoption instrument (IMO circular/resolution) not retrieved. 2023 industry/IWC proposal to move the TSS about 15 nm south was opposed by Sri Lanka (press leads); no change evidenced.</t>
        </is>
      </c>
      <c r="K112" s="66" t="inlineStr">
        <is>
          <t>SRC-001</t>
        </is>
      </c>
      <c r="L112" s="67" t="inlineStr">
        <is>
          <t>https://www.scribd.com/document/1014775753/1-1-IMO-Adopted-Traffic-Separation-Schemes-on-the-ADMIRALTY-Chart-Series</t>
        </is>
      </c>
      <c r="M112" s="66" t="inlineStr">
        <is>
          <t>Notice 17; scheme label: Off Dondra Head</t>
        </is>
      </c>
      <c r="N112" s="66" t="inlineStr">
        <is>
          <t>UKHO-labelled document on third-party host; edition and currency unverified.</t>
        </is>
      </c>
      <c r="O112" s="66" t="inlineStr">
        <is>
          <t>SRC-090</t>
        </is>
      </c>
      <c r="P112" s="67" t="inlineStr">
        <is>
          <t>https://www.worldshipping.org/s/MEPC-80-16-3-Call-for-establishment-of-a-new-traffic-separation-scheme-south-of-Sri-Lanka-IWC-ICS-BI.pdf</t>
        </is>
      </c>
      <c r="Q112" s="66" t="inlineStr">
        <is>
          <t>B22</t>
        </is>
      </c>
      <c r="R112" s="66" t="inlineStr">
        <is>
          <t>Researched; unresolved</t>
        </is>
      </c>
      <c r="S112" s="66" t="inlineStr">
        <is>
          <t>2026-09-29</t>
        </is>
      </c>
    </row>
    <row r="113" ht="79.5" customHeight="1" s="63">
      <c r="A113" s="66" t="inlineStr">
        <is>
          <t>TSS-0107</t>
        </is>
      </c>
      <c r="B113" s="66" t="inlineStr">
        <is>
          <t>Malacca, Singapore and Indonesia</t>
        </is>
      </c>
      <c r="C113" s="66" t="inlineStr">
        <is>
          <t>At One Fathom Bank</t>
        </is>
      </c>
      <c r="D113" s="66" t="inlineStr">
        <is>
          <t>Source entry; single scheme on first-pass evidence</t>
        </is>
      </c>
      <c r="E113" s="66" t="inlineStr">
        <is>
          <t>TSS identity confirmed (first pass); operational status: In force. Official baseline reconciliation pending.</t>
        </is>
      </c>
      <c r="F113" s="66" t="inlineStr">
        <is>
          <t>Confirmed present: VTS-004</t>
        </is>
      </c>
      <c r="G113" s="66" t="inlineStr">
        <is>
          <t>Confirmed present: SRS-004</t>
        </is>
      </c>
      <c r="H113" s="66" t="inlineStr">
        <is>
          <t>VTS-004</t>
        </is>
      </c>
      <c r="I113" s="66" t="inlineStr">
        <is>
          <t>SRS-004</t>
        </is>
      </c>
      <c r="J113" s="66" t="inlineStr">
        <is>
          <t>Source segment within the Malacca–Singapore routeing system. Do not equate segments with VTS areas. Official name found: At One Fathom Bank (with precautionary area 'Off Port Klang'). Amended scheme adopted by MSC 69 (May 1998); COLREG.2/Circ.44 annex 1, implemented 0000 UTC 1 Dec 1998, with precautionary area 'Off Port Klang'. Segment of the Malacca-Singapore routeing system.</t>
        </is>
      </c>
      <c r="K113" s="66" t="inlineStr">
        <is>
          <t>SRC-001</t>
        </is>
      </c>
      <c r="L113" s="67" t="inlineStr">
        <is>
          <t>https://www.scribd.com/document/1014775753/1-1-IMO-Adopted-Traffic-Separation-Schemes-on-the-ADMIRALTY-Chart-Series</t>
        </is>
      </c>
      <c r="M113" s="66" t="inlineStr">
        <is>
          <t>Notice 17; scheme label: At One Fathom Bank</t>
        </is>
      </c>
      <c r="N113" s="66" t="inlineStr">
        <is>
          <t>UKHO-labelled document on third-party host; edition and currency unverified.</t>
        </is>
      </c>
      <c r="O113" s="66" t="inlineStr">
        <is>
          <t>SRC-054; SRC-083; SRC-007; SRC-084</t>
        </is>
      </c>
      <c r="P113" s="67"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Q113" s="66" t="inlineStr">
        <is>
          <t>B22</t>
        </is>
      </c>
      <c r="R113" s="66" t="inlineStr">
        <is>
          <t>Initial association evidenced</t>
        </is>
      </c>
      <c r="S113" s="66" t="inlineStr">
        <is>
          <t>2026-09-29</t>
        </is>
      </c>
    </row>
    <row r="114" ht="79.5" customHeight="1" s="63">
      <c r="A114" s="66" t="inlineStr">
        <is>
          <t>TSS-0108</t>
        </is>
      </c>
      <c r="B114" s="66" t="inlineStr">
        <is>
          <t>Malacca, Singapore and Indonesia</t>
        </is>
      </c>
      <c r="C114" s="66" t="inlineStr">
        <is>
          <t>Port Klang to Port Dickson</t>
        </is>
      </c>
      <c r="D114" s="66" t="inlineStr">
        <is>
          <t>Source entry; single scheme on first-pass evidence</t>
        </is>
      </c>
      <c r="E114" s="66" t="inlineStr">
        <is>
          <t>TSS identity confirmed (first pass); operational status: In force. Official baseline reconciliation pending.</t>
        </is>
      </c>
      <c r="F114" s="66" t="inlineStr">
        <is>
          <t>Confirmed present: VTS-004</t>
        </is>
      </c>
      <c r="G114" s="66" t="inlineStr">
        <is>
          <t>Confirmed present: SRS-004</t>
        </is>
      </c>
      <c r="H114" s="66" t="inlineStr">
        <is>
          <t>VTS-004</t>
        </is>
      </c>
      <c r="I114" s="66" t="inlineStr">
        <is>
          <t>SRS-004</t>
        </is>
      </c>
      <c r="J114" s="66" t="inlineStr">
        <is>
          <t>Source segment within the Malacca–Singapore routeing system. Do not equate segments with VTS areas. Official name found: Port Klang to Port Dickson (with precautionary area 'Off Port Dickson'). New scheme adopted by MSC 69; COLREG.2/Circ.44 annex 2, implemented 1 Dec 1998, with inshore traffic zone and precautionary area 'Off Port Dickson'.</t>
        </is>
      </c>
      <c r="K114" s="66" t="inlineStr">
        <is>
          <t>SRC-001</t>
        </is>
      </c>
      <c r="L114" s="67" t="inlineStr">
        <is>
          <t>https://www.scribd.com/document/1014775753/1-1-IMO-Adopted-Traffic-Separation-Schemes-on-the-ADMIRALTY-Chart-Series</t>
        </is>
      </c>
      <c r="M114" s="66" t="inlineStr">
        <is>
          <t>Notice 17; scheme label: Port Klang to Port Dickson</t>
        </is>
      </c>
      <c r="N114" s="66" t="inlineStr">
        <is>
          <t>UKHO-labelled document on third-party host; edition and currency unverified.</t>
        </is>
      </c>
      <c r="O114" s="66" t="inlineStr">
        <is>
          <t>SRC-054; SRC-083; SRC-007; SRC-084</t>
        </is>
      </c>
      <c r="P114" s="67"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Q114" s="66" t="inlineStr">
        <is>
          <t>B22</t>
        </is>
      </c>
      <c r="R114" s="66" t="inlineStr">
        <is>
          <t>Initial association evidenced</t>
        </is>
      </c>
      <c r="S114" s="66" t="inlineStr">
        <is>
          <t>2026-09-29</t>
        </is>
      </c>
    </row>
    <row r="115" ht="79.5" customHeight="1" s="63">
      <c r="A115" s="66" t="inlineStr">
        <is>
          <t>TSS-0109</t>
        </is>
      </c>
      <c r="B115" s="66" t="inlineStr">
        <is>
          <t>Malacca, Singapore and Indonesia</t>
        </is>
      </c>
      <c r="C115" s="66" t="inlineStr">
        <is>
          <t>Port Dickson to Tanjung Keling</t>
        </is>
      </c>
      <c r="D115" s="66" t="inlineStr">
        <is>
          <t>Source entry; single scheme on first-pass evidence</t>
        </is>
      </c>
      <c r="E115" s="66" t="inlineStr">
        <is>
          <t>TSS identity confirmed (first pass); operational status: In force. Official baseline reconciliation pending.</t>
        </is>
      </c>
      <c r="F115" s="66" t="inlineStr">
        <is>
          <t>Confirmed present: VTS-004</t>
        </is>
      </c>
      <c r="G115" s="66" t="inlineStr">
        <is>
          <t>Confirmed present: SRS-004</t>
        </is>
      </c>
      <c r="H115" s="66" t="inlineStr">
        <is>
          <t>VTS-004</t>
        </is>
      </c>
      <c r="I115" s="66" t="inlineStr">
        <is>
          <t>SRS-004</t>
        </is>
      </c>
      <c r="J115" s="66" t="inlineStr">
        <is>
          <t>Source segment within the Malacca–Singapore routeing system. Do not equate segments with VTS areas. Official name found: Port Dickson to Tanjung Keling (with precautionary area 'Off Malacca/Dumai'). New scheme adopted by MSC 69; COLREG.2/Circ.44 annex 3, implemented 1 Dec 1998, with inshore traffic zone and precautionary area 'Off Malacca/Dumai'.</t>
        </is>
      </c>
      <c r="K115" s="66" t="inlineStr">
        <is>
          <t>SRC-001</t>
        </is>
      </c>
      <c r="L115" s="67" t="inlineStr">
        <is>
          <t>https://www.scribd.com/document/1014775753/1-1-IMO-Adopted-Traffic-Separation-Schemes-on-the-ADMIRALTY-Chart-Series</t>
        </is>
      </c>
      <c r="M115" s="66" t="inlineStr">
        <is>
          <t>Notice 17; scheme label: Port Dickson to Tanjung Keling</t>
        </is>
      </c>
      <c r="N115" s="66" t="inlineStr">
        <is>
          <t>UKHO-labelled document on third-party host; edition and currency unverified.</t>
        </is>
      </c>
      <c r="O115" s="66" t="inlineStr">
        <is>
          <t>SRC-054; SRC-083; SRC-007; SRC-084</t>
        </is>
      </c>
      <c r="P115" s="67"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Q115" s="66" t="inlineStr">
        <is>
          <t>B22</t>
        </is>
      </c>
      <c r="R115" s="66" t="inlineStr">
        <is>
          <t>Initial association evidenced</t>
        </is>
      </c>
      <c r="S115" s="66" t="inlineStr">
        <is>
          <t>2026-09-29</t>
        </is>
      </c>
    </row>
    <row r="116" ht="79.5" customHeight="1" s="63">
      <c r="A116" s="66" t="inlineStr">
        <is>
          <t>TSS-0110</t>
        </is>
      </c>
      <c r="B116" s="66" t="inlineStr">
        <is>
          <t>Malacca, Singapore and Indonesia</t>
        </is>
      </c>
      <c r="C116" s="66" t="inlineStr">
        <is>
          <t>Malacca to Iyu Kecil</t>
        </is>
      </c>
      <c r="D116" s="66" t="inlineStr">
        <is>
          <t>Source entry; single scheme on first-pass evidence</t>
        </is>
      </c>
      <c r="E116" s="66" t="inlineStr">
        <is>
          <t>TSS identity confirmed (first pass); operational status: In force. Official baseline reconciliation pending.</t>
        </is>
      </c>
      <c r="F116" s="66" t="inlineStr">
        <is>
          <t>Confirmed present: VTS-004, VTS-005, VTS-006</t>
        </is>
      </c>
      <c r="G116" s="66" t="inlineStr">
        <is>
          <t>Confirmed present: SRS-004</t>
        </is>
      </c>
      <c r="H116" s="66" t="inlineStr">
        <is>
          <t>VTS-004; VTS-005; VTS-006</t>
        </is>
      </c>
      <c r="I116" s="66" t="inlineStr">
        <is>
          <t>SRS-004</t>
        </is>
      </c>
      <c r="J116" s="66" t="inlineStr">
        <is>
          <t>Source segment within the Malacca–Singapore routeing system. Do not equate segments with VTS areas. Official name found: Malacca to Iyu Kecil (with precautionary area 'Off Sultan Shoal Lighthouse'). New scheme adopted by MSC 69; COLREG.2/Circ.44 annex 4, implemented 1 Dec 1998, with precautionary area 'Off Sultan Shoal Lighthouse'. Continues eastward into 'In the Singapore Strait' (amended 2004, COLREG.2/Circ.54 annex 5, implemented 1 Jan 2005).</t>
        </is>
      </c>
      <c r="K116" s="66" t="inlineStr">
        <is>
          <t>SRC-001</t>
        </is>
      </c>
      <c r="L116" s="67" t="inlineStr">
        <is>
          <t>https://www.scribd.com/document/1014775753/1-1-IMO-Adopted-Traffic-Separation-Schemes-on-the-ADMIRALTY-Chart-Series</t>
        </is>
      </c>
      <c r="M116" s="66" t="inlineStr">
        <is>
          <t>Notice 17; scheme label: Malacca to Iyu Kecil</t>
        </is>
      </c>
      <c r="N116" s="66" t="inlineStr">
        <is>
          <t>UKHO-labelled document on third-party host; edition and currency unverified.</t>
        </is>
      </c>
      <c r="O116" s="66" t="inlineStr">
        <is>
          <t>SRC-054; SRC-083; SRC-007; SRC-084</t>
        </is>
      </c>
      <c r="P116" s="67"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Q116" s="66" t="inlineStr">
        <is>
          <t>B22</t>
        </is>
      </c>
      <c r="R116" s="66" t="inlineStr">
        <is>
          <t>Initial association evidenced</t>
        </is>
      </c>
      <c r="S116" s="66" t="inlineStr">
        <is>
          <t>2026-09-29</t>
        </is>
      </c>
    </row>
    <row r="117" ht="79.5" customHeight="1" s="63">
      <c r="A117" s="66" t="inlineStr">
        <is>
          <t>TSS-0111</t>
        </is>
      </c>
      <c r="B117" s="66" t="inlineStr">
        <is>
          <t>Malacca, Singapore and Indonesia</t>
        </is>
      </c>
      <c r="C117" s="66" t="inlineStr">
        <is>
          <t>In the Singapore Strait (Main Strait)</t>
        </is>
      </c>
      <c r="D117" s="66" t="inlineStr">
        <is>
          <t>Source entry; single scheme on first-pass evidence</t>
        </is>
      </c>
      <c r="E117" s="66" t="inlineStr">
        <is>
          <t>TSS identity confirmed (first pass); operational status: In force. Official baseline reconciliation pending.</t>
        </is>
      </c>
      <c r="F117" s="66" t="inlineStr">
        <is>
          <t>Confirmed present: VTS-006</t>
        </is>
      </c>
      <c r="G117" s="66" t="inlineStr">
        <is>
          <t>Confirmed present: SRS-004</t>
        </is>
      </c>
      <c r="H117" s="66" t="inlineStr">
        <is>
          <t>VTS-006</t>
        </is>
      </c>
      <c r="I117" s="66" t="inlineStr">
        <is>
          <t>SRS-004</t>
        </is>
      </c>
      <c r="J117" s="66" t="inlineStr">
        <is>
          <t>Source segment within the Malacca–Singapore routeing system. Do not equate segments with VTS areas. Amended scheme adopted MSC 69 (May 1998), implemented 0000 UTC 1 December 1998 (COLREG.2/Circ.44, amended by COLREG.2/Circ.54 of 28 May 2004), with precautionary area 'Off Pulau Sebarok/Pulau Belakang Padang'. Scheme coordinates run from about 103°32.96'E to about 103°50'E (S4, Annex 5).</t>
        </is>
      </c>
      <c r="K117" s="66" t="inlineStr">
        <is>
          <t>SRC-001</t>
        </is>
      </c>
      <c r="L117" s="67" t="inlineStr">
        <is>
          <t>https://www.scribd.com/document/1014775753/1-1-IMO-Adopted-Traffic-Separation-Schemes-on-the-ADMIRALTY-Chart-Series</t>
        </is>
      </c>
      <c r="M117" s="66" t="inlineStr">
        <is>
          <t>Notice 17; scheme label: In the Singapore Strait (Main Strait)</t>
        </is>
      </c>
      <c r="N117" s="66" t="inlineStr">
        <is>
          <t>UKHO-labelled document on third-party host; edition and currency unverified.</t>
        </is>
      </c>
      <c r="O117" s="66" t="inlineStr">
        <is>
          <t>SRC-007; SRC-006; SRC-092; SRC-093; SRC-094</t>
        </is>
      </c>
      <c r="P117" s="67"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Q117" s="66" t="inlineStr">
        <is>
          <t>B23</t>
        </is>
      </c>
      <c r="R117" s="66" t="inlineStr">
        <is>
          <t>Initial association evidenced</t>
        </is>
      </c>
      <c r="S117" s="66" t="inlineStr">
        <is>
          <t>2026-09-29</t>
        </is>
      </c>
    </row>
    <row r="118" ht="79.5" customHeight="1" s="63">
      <c r="A118" s="66" t="inlineStr">
        <is>
          <t>TSS-0112</t>
        </is>
      </c>
      <c r="B118" s="66" t="inlineStr">
        <is>
          <t>Malacca, Singapore and Indonesia</t>
        </is>
      </c>
      <c r="C118" s="66" t="inlineStr">
        <is>
          <t>Singapore Strait (Off St. John's Island)</t>
        </is>
      </c>
      <c r="D118" s="66" t="inlineStr">
        <is>
          <t>Source entry; single scheme on first-pass evidence</t>
        </is>
      </c>
      <c r="E118" s="66" t="inlineStr">
        <is>
          <t>TSS identity confirmed (first pass); operational status: In force. Official baseline reconciliation pending.</t>
        </is>
      </c>
      <c r="F118" s="66" t="inlineStr">
        <is>
          <t>Confirmed present: VTS-006</t>
        </is>
      </c>
      <c r="G118" s="66" t="inlineStr">
        <is>
          <t>Confirmed present: SRS-004</t>
        </is>
      </c>
      <c r="H118" s="66" t="inlineStr">
        <is>
          <t>VTS-006</t>
        </is>
      </c>
      <c r="I118" s="66" t="inlineStr">
        <is>
          <t>SRS-004</t>
        </is>
      </c>
      <c r="J118" s="66" t="inlineStr">
        <is>
          <t>Source segment within the Malacca–Singapore routeing system. Do not equate segments with VTS areas. New scheme adopted MSC 69 (1998), implemented 1 December 1998, with precautionary area 'Off St. John's Island/Pulau Sambu'; coordinates about 103°50.2'E to 103°52.7'E, deep-water route within eastbound lane (S4, Annex 6).</t>
        </is>
      </c>
      <c r="K118" s="66" t="inlineStr">
        <is>
          <t>SRC-001</t>
        </is>
      </c>
      <c r="L118" s="67" t="inlineStr">
        <is>
          <t>https://www.scribd.com/document/1014775753/1-1-IMO-Adopted-Traffic-Separation-Schemes-on-the-ADMIRALTY-Chart-Series</t>
        </is>
      </c>
      <c r="M118" s="66" t="inlineStr">
        <is>
          <t>Notice 17; scheme label: Singapore Strait (Off St. John's Island)</t>
        </is>
      </c>
      <c r="N118" s="66" t="inlineStr">
        <is>
          <t>UKHO-labelled document on third-party host; edition and currency unverified.</t>
        </is>
      </c>
      <c r="O118" s="66" t="inlineStr">
        <is>
          <t>SRC-007; SRC-006; SRC-092; SRC-093; SRC-094</t>
        </is>
      </c>
      <c r="P118" s="67"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Q118" s="66" t="inlineStr">
        <is>
          <t>B23</t>
        </is>
      </c>
      <c r="R118" s="66" t="inlineStr">
        <is>
          <t>Initial association evidenced</t>
        </is>
      </c>
      <c r="S118" s="66" t="inlineStr">
        <is>
          <t>2026-09-29</t>
        </is>
      </c>
    </row>
    <row r="119" ht="79.5" customHeight="1" s="63">
      <c r="A119" s="66" t="inlineStr">
        <is>
          <t>TSS-0113</t>
        </is>
      </c>
      <c r="B119" s="66" t="inlineStr">
        <is>
          <t>Malacca, Singapore and Indonesia</t>
        </is>
      </c>
      <c r="C119" s="66" t="inlineStr">
        <is>
          <t>Singapore Strait (Off Changi/Pulau Batam)</t>
        </is>
      </c>
      <c r="D119" s="66" t="inlineStr">
        <is>
          <t>Source entry; single scheme on first-pass evidence</t>
        </is>
      </c>
      <c r="E119" s="66" t="inlineStr">
        <is>
          <t>TSS identity confirmed (first pass); operational status: In force. Official baseline reconciliation pending.</t>
        </is>
      </c>
      <c r="F119" s="66" t="inlineStr">
        <is>
          <t>Confirmed present: VTS-006</t>
        </is>
      </c>
      <c r="G119" s="66" t="inlineStr">
        <is>
          <t>Confirmed present: SRS-004</t>
        </is>
      </c>
      <c r="H119" s="66" t="inlineStr">
        <is>
          <t>VTS-006</t>
        </is>
      </c>
      <c r="I119" s="66" t="inlineStr">
        <is>
          <t>SRS-004</t>
        </is>
      </c>
      <c r="J119" s="66" t="inlineStr">
        <is>
          <t>Source segment within the Malacca–Singapore routeing system. Do not equate segments with VTS areas. New scheme adopted MSC 69 (1998), implemented 1 December 1998, with precautionary area 'Off Tanjung Setapa/Pulau Bintan'; coordinates about 103°53.75'E to 104°03.35'E (S4, Annex 7).</t>
        </is>
      </c>
      <c r="K119" s="66" t="inlineStr">
        <is>
          <t>SRC-001</t>
        </is>
      </c>
      <c r="L119" s="67" t="inlineStr">
        <is>
          <t>https://www.scribd.com/document/1014775753/1-1-IMO-Adopted-Traffic-Separation-Schemes-on-the-ADMIRALTY-Chart-Series</t>
        </is>
      </c>
      <c r="M119" s="66" t="inlineStr">
        <is>
          <t>Notice 17; scheme label: Singapore Strait (Off Changi/Pulau Batam)</t>
        </is>
      </c>
      <c r="N119" s="66" t="inlineStr">
        <is>
          <t>UKHO-labelled document on third-party host; edition and currency unverified.</t>
        </is>
      </c>
      <c r="O119" s="66" t="inlineStr">
        <is>
          <t>SRC-007; SRC-006; SRC-092; SRC-093; SRC-094</t>
        </is>
      </c>
      <c r="P119" s="67"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Q119" s="66" t="inlineStr">
        <is>
          <t>B23</t>
        </is>
      </c>
      <c r="R119" s="66" t="inlineStr">
        <is>
          <t>Initial association evidenced</t>
        </is>
      </c>
      <c r="S119" s="66" t="inlineStr">
        <is>
          <t>2026-09-29</t>
        </is>
      </c>
    </row>
    <row r="120" ht="79.5" customHeight="1" s="63">
      <c r="A120" s="66" t="inlineStr">
        <is>
          <t>TSS-0114</t>
        </is>
      </c>
      <c r="B120" s="66" t="inlineStr">
        <is>
          <t>Malacca, Singapore and Indonesia</t>
        </is>
      </c>
      <c r="C120" s="66" t="inlineStr">
        <is>
          <t>At Horsburgh Lighthouse Area</t>
        </is>
      </c>
      <c r="D120" s="66" t="inlineStr">
        <is>
          <t>Source entry; single scheme on first-pass evidence</t>
        </is>
      </c>
      <c r="E120" s="66" t="inlineStr">
        <is>
          <t>TSS identity confirmed (first pass); operational status: In force. Official baseline reconciliation pending.</t>
        </is>
      </c>
      <c r="F120" s="66" t="inlineStr">
        <is>
          <t>Confirmed present: VTS-006</t>
        </is>
      </c>
      <c r="G120" s="66" t="inlineStr">
        <is>
          <t>Confirmed present: SRS-004</t>
        </is>
      </c>
      <c r="H120" s="66" t="inlineStr">
        <is>
          <t>VTS-006</t>
        </is>
      </c>
      <c r="I120" s="66" t="inlineStr">
        <is>
          <t>SRS-004</t>
        </is>
      </c>
      <c r="J120" s="66" t="inlineStr">
        <is>
          <t>Source segment within the Malacca–Singapore routeing system. Do not equate segments with VTS areas. Amended scheme adopted MSC 69 (1998), implemented 1 December 1998; coordinates 104°14.89'E to about 104°27.84'E (S4, Annex 8).</t>
        </is>
      </c>
      <c r="K120" s="66" t="inlineStr">
        <is>
          <t>SRC-001</t>
        </is>
      </c>
      <c r="L120" s="67" t="inlineStr">
        <is>
          <t>https://www.scribd.com/document/1014775753/1-1-IMO-Adopted-Traffic-Separation-Schemes-on-the-ADMIRALTY-Chart-Series</t>
        </is>
      </c>
      <c r="M120" s="66" t="inlineStr">
        <is>
          <t>Notice 17; scheme label: At Horsburgh Lighthouse Area</t>
        </is>
      </c>
      <c r="N120" s="66" t="inlineStr">
        <is>
          <t>UKHO-labelled document on third-party host; edition and currency unverified.</t>
        </is>
      </c>
      <c r="O120" s="66" t="inlineStr">
        <is>
          <t>SRC-007; SRC-006; SRC-092; SRC-093; SRC-094</t>
        </is>
      </c>
      <c r="P120" s="67"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Q120" s="66" t="inlineStr">
        <is>
          <t>B23</t>
        </is>
      </c>
      <c r="R120" s="66" t="inlineStr">
        <is>
          <t>Initial association evidenced</t>
        </is>
      </c>
      <c r="S120" s="66" t="inlineStr">
        <is>
          <t>2026-09-29</t>
        </is>
      </c>
    </row>
    <row r="121" ht="60" customHeight="1" s="63">
      <c r="A121" s="66" t="inlineStr">
        <is>
          <t>TSS-0115</t>
        </is>
      </c>
      <c r="B121" s="66" t="inlineStr">
        <is>
          <t>Malacca, Singapore and Indonesia</t>
        </is>
      </c>
      <c r="C121" s="66" t="inlineStr">
        <is>
          <t>In the Sunda Strait</t>
        </is>
      </c>
      <c r="D121" s="66" t="inlineStr">
        <is>
          <t>Source entry; single scheme on first-pass evidence</t>
        </is>
      </c>
      <c r="E121" s="66" t="inlineStr">
        <is>
          <t>TSS identity confirmed (first pass); operational status: In force. Official baseline reconciliation pending.</t>
        </is>
      </c>
      <c r="F121" s="66" t="inlineStr">
        <is>
          <t>Confirmed present: VTS-041</t>
        </is>
      </c>
      <c r="G121" s="66" t="inlineStr">
        <is>
          <t>Confirmed present: SRS-020</t>
        </is>
      </c>
      <c r="H121" s="66" t="inlineStr">
        <is>
          <t>VTS-041</t>
        </is>
      </c>
      <c r="I121" s="66" t="inlineStr">
        <is>
          <t>SRS-020</t>
        </is>
      </c>
      <c r="J121" s="66" t="inlineStr">
        <is>
          <t>Adopted MSC 101 (June 2019), COLREG.2/Circ.74 of 14 June 2019, implemented 1 July 2020 (S6); includes inshore traffic zone; national instrument KM 130 Tahun 2020 cited by DGST (S7). Indonesia's first TSS in an archipelagic sea lane (ALKI I).</t>
        </is>
      </c>
      <c r="K121" s="66" t="inlineStr">
        <is>
          <t>SRC-001</t>
        </is>
      </c>
      <c r="L121" s="67" t="inlineStr">
        <is>
          <t>https://www.scribd.com/document/1014775753/1-1-IMO-Adopted-Traffic-Separation-Schemes-on-the-ADMIRALTY-Chart-Series</t>
        </is>
      </c>
      <c r="M121" s="66" t="inlineStr">
        <is>
          <t>Notice 17; scheme label: In the Sunda Strait</t>
        </is>
      </c>
      <c r="N121" s="66" t="inlineStr">
        <is>
          <t>UKHO-labelled document on third-party host; edition and currency unverified.</t>
        </is>
      </c>
      <c r="O121" s="66" t="inlineStr">
        <is>
          <t>SRC-095; SRC-096; SRC-097</t>
        </is>
      </c>
      <c r="P121" s="67" t="inlineStr">
        <is>
          <t>https://bimco.org/media/gusfhkrc/colreg2circ74-new-traffic-separation-schemes-secretariat.pdf
https://hubla.dephub.go.id/home/post/read/7657/berlaku-1-juli-2020-kemenhub-jelaskan-sistem-pelaporan-kapal-di-tss-selat-sunda-dan-selat-lombok
https://hubla.dephub.go.id/home/post/read/5132/pentingnya-bagan-pemisahan-alur-laut-di-selat-sunda-dan-selat-lombok-bagi-indonesia</t>
        </is>
      </c>
      <c r="Q121" s="66" t="inlineStr">
        <is>
          <t>B23</t>
        </is>
      </c>
      <c r="R121" s="66" t="inlineStr">
        <is>
          <t>Initial association evidenced</t>
        </is>
      </c>
      <c r="S121" s="66" t="inlineStr">
        <is>
          <t>2026-09-29</t>
        </is>
      </c>
    </row>
    <row r="122" ht="60" customHeight="1" s="63">
      <c r="A122" s="66" t="inlineStr">
        <is>
          <t>TSS-0116</t>
        </is>
      </c>
      <c r="B122" s="66" t="inlineStr">
        <is>
          <t>Malacca, Singapore and Indonesia</t>
        </is>
      </c>
      <c r="C122" s="66" t="inlineStr">
        <is>
          <t>In the Lombok Strait</t>
        </is>
      </c>
      <c r="D122" s="66" t="inlineStr">
        <is>
          <t>Source entry; single scheme on first-pass evidence</t>
        </is>
      </c>
      <c r="E122" s="66" t="inlineStr">
        <is>
          <t>TSS identity confirmed (first pass); operational status: In force. Official baseline reconciliation pending.</t>
        </is>
      </c>
      <c r="F122" s="66" t="inlineStr">
        <is>
          <t>Confirmed present: VTS-042</t>
        </is>
      </c>
      <c r="G122" s="66" t="inlineStr">
        <is>
          <t>Confirmed present: SRS-021</t>
        </is>
      </c>
      <c r="H122" s="66" t="inlineStr">
        <is>
          <t>VTS-042</t>
        </is>
      </c>
      <c r="I122" s="66" t="inlineStr">
        <is>
          <t>SRS-021</t>
        </is>
      </c>
      <c r="J122" s="66" t="inlineStr">
        <is>
          <t>Adopted MSC 101 (June 2019), COLREG.2/Circ.74 of 14 June 2019, implemented 1 July 2020 (S6); national instrument KM 129 Tahun 2020 (S7). ALKI II.</t>
        </is>
      </c>
      <c r="K122" s="66" t="inlineStr">
        <is>
          <t>SRC-001</t>
        </is>
      </c>
      <c r="L122" s="67" t="inlineStr">
        <is>
          <t>https://www.scribd.com/document/1014775753/1-1-IMO-Adopted-Traffic-Separation-Schemes-on-the-ADMIRALTY-Chart-Series</t>
        </is>
      </c>
      <c r="M122" s="66" t="inlineStr">
        <is>
          <t>Notice 17; scheme label: In the Lombok Strait</t>
        </is>
      </c>
      <c r="N122" s="66" t="inlineStr">
        <is>
          <t>UKHO-labelled document on third-party host; edition and currency unverified.</t>
        </is>
      </c>
      <c r="O122" s="66" t="inlineStr">
        <is>
          <t>SRC-095; SRC-096; SRC-097</t>
        </is>
      </c>
      <c r="P122" s="67" t="inlineStr">
        <is>
          <t>https://bimco.org/media/gusfhkrc/colreg2circ74-new-traffic-separation-schemes-secretariat.pdf
https://hubla.dephub.go.id/home/post/read/7657/berlaku-1-juli-2020-kemenhub-jelaskan-sistem-pelaporan-kapal-di-tss-selat-sunda-dan-selat-lombok
https://hubla.dephub.go.id/home/post/read/5132/pentingnya-bagan-pemisahan-alur-laut-di-selat-sunda-dan-selat-lombok-bagi-indonesia</t>
        </is>
      </c>
      <c r="Q122" s="66" t="inlineStr">
        <is>
          <t>B24</t>
        </is>
      </c>
      <c r="R122" s="66" t="inlineStr">
        <is>
          <t>Initial association evidenced</t>
        </is>
      </c>
      <c r="S122" s="66" t="inlineStr">
        <is>
          <t>2026-09-29</t>
        </is>
      </c>
    </row>
    <row r="123" ht="60" customHeight="1" s="63">
      <c r="A123" s="66" t="inlineStr">
        <is>
          <t>TSS-0117</t>
        </is>
      </c>
      <c r="B123" s="66" t="inlineStr">
        <is>
          <t>China Sea and China</t>
        </is>
      </c>
      <c r="C123" s="66" t="inlineStr">
        <is>
          <t>In the East Lamma Channel</t>
        </is>
      </c>
      <c r="D123" s="66" t="inlineStr">
        <is>
          <t>Source entry; single scheme on first-pass evidence</t>
        </is>
      </c>
      <c r="E123" s="66" t="inlineStr">
        <is>
          <t>TSS identity confirmed (first pass); operational status: In force. Official baseline reconciliation pending.</t>
        </is>
      </c>
      <c r="F123" s="66" t="inlineStr">
        <is>
          <t>Confirmed present: VTS-043</t>
        </is>
      </c>
      <c r="G123" s="66" t="inlineStr">
        <is>
          <t>Unresolved</t>
        </is>
      </c>
      <c r="H123" s="66" t="inlineStr">
        <is>
          <t>VTS-043</t>
        </is>
      </c>
      <c r="I123" s="66" t="n"/>
      <c r="J123" s="66" t="inlineStr">
        <is>
          <t>Official name found: East Lamma Channel Traffic Separation Scheme. Marine Department states it is one of two TSS in Hong Kong waters adopted by IMO (S11); adoption circular and date not retrieved.</t>
        </is>
      </c>
      <c r="K123" s="66" t="inlineStr">
        <is>
          <t>SRC-001</t>
        </is>
      </c>
      <c r="L123" s="67" t="inlineStr">
        <is>
          <t>https://www.scribd.com/document/1014775753/1-1-IMO-Adopted-Traffic-Separation-Schemes-on-the-ADMIRALTY-Chart-Series</t>
        </is>
      </c>
      <c r="M123" s="66" t="inlineStr">
        <is>
          <t>Notice 17; scheme label: In the East Lamma Channel</t>
        </is>
      </c>
      <c r="N123" s="66" t="inlineStr">
        <is>
          <t>UKHO-labelled document on third-party host; edition and currency unverified.</t>
        </is>
      </c>
      <c r="O123" s="66" t="inlineStr">
        <is>
          <t>SRC-098; SRC-099; SRC-100; SRC-101</t>
        </is>
      </c>
      <c r="P123" s="67" t="inlineStr">
        <is>
          <t>https://www.mardep.gov.hk/en/materials-and-publications/publications/hk-fact-sheet/index.html
https://www.mardep.gov.hk/filemanager/en/share/publications/pdf/materials/vtc_pamphlet.pdf
https://www.mardep.gov.hk/filemanager/en/share/pub-services/pdf/hkwaterlk_guide.pdf
https://www.mardep.gov.hk/filemanager/en/share/pub-services/pdf/vts_vscp.pdf</t>
        </is>
      </c>
      <c r="Q123" s="66" t="inlineStr">
        <is>
          <t>B24</t>
        </is>
      </c>
      <c r="R123" s="66" t="inlineStr">
        <is>
          <t>Initial association evidenced</t>
        </is>
      </c>
      <c r="S123" s="66" t="inlineStr">
        <is>
          <t>2026-09-29</t>
        </is>
      </c>
    </row>
    <row r="124" ht="60" customHeight="1" s="63">
      <c r="A124" s="66" t="inlineStr">
        <is>
          <t>TSS-0118</t>
        </is>
      </c>
      <c r="B124" s="66" t="inlineStr">
        <is>
          <t>China Sea and China</t>
        </is>
      </c>
      <c r="C124" s="66" t="inlineStr">
        <is>
          <t>In the Tathong Channel</t>
        </is>
      </c>
      <c r="D124" s="66" t="inlineStr">
        <is>
          <t>Source entry; single scheme on first-pass evidence</t>
        </is>
      </c>
      <c r="E124" s="66" t="inlineStr">
        <is>
          <t>TSS identity confirmed (first pass); operational status: In force. Official baseline reconciliation pending.</t>
        </is>
      </c>
      <c r="F124" s="66" t="inlineStr">
        <is>
          <t>Confirmed present: VTS-043</t>
        </is>
      </c>
      <c r="G124" s="66" t="inlineStr">
        <is>
          <t>Unresolved</t>
        </is>
      </c>
      <c r="H124" s="66" t="inlineStr">
        <is>
          <t>VTS-043</t>
        </is>
      </c>
      <c r="I124" s="66" t="n"/>
      <c r="J124" s="66" t="inlineStr">
        <is>
          <t>Official name found: Tathong Channel Traffic Separation Scheme. IMO-adopted per Marine Department (S11); adoption circular not retrieved.</t>
        </is>
      </c>
      <c r="K124" s="66" t="inlineStr">
        <is>
          <t>SRC-001</t>
        </is>
      </c>
      <c r="L124" s="67" t="inlineStr">
        <is>
          <t>https://www.scribd.com/document/1014775753/1-1-IMO-Adopted-Traffic-Separation-Schemes-on-the-ADMIRALTY-Chart-Series</t>
        </is>
      </c>
      <c r="M124" s="66" t="inlineStr">
        <is>
          <t>Notice 17; scheme label: In the Tathong Channel</t>
        </is>
      </c>
      <c r="N124" s="66" t="inlineStr">
        <is>
          <t>UKHO-labelled document on third-party host; edition and currency unverified.</t>
        </is>
      </c>
      <c r="O124" s="66" t="inlineStr">
        <is>
          <t>SRC-098; SRC-099; SRC-100; SRC-101</t>
        </is>
      </c>
      <c r="P124" s="67" t="inlineStr">
        <is>
          <t>https://www.mardep.gov.hk/en/materials-and-publications/publications/hk-fact-sheet/index.html
https://www.mardep.gov.hk/filemanager/en/share/publications/pdf/materials/vtc_pamphlet.pdf
https://www.mardep.gov.hk/filemanager/en/share/pub-services/pdf/hkwaterlk_guide.pdf
https://www.mardep.gov.hk/filemanager/en/share/pub-services/pdf/vts_vscp.pdf</t>
        </is>
      </c>
      <c r="Q124" s="66" t="inlineStr">
        <is>
          <t>B24</t>
        </is>
      </c>
      <c r="R124" s="66" t="inlineStr">
        <is>
          <t>Initial association evidenced</t>
        </is>
      </c>
      <c r="S124" s="66" t="inlineStr">
        <is>
          <t>2026-09-29</t>
        </is>
      </c>
    </row>
    <row r="125" ht="60" customHeight="1" s="63">
      <c r="A125" s="66" t="inlineStr">
        <is>
          <t>TSS-0119</t>
        </is>
      </c>
      <c r="B125" s="66" t="inlineStr">
        <is>
          <t>China Sea and China</t>
        </is>
      </c>
      <c r="C125" s="66" t="inlineStr">
        <is>
          <t>In the Dangan Channel</t>
        </is>
      </c>
      <c r="D125" s="66" t="inlineStr">
        <is>
          <t>Source entry; single scheme on first-pass evidence</t>
        </is>
      </c>
      <c r="E125" s="66" t="inlineStr">
        <is>
          <t>TSS identity confirmed (first pass); operational status: In force. Official baseline reconciliation pending.</t>
        </is>
      </c>
      <c r="F125" s="66" t="inlineStr">
        <is>
          <t>Confirmed present: VTS-044</t>
        </is>
      </c>
      <c r="G125" s="66" t="inlineStr">
        <is>
          <t>Unresolved</t>
        </is>
      </c>
      <c r="H125" s="66" t="inlineStr">
        <is>
          <t>VTS-044</t>
        </is>
      </c>
      <c r="I125" s="66" t="n"/>
      <c r="J125" s="66" t="inlineStr">
        <is>
          <t>Official name found: In Dangan Channel (担杆水道分道通航制). Existence and current use confirmed by Guangzhou MSA (S13) as part of the Pearl River Estuary routeing system (珠江口水域船舶定线制), comprising two traffic lanes, two separation zones, an inshore traffic zone and two precautionary areas. IMO adoption (COLREG.2/Circ.71, 25 May 2018, implemented 1 December 2018) is lead only: circular would not load.</t>
        </is>
      </c>
      <c r="K125" s="66" t="inlineStr">
        <is>
          <t>SRC-001</t>
        </is>
      </c>
      <c r="L125" s="67" t="inlineStr">
        <is>
          <t>https://www.scribd.com/document/1014775753/1-1-IMO-Adopted-Traffic-Separation-Schemes-on-the-ADMIRALTY-Chart-Series</t>
        </is>
      </c>
      <c r="M125" s="66" t="inlineStr">
        <is>
          <t>Notice 17; scheme label: In the Dangan Channel</t>
        </is>
      </c>
      <c r="N125" s="66" t="inlineStr">
        <is>
          <t>UKHO-labelled document on third-party host; edition and currency unverified.</t>
        </is>
      </c>
      <c r="O125" s="66" t="inlineStr">
        <is>
          <t>SRC-102; SRC-103; SRC-104</t>
        </is>
      </c>
      <c r="P125" s="67" t="inlineStr">
        <is>
          <t>https://m.thepaper.cn/newsDetail_forward_30326627
https://www.chinanews.com.cn/dwq/2026/04-08/10600653.shtml
https://www.gd.msa.gov.cn/288d370277a13952929caab591b72d65/784a5ef27d1d402db548f019c88978b6.jhtml</t>
        </is>
      </c>
      <c r="Q125" s="66" t="inlineStr">
        <is>
          <t>B24</t>
        </is>
      </c>
      <c r="R125" s="66" t="inlineStr">
        <is>
          <t>Initial association evidenced</t>
        </is>
      </c>
      <c r="S125" s="66" t="inlineStr">
        <is>
          <t>2026-09-29</t>
        </is>
      </c>
    </row>
    <row r="126" ht="60" customHeight="1" s="63">
      <c r="A126" s="66" t="inlineStr">
        <is>
          <t>TSS-0120</t>
        </is>
      </c>
      <c r="B126" s="66" t="inlineStr">
        <is>
          <t>China Sea and China</t>
        </is>
      </c>
      <c r="C126" s="66" t="inlineStr">
        <is>
          <t>In the waters off the Chengshan Jiao Promontory</t>
        </is>
      </c>
      <c r="D126" s="66" t="inlineStr">
        <is>
          <t>Source entry; single scheme on first-pass evidence</t>
        </is>
      </c>
      <c r="E126" s="66" t="inlineStr">
        <is>
          <t>TSS identity confirmed (first pass); operational status: In force. Official baseline reconciliation pending.</t>
        </is>
      </c>
      <c r="F126" s="66" t="inlineStr">
        <is>
          <t>Confirmed present: VTS-045</t>
        </is>
      </c>
      <c r="G126" s="66" t="inlineStr">
        <is>
          <t>Confirmed present: SRS-022</t>
        </is>
      </c>
      <c r="H126" s="66" t="inlineStr">
        <is>
          <t>VTS-045</t>
        </is>
      </c>
      <c r="I126" s="66" t="inlineStr">
        <is>
          <t>SRS-022</t>
        </is>
      </c>
      <c r="J126" s="66" t="inlineStr">
        <is>
          <t>Official name found: Off Chengshan Jiao Promontory. IMO resolution MSC.389(94) refers to ships 'at anchor in the TSSs' within the Chengshan Jiao SRS area, confirming the schemes (S16). TSS adoption instrument and dates not retrieved.</t>
        </is>
      </c>
      <c r="K126" s="66" t="inlineStr">
        <is>
          <t>SRC-001</t>
        </is>
      </c>
      <c r="L126" s="67" t="inlineStr">
        <is>
          <t>https://www.scribd.com/document/1014775753/1-1-IMO-Adopted-Traffic-Separation-Schemes-on-the-ADMIRALTY-Chart-Series</t>
        </is>
      </c>
      <c r="M126" s="66" t="inlineStr">
        <is>
          <t>Notice 17; scheme label: In the waters off the Chengshan Jiao Promontory</t>
        </is>
      </c>
      <c r="N126" s="66" t="inlineStr">
        <is>
          <t>UKHO-labelled document on third-party host; edition and currency unverified.</t>
        </is>
      </c>
      <c r="O126" s="66" t="inlineStr">
        <is>
          <t>SRC-105</t>
        </is>
      </c>
      <c r="P126" s="67" t="inlineStr">
        <is>
          <t>https://wwwcdn.imo.org/localresources/en/KnowledgeCentre/IndexofIMOResolutions/MSCResolutions/MSC%20389%2094.pdf</t>
        </is>
      </c>
      <c r="Q126" s="66" t="inlineStr">
        <is>
          <t>B24</t>
        </is>
      </c>
      <c r="R126" s="66" t="inlineStr">
        <is>
          <t>Initial association evidenced</t>
        </is>
      </c>
      <c r="S126" s="66" t="inlineStr">
        <is>
          <t>2026-09-29</t>
        </is>
      </c>
    </row>
    <row r="127" ht="60" customHeight="1" s="63">
      <c r="A127" s="66" t="inlineStr">
        <is>
          <t>TSS-0121</t>
        </is>
      </c>
      <c r="B127" s="66" t="inlineStr">
        <is>
          <t>North-west Pacific</t>
        </is>
      </c>
      <c r="C127" s="66" t="inlineStr">
        <is>
          <t>In the Approaches to the Gulf of Nakhodka</t>
        </is>
      </c>
      <c r="D127" s="66" t="inlineStr">
        <is>
          <t>Source entry; single scheme on first-pass evidence</t>
        </is>
      </c>
      <c r="E127" s="66" t="inlineStr">
        <is>
          <t>TSS identity provisional (first pass); operational status: Not established. Official baseline reconciliation pending.</t>
        </is>
      </c>
      <c r="F127" s="66" t="inlineStr">
        <is>
          <t>Unresolved (lead: VTS-046)</t>
        </is>
      </c>
      <c r="G127" s="66" t="inlineStr">
        <is>
          <t>Unresolved</t>
        </is>
      </c>
      <c r="H127" s="66" t="n"/>
      <c r="I127" s="66" t="n"/>
      <c r="J127" s="66" t="inlineStr">
        <is>
          <t>Not among the schemes in Government Directive 1226-r of 2006 as originally published (S17); a search snippet (Wikipedia, not fetched) describes an IMO scheme in the approaches to Zaliv Nakhodka (to Kozmino). May have been added by a later amendment of 1226-r (redaction of 15.07.2022 exists) or relate to scheme No. 3.</t>
        </is>
      </c>
      <c r="K127" s="66" t="inlineStr">
        <is>
          <t>SRC-001</t>
        </is>
      </c>
      <c r="L127" s="67" t="inlineStr">
        <is>
          <t>https://www.scribd.com/document/1014775753/1-1-IMO-Adopted-Traffic-Separation-Schemes-on-the-ADMIRALTY-Chart-Series</t>
        </is>
      </c>
      <c r="M127" s="66" t="inlineStr">
        <is>
          <t>Notice 17; scheme label: In the Approaches to the Gulf of Nakhodka</t>
        </is>
      </c>
      <c r="N127" s="66" t="inlineStr">
        <is>
          <t>UKHO-labelled document on third-party host; edition and currency unverified.</t>
        </is>
      </c>
      <c r="O127" s="66" t="inlineStr">
        <is>
          <t>SRC-106; SRC-107; SRC-108</t>
        </is>
      </c>
      <c r="P127" s="67" t="inlineStr">
        <is>
          <t>https://meganorm.ru/Data2/1/4293849/4293849842.htm
https://rg.ru/documents/2011/07/05/naxodka-site-dok.html
https://www.consultant.ru/document/cons_doc_LAW_116506/dfe493850a134ba391cd60a9ae6bf84ebb6f7aa9/</t>
        </is>
      </c>
      <c r="Q127" s="66" t="inlineStr">
        <is>
          <t>B25</t>
        </is>
      </c>
      <c r="R127" s="66" t="inlineStr">
        <is>
          <t>Association proposed</t>
        </is>
      </c>
      <c r="S127" s="66" t="inlineStr">
        <is>
          <t>2026-09-29</t>
        </is>
      </c>
    </row>
    <row r="128" ht="60" customHeight="1" s="63">
      <c r="A128" s="66" t="inlineStr">
        <is>
          <t>TSS-0122</t>
        </is>
      </c>
      <c r="B128" s="66" t="inlineStr">
        <is>
          <t>North-west Pacific</t>
        </is>
      </c>
      <c r="C128" s="66" t="inlineStr">
        <is>
          <t>Off the Ostrovnoi Point</t>
        </is>
      </c>
      <c r="D128" s="66" t="inlineStr">
        <is>
          <t>Source entry; single scheme on first-pass evidence</t>
        </is>
      </c>
      <c r="E128" s="66" t="inlineStr">
        <is>
          <t>TSS identity confirmed (first pass); operational status: In force. Official baseline reconciliation pending.</t>
        </is>
      </c>
      <c r="F128" s="66" t="inlineStr">
        <is>
          <t>Confirmed present: VTS-046</t>
        </is>
      </c>
      <c r="G128" s="66" t="inlineStr">
        <is>
          <t>Unresolved</t>
        </is>
      </c>
      <c r="H128" s="66" t="inlineStr">
        <is>
          <t>VTS-046</t>
        </is>
      </c>
      <c r="I128" s="66" t="n"/>
      <c r="J128" s="66" t="inlineStr">
        <is>
          <t>Official name found: Схема разделения движения № 3: Между мысами Поворотный и Островной (from Peter the Great Gulf to Cape Belkina). Established by Russian Government Directive 1226-r of 2 September 2006 as scheme No. 3 (three parts, about 133°17.5'E to 133°46.8'E); foreign ships prohibited in the lane north-west of part II separation zone (S17). IMO adoption not verified.</t>
        </is>
      </c>
      <c r="K128" s="66" t="inlineStr">
        <is>
          <t>SRC-001</t>
        </is>
      </c>
      <c r="L128" s="67" t="inlineStr">
        <is>
          <t>https://www.scribd.com/document/1014775753/1-1-IMO-Adopted-Traffic-Separation-Schemes-on-the-ADMIRALTY-Chart-Series</t>
        </is>
      </c>
      <c r="M128" s="66" t="inlineStr">
        <is>
          <t>Notice 17; scheme label: Off the Ostrovnoi Point</t>
        </is>
      </c>
      <c r="N128" s="66" t="inlineStr">
        <is>
          <t>UKHO-labelled document on third-party host; edition and currency unverified.</t>
        </is>
      </c>
      <c r="O128" s="66" t="inlineStr">
        <is>
          <t>SRC-106; SRC-107; SRC-108</t>
        </is>
      </c>
      <c r="P128" s="67" t="inlineStr">
        <is>
          <t>https://meganorm.ru/Data2/1/4293849/4293849842.htm
https://rg.ru/documents/2011/07/05/naxodka-site-dok.html
https://www.consultant.ru/document/cons_doc_LAW_116506/dfe493850a134ba391cd60a9ae6bf84ebb6f7aa9/</t>
        </is>
      </c>
      <c r="Q128" s="66" t="inlineStr">
        <is>
          <t>B25</t>
        </is>
      </c>
      <c r="R128" s="66" t="inlineStr">
        <is>
          <t>Initial association evidenced</t>
        </is>
      </c>
      <c r="S128" s="66" t="inlineStr">
        <is>
          <t>2026-09-29</t>
        </is>
      </c>
    </row>
    <row r="129" ht="60" customHeight="1" s="63">
      <c r="A129" s="66" t="inlineStr">
        <is>
          <t>TSS-0123</t>
        </is>
      </c>
      <c r="B129" s="66" t="inlineStr">
        <is>
          <t>North-west Pacific</t>
        </is>
      </c>
      <c r="C129" s="66" t="inlineStr">
        <is>
          <t>Off Mys Aniva (Off the Aniwa Cape)</t>
        </is>
      </c>
      <c r="D129" s="66" t="inlineStr">
        <is>
          <t>Source entry; single scheme on first-pass evidence</t>
        </is>
      </c>
      <c r="E129" s="66" t="inlineStr">
        <is>
          <t>TSS identity confirmed (first pass); operational status: In force. Official baseline reconciliation pending.</t>
        </is>
      </c>
      <c r="F129" s="66" t="inlineStr">
        <is>
          <t>Unresolved (lead: VTS-047)</t>
        </is>
      </c>
      <c r="G129" s="66" t="inlineStr">
        <is>
          <t>Unresolved</t>
        </is>
      </c>
      <c r="H129" s="66" t="n"/>
      <c r="I129" s="66" t="n"/>
      <c r="J129" s="66" t="inlineStr">
        <is>
          <t>Official name found: Схема разделения движения № 6: Район мыса Анива (пролив Лаперуза). Scheme No. 6 in Government Directive 1226-r (2006): separation zone 4 miles wide, axis about 45°54'N 143°20'E to 45°58.8'N 143°40'E, plus inshore traffic zone (S17). IMO adoption not verified.</t>
        </is>
      </c>
      <c r="K129" s="66" t="inlineStr">
        <is>
          <t>SRC-001</t>
        </is>
      </c>
      <c r="L129" s="67" t="inlineStr">
        <is>
          <t>https://www.scribd.com/document/1014775753/1-1-IMO-Adopted-Traffic-Separation-Schemes-on-the-ADMIRALTY-Chart-Series</t>
        </is>
      </c>
      <c r="M129" s="66" t="inlineStr">
        <is>
          <t>Notice 17; scheme label: Off Mys Aniva (Off the Aniwa Cape)</t>
        </is>
      </c>
      <c r="N129" s="66" t="inlineStr">
        <is>
          <t>UKHO-labelled document on third-party host; edition and currency unverified.</t>
        </is>
      </c>
      <c r="O129" s="66" t="inlineStr">
        <is>
          <t>SRC-106</t>
        </is>
      </c>
      <c r="P129" s="67" t="inlineStr">
        <is>
          <t>https://meganorm.ru/Data2/1/4293849/4293849842.htm</t>
        </is>
      </c>
      <c r="Q129" s="66" t="inlineStr">
        <is>
          <t>B25</t>
        </is>
      </c>
      <c r="R129" s="66" t="inlineStr">
        <is>
          <t>Association proposed</t>
        </is>
      </c>
      <c r="S129" s="66" t="inlineStr">
        <is>
          <t>2026-09-29</t>
        </is>
      </c>
    </row>
    <row r="130" ht="60" customHeight="1" s="63">
      <c r="A130" s="66" t="inlineStr">
        <is>
          <t>TSS-0124</t>
        </is>
      </c>
      <c r="B130" s="66" t="inlineStr">
        <is>
          <t>North-west Pacific</t>
        </is>
      </c>
      <c r="C130" s="66" t="inlineStr">
        <is>
          <t>In the Proliv Bussol'</t>
        </is>
      </c>
      <c r="D130" s="66" t="inlineStr">
        <is>
          <t>Source entry; single scheme on first-pass evidence</t>
        </is>
      </c>
      <c r="E130" s="66" t="inlineStr">
        <is>
          <t>TSS identity confirmed (first pass); operational status: In force. Official baseline reconciliation pending.</t>
        </is>
      </c>
      <c r="F130" s="66" t="inlineStr">
        <is>
          <t>Unresolved</t>
        </is>
      </c>
      <c r="G130" s="66" t="inlineStr">
        <is>
          <t>Unresolved</t>
        </is>
      </c>
      <c r="H130" s="66" t="n"/>
      <c r="I130" s="66" t="n"/>
      <c r="J130" s="66" t="inlineStr">
        <is>
          <t>Official name found: Схема разделения движения № 12: Пролив Буссоль (Курильские острова). Scheme No. 12 in Government Directive 1226-r (2006), lanes 4 miles either side, directions 150°-330° (S17). IMO adoption not verified.</t>
        </is>
      </c>
      <c r="K130" s="66" t="inlineStr">
        <is>
          <t>SRC-001</t>
        </is>
      </c>
      <c r="L130" s="67" t="inlineStr">
        <is>
          <t>https://www.scribd.com/document/1014775753/1-1-IMO-Adopted-Traffic-Separation-Schemes-on-the-ADMIRALTY-Chart-Series</t>
        </is>
      </c>
      <c r="M130" s="66" t="inlineStr">
        <is>
          <t>Notice 17; scheme label: In the Proliv Bussol'</t>
        </is>
      </c>
      <c r="N130" s="66" t="inlineStr">
        <is>
          <t>UKHO-labelled document on third-party host; edition and currency unverified.</t>
        </is>
      </c>
      <c r="O130" s="66" t="inlineStr">
        <is>
          <t>SRC-106</t>
        </is>
      </c>
      <c r="P130" s="67" t="inlineStr">
        <is>
          <t>https://meganorm.ru/Data2/1/4293849/4293849842.htm</t>
        </is>
      </c>
      <c r="Q130" s="66" t="inlineStr">
        <is>
          <t>B25</t>
        </is>
      </c>
      <c r="R130" s="66" t="inlineStr">
        <is>
          <t>Researched; unresolved</t>
        </is>
      </c>
      <c r="S130" s="66" t="inlineStr">
        <is>
          <t>2026-09-29</t>
        </is>
      </c>
    </row>
    <row r="131" ht="60" customHeight="1" s="63">
      <c r="A131" s="66" t="inlineStr">
        <is>
          <t>TSS-0125</t>
        </is>
      </c>
      <c r="B131" s="66" t="inlineStr">
        <is>
          <t>North-west Pacific</t>
        </is>
      </c>
      <c r="C131" s="66" t="inlineStr">
        <is>
          <t>Chetvertyy Kuril'skiy Proliv (In the Fourth Kuril Strait)</t>
        </is>
      </c>
      <c r="D131" s="66" t="inlineStr">
        <is>
          <t>Source entry; single scheme on first-pass evidence</t>
        </is>
      </c>
      <c r="E131" s="66" t="inlineStr">
        <is>
          <t>TSS identity confirmed (first pass); operational status: In force. Official baseline reconciliation pending.</t>
        </is>
      </c>
      <c r="F131" s="66" t="inlineStr">
        <is>
          <t>Unresolved</t>
        </is>
      </c>
      <c r="G131" s="66" t="inlineStr">
        <is>
          <t>Unresolved</t>
        </is>
      </c>
      <c r="H131" s="66" t="n"/>
      <c r="I131" s="66" t="n"/>
      <c r="J131" s="66" t="inlineStr">
        <is>
          <t>Official name found: Схема разделения движения № 13: Четвертый Курильский пролив. Scheme No. 13 in Government Directive 1226-r (2006), lanes 2 miles either side, directions 126°-306° (S17). IMO adoption not verified.</t>
        </is>
      </c>
      <c r="K131" s="66" t="inlineStr">
        <is>
          <t>SRC-001</t>
        </is>
      </c>
      <c r="L131" s="67" t="inlineStr">
        <is>
          <t>https://www.scribd.com/document/1014775753/1-1-IMO-Adopted-Traffic-Separation-Schemes-on-the-ADMIRALTY-Chart-Series</t>
        </is>
      </c>
      <c r="M131" s="66" t="inlineStr">
        <is>
          <t>Notice 17; scheme label: Chetvertyy Kuril'skiy Proliv (In the Fourth Kuril Strait)</t>
        </is>
      </c>
      <c r="N131" s="66" t="inlineStr">
        <is>
          <t>UKHO-labelled document on third-party host; edition and currency unverified.</t>
        </is>
      </c>
      <c r="O131" s="66" t="inlineStr">
        <is>
          <t>SRC-106</t>
        </is>
      </c>
      <c r="P131" s="67" t="inlineStr">
        <is>
          <t>https://meganorm.ru/Data2/1/4293849/4293849842.htm</t>
        </is>
      </c>
      <c r="Q131" s="66" t="inlineStr">
        <is>
          <t>B25</t>
        </is>
      </c>
      <c r="R131" s="66" t="inlineStr">
        <is>
          <t>Researched; unresolved</t>
        </is>
      </c>
      <c r="S131" s="66" t="inlineStr">
        <is>
          <t>2026-09-29</t>
        </is>
      </c>
    </row>
    <row r="132" ht="60" customHeight="1" s="63">
      <c r="A132" s="66" t="inlineStr">
        <is>
          <t>TSS-0126</t>
        </is>
      </c>
      <c r="B132" s="66" t="inlineStr">
        <is>
          <t>Australia</t>
        </is>
      </c>
      <c r="C132" s="66" t="inlineStr">
        <is>
          <t>Off Southwest Australia</t>
        </is>
      </c>
      <c r="D132" s="66" t="inlineStr">
        <is>
          <t>Source entry; 2 parts recorded (structure only, not a scheme count)</t>
        </is>
      </c>
      <c r="E132" s="66" t="inlineStr">
        <is>
          <t>TSS identity confirmed (first pass); operational status: In force. Official baseline reconciliation pending.</t>
        </is>
      </c>
      <c r="F132" s="66" t="inlineStr">
        <is>
          <t>Unresolved</t>
        </is>
      </c>
      <c r="G132" s="66" t="inlineStr">
        <is>
          <t>Confirmed present: SRS-023</t>
        </is>
      </c>
      <c r="H132" s="66" t="n"/>
      <c r="I132" s="66" t="inlineStr">
        <is>
          <t>SRS-023</t>
        </is>
      </c>
      <c r="J132" s="66" t="inlineStr">
        <is>
          <t>Official name found: Off the south-west coast of Australia (Cape Leeuwin TSS and Chatham Island TSS). AMSA lists the 'Cape Leeuwin Traffic Separation Scheme' among IMO-adopted TSS (S20). Grouped label: news/secondary leads say two schemes (off Cape Leeuwin and off Chatham Island) adopted MSC May 2016, effective 1 December 2016, use recommended; not confirmed from a primary source fetched.</t>
        </is>
      </c>
      <c r="K132" s="66" t="inlineStr">
        <is>
          <t>SRC-001</t>
        </is>
      </c>
      <c r="L132" s="67" t="inlineStr">
        <is>
          <t>https://www.scribd.com/document/1014775753/1-1-IMO-Adopted-Traffic-Separation-Schemes-on-the-ADMIRALTY-Chart-Series</t>
        </is>
      </c>
      <c r="M132" s="66" t="inlineStr">
        <is>
          <t>Notice 17; scheme label: Off Southwest Australia</t>
        </is>
      </c>
      <c r="N132" s="66" t="inlineStr">
        <is>
          <t>UKHO-labelled document on third-party host; edition and currency unverified.</t>
        </is>
      </c>
      <c r="O132" s="66" t="inlineStr">
        <is>
          <t>SRC-109; SRC-110</t>
        </is>
      </c>
      <c r="P132" s="67" t="inlineStr">
        <is>
          <t>https://www.amsa.gov.au/safety-navigation/navigating-coastal-waters/offshore-oil-and-gas-exploration
https://www.amsa.gov.au/safety-navigation/navigation-systems/modernised-australian-ship-tracking-and-reporting-system</t>
        </is>
      </c>
      <c r="Q132" s="66" t="inlineStr">
        <is>
          <t>B26</t>
        </is>
      </c>
      <c r="R132" s="66" t="inlineStr">
        <is>
          <t>Initial association evidenced</t>
        </is>
      </c>
      <c r="S132" s="66" t="inlineStr">
        <is>
          <t>2026-09-29</t>
        </is>
      </c>
    </row>
    <row r="133" ht="60" customHeight="1" s="63">
      <c r="A133" s="66" t="inlineStr">
        <is>
          <t>TSS-0127</t>
        </is>
      </c>
      <c r="B133" s="66" t="inlineStr">
        <is>
          <t>Australia</t>
        </is>
      </c>
      <c r="C133" s="66" t="inlineStr">
        <is>
          <t>South of Wilsons Promontory in the Bass Strait</t>
        </is>
      </c>
      <c r="D133" s="66" t="inlineStr">
        <is>
          <t>Source entry; single scheme on first-pass evidence</t>
        </is>
      </c>
      <c r="E133" s="66" t="inlineStr">
        <is>
          <t>TSS identity confirmed (first pass); operational status: In force. Official baseline reconciliation pending.</t>
        </is>
      </c>
      <c r="F133" s="66" t="inlineStr">
        <is>
          <t>Unresolved</t>
        </is>
      </c>
      <c r="G133" s="66" t="inlineStr">
        <is>
          <t>Confirmed present: SRS-023</t>
        </is>
      </c>
      <c r="H133" s="66" t="n"/>
      <c r="I133" s="66" t="inlineStr">
        <is>
          <t>SRS-023</t>
        </is>
      </c>
      <c r="J133" s="66" t="inlineStr">
        <is>
          <t>Official name found: South of Wilsons Promontory. AMSA lists 'Gippsland and Wilsons Promontory TSS' among IMO-adopted TSS (S20); adoption date not retrieved.</t>
        </is>
      </c>
      <c r="K133" s="66" t="inlineStr">
        <is>
          <t>SRC-001</t>
        </is>
      </c>
      <c r="L133" s="67" t="inlineStr">
        <is>
          <t>https://www.scribd.com/document/1014775753/1-1-IMO-Adopted-Traffic-Separation-Schemes-on-the-ADMIRALTY-Chart-Series</t>
        </is>
      </c>
      <c r="M133" s="66" t="inlineStr">
        <is>
          <t>Notice 17; scheme label: South of Wilsons Promontory in the Bass Strait</t>
        </is>
      </c>
      <c r="N133" s="66" t="inlineStr">
        <is>
          <t>UKHO-labelled document on third-party host; edition and currency unverified.</t>
        </is>
      </c>
      <c r="O133" s="66" t="inlineStr">
        <is>
          <t>SRC-109; SRC-110</t>
        </is>
      </c>
      <c r="P133" s="67" t="inlineStr">
        <is>
          <t>https://www.amsa.gov.au/safety-navigation/navigating-coastal-waters/offshore-oil-and-gas-exploration
https://www.amsa.gov.au/safety-navigation/navigation-systems/modernised-australian-ship-tracking-and-reporting-system</t>
        </is>
      </c>
      <c r="Q133" s="66" t="inlineStr">
        <is>
          <t>B26</t>
        </is>
      </c>
      <c r="R133" s="66" t="inlineStr">
        <is>
          <t>Initial association evidenced</t>
        </is>
      </c>
      <c r="S133" s="66" t="inlineStr">
        <is>
          <t>2026-09-29</t>
        </is>
      </c>
    </row>
    <row r="134" ht="60" customHeight="1" s="63">
      <c r="A134" s="66" t="inlineStr">
        <is>
          <t>TSS-0128</t>
        </is>
      </c>
      <c r="B134" s="66" t="inlineStr">
        <is>
          <t>Australia</t>
        </is>
      </c>
      <c r="C134" s="66" t="inlineStr">
        <is>
          <t>In the Bass Strait</t>
        </is>
      </c>
      <c r="D134" s="66" t="inlineStr">
        <is>
          <t>Source entry; single scheme on first-pass evidence</t>
        </is>
      </c>
      <c r="E134" s="66" t="inlineStr">
        <is>
          <t>TSS identity provisional (first pass); operational status: In force. Official baseline reconciliation pending.</t>
        </is>
      </c>
      <c r="F134" s="66" t="inlineStr">
        <is>
          <t>Unresolved</t>
        </is>
      </c>
      <c r="G134" s="66" t="inlineStr">
        <is>
          <t>Confirmed present: SRS-023</t>
        </is>
      </c>
      <c r="H134" s="66" t="n"/>
      <c r="I134" s="66" t="inlineStr">
        <is>
          <t>SRS-023</t>
        </is>
      </c>
      <c r="J134" s="66" t="inlineStr">
        <is>
          <t>AMSA refers to 'Gippsland and Wilsons Promontory TSS' and the Gippsland ATBA (S20); whether 'In the Bass Strait' denotes the Gippsland (off Gippsland oil and gas fields) scheme or another scheme could not be confirmed. Possible overlap with TSS-0127.</t>
        </is>
      </c>
      <c r="K134" s="66" t="inlineStr">
        <is>
          <t>SRC-001</t>
        </is>
      </c>
      <c r="L134" s="67" t="inlineStr">
        <is>
          <t>https://www.scribd.com/document/1014775753/1-1-IMO-Adopted-Traffic-Separation-Schemes-on-the-ADMIRALTY-Chart-Series</t>
        </is>
      </c>
      <c r="M134" s="66" t="inlineStr">
        <is>
          <t>Notice 17; scheme label: In the Bass Strait</t>
        </is>
      </c>
      <c r="N134" s="66" t="inlineStr">
        <is>
          <t>UKHO-labelled document on third-party host; edition and currency unverified.</t>
        </is>
      </c>
      <c r="O134" s="66" t="inlineStr">
        <is>
          <t>SRC-109; SRC-110</t>
        </is>
      </c>
      <c r="P134" s="67" t="inlineStr">
        <is>
          <t>https://www.amsa.gov.au/safety-navigation/navigating-coastal-waters/offshore-oil-and-gas-exploration
https://www.amsa.gov.au/safety-navigation/navigation-systems/modernised-australian-ship-tracking-and-reporting-system</t>
        </is>
      </c>
      <c r="Q134" s="66" t="inlineStr">
        <is>
          <t>B26</t>
        </is>
      </c>
      <c r="R134" s="66" t="inlineStr">
        <is>
          <t>Initial association evidenced</t>
        </is>
      </c>
      <c r="S134" s="66" t="inlineStr">
        <is>
          <t>2026-09-29</t>
        </is>
      </c>
    </row>
    <row r="135" ht="60" customHeight="1" s="63">
      <c r="A135" s="66" t="inlineStr">
        <is>
          <t>TSS-0129</t>
        </is>
      </c>
      <c r="B135" s="66" t="inlineStr">
        <is>
          <t>North America Pacific coast</t>
        </is>
      </c>
      <c r="C135" s="66" t="inlineStr">
        <is>
          <t>In Prince William Sound</t>
        </is>
      </c>
      <c r="D135" s="66" t="inlineStr">
        <is>
          <t>Source entry; 4 parts recorded (structure only, not a scheme count)</t>
        </is>
      </c>
      <c r="E135" s="66" t="inlineStr">
        <is>
          <t>TSS identity confirmed (first pass); operational status: In force. Official baseline reconciliation pending.</t>
        </is>
      </c>
      <c r="F135" s="66" t="inlineStr">
        <is>
          <t>Confirmed present: VTS-009</t>
        </is>
      </c>
      <c r="G135" s="66" t="inlineStr">
        <is>
          <t>Unresolved</t>
        </is>
      </c>
      <c r="H135" s="66" t="inlineStr">
        <is>
          <t>VTS-009</t>
        </is>
      </c>
      <c r="I135" s="66" t="n"/>
      <c r="J135" s="66" t="inlineStr">
        <is>
          <t>Verify the exact approach-TSS relationship and participation boundaries. 33 CFR 167.1700-167.1703: four parts (Prince William Sound TSS, Valdez Arm TSS, Cape Hinchinbrook and Bligh Reef precautionary areas) (S23). IMO adoption circular not retrieved.</t>
        </is>
      </c>
      <c r="K135" s="66" t="inlineStr">
        <is>
          <t>SRC-001</t>
        </is>
      </c>
      <c r="L135" s="67" t="inlineStr">
        <is>
          <t>https://www.scribd.com/document/1014775753/1-1-IMO-Adopted-Traffic-Separation-Schemes-on-the-ADMIRALTY-Chart-Series</t>
        </is>
      </c>
      <c r="M135" s="66" t="inlineStr">
        <is>
          <t>Notice 17; scheme label: In Prince William Sound</t>
        </is>
      </c>
      <c r="N135" s="66" t="inlineStr">
        <is>
          <t>UKHO-labelled document on third-party host; edition and currency unverified.</t>
        </is>
      </c>
      <c r="O135" s="66" t="inlineStr">
        <is>
          <t>SRC-111; SRC-112; SRC-113</t>
        </is>
      </c>
      <c r="P135" s="67" t="inlineStr">
        <is>
          <t>https://www.ecfr.gov/current/title-33/part-161/section-161.60
https://www.ecfr.gov/current/title-33/part-167/section-167.1700
https://www.ecfr.gov/current/title-33/part-161/section-161.12</t>
        </is>
      </c>
      <c r="Q135" s="66" t="inlineStr">
        <is>
          <t>B26</t>
        </is>
      </c>
      <c r="R135" s="66" t="inlineStr">
        <is>
          <t>Initial association evidenced</t>
        </is>
      </c>
      <c r="S135" s="66" t="inlineStr">
        <is>
          <t>2026-09-29</t>
        </is>
      </c>
    </row>
    <row r="136" ht="66" customHeight="1" s="63">
      <c r="A136" s="66" t="inlineStr">
        <is>
          <t>TSS-0130</t>
        </is>
      </c>
      <c r="B136" s="66" t="inlineStr">
        <is>
          <t>North America Pacific coast</t>
        </is>
      </c>
      <c r="C136" s="66" t="inlineStr">
        <is>
          <t>In the Strait of Juan de Fuca and its Approaches</t>
        </is>
      </c>
      <c r="D136" s="66" t="inlineStr">
        <is>
          <t>Source entry; 2 parts recorded (structure only, not a scheme count)</t>
        </is>
      </c>
      <c r="E136" s="66" t="inlineStr">
        <is>
          <t>TSS identity confirmed (first pass); operational status: In force. Official baseline reconciliation pending.</t>
        </is>
      </c>
      <c r="F136" s="66" t="inlineStr">
        <is>
          <t>Confirmed present: VTS-010, VTS-048</t>
        </is>
      </c>
      <c r="G136" s="66" t="inlineStr">
        <is>
          <t>Unresolved</t>
        </is>
      </c>
      <c r="H136" s="66" t="inlineStr">
        <is>
          <t>VTS-010; VTS-048</t>
        </is>
      </c>
      <c r="I136" s="66" t="n"/>
      <c r="J136" s="66" t="inlineStr">
        <is>
          <t>This US service is not the whole cross-border corridor. Canadian service areas require separate records and boundary checks. Official name found: In the Strait of Juan de Fuca and its approaches. Grouped label. 33 CFR 167.1300-167.1303 (approaches: western approach, southwestern approach, precautionary area 'JF') and 167.1310-167.1315 (Strait: western, southern, northern, eastern lanes and precautionary area 'PA') (S26). IMO adoption circular not retrieved.</t>
        </is>
      </c>
      <c r="K136" s="66" t="inlineStr">
        <is>
          <t>SRC-001</t>
        </is>
      </c>
      <c r="L136" s="67" t="inlineStr">
        <is>
          <t>https://www.scribd.com/document/1014775753/1-1-IMO-Adopted-Traffic-Separation-Schemes-on-the-ADMIRALTY-Chart-Series</t>
        </is>
      </c>
      <c r="M136" s="66" t="inlineStr">
        <is>
          <t>Notice 17; scheme label: In the Strait of Juan de Fuca and its Approaches</t>
        </is>
      </c>
      <c r="N136" s="66" t="inlineStr">
        <is>
          <t>UKHO-labelled document on third-party host; edition and currency unverified.</t>
        </is>
      </c>
      <c r="O136" s="66" t="inlineStr">
        <is>
          <t>SRC-113; SRC-114; SRC-115; SRC-116</t>
        </is>
      </c>
      <c r="P136" s="67" t="inlineStr">
        <is>
          <t>https://www.ecfr.gov/current/title-33/part-161/section-161.12
https://www.ecfr.gov/current/title-33/part-161/section-161.55
https://www.ecfr.gov/current/title-33/part-167/section-167.1300
https://laws-lois.justice.gc.ca/eng/regulations/SOR-2025-275/FullText.html</t>
        </is>
      </c>
      <c r="Q136" s="66" t="inlineStr">
        <is>
          <t>B26</t>
        </is>
      </c>
      <c r="R136" s="66" t="inlineStr">
        <is>
          <t>Initial association evidenced</t>
        </is>
      </c>
      <c r="S136" s="66" t="inlineStr">
        <is>
          <t>2026-09-29</t>
        </is>
      </c>
    </row>
    <row r="137" ht="66" customHeight="1" s="63">
      <c r="A137" s="66" t="inlineStr">
        <is>
          <t>TSS-0131</t>
        </is>
      </c>
      <c r="B137" s="66" t="inlineStr">
        <is>
          <t>North America Pacific coast</t>
        </is>
      </c>
      <c r="C137" s="66" t="inlineStr">
        <is>
          <t>In Puget Sound and approaches in Haro Strait, Boundary Pass and in the Strait of Georgia</t>
        </is>
      </c>
      <c r="D137" s="66" t="inlineStr">
        <is>
          <t>Source entry; 5 parts recorded (structure only, not a scheme count)</t>
        </is>
      </c>
      <c r="E137" s="66" t="inlineStr">
        <is>
          <t>TSS identity confirmed (first pass); operational status: In force. Official baseline reconciliation pending.</t>
        </is>
      </c>
      <c r="F137" s="66" t="inlineStr">
        <is>
          <t>Confirmed present: VTS-010, VTS-048</t>
        </is>
      </c>
      <c r="G137" s="66" t="inlineStr">
        <is>
          <t>Unresolved</t>
        </is>
      </c>
      <c r="H137" s="66" t="inlineStr">
        <is>
          <t>VTS-010; VTS-048</t>
        </is>
      </c>
      <c r="I137" s="66" t="n"/>
      <c r="J137" s="66" t="inlineStr">
        <is>
          <t>This US service is not the whole cross-border corridor. Canadian service areas require separate records and boundary checks. Official name found: In Puget Sound and its approaches in Haro Strait, Boundary Pass and in the Strait of Georgia. IMO name as amended by COLREG.2/Circ.55 (MSC 79, 15 December 2004; amendments implemented 1 July 2005). US statutory text splits it into 33 CFR 167.1320-1323 (Puget Sound and its approaches) and 167.1330-1332 (Haro Strait, Boundary Pass, Strait of Georgia). Grouped heading; the separate Strait of Juan de Fuca and approaches schemes (33 CFR 167.1300/1310) are not part of this label.</t>
        </is>
      </c>
      <c r="K137" s="66" t="inlineStr">
        <is>
          <t>SRC-001</t>
        </is>
      </c>
      <c r="L137" s="67" t="inlineStr">
        <is>
          <t>https://www.scribd.com/document/1014775753/1-1-IMO-Adopted-Traffic-Separation-Schemes-on-the-ADMIRALTY-Chart-Series</t>
        </is>
      </c>
      <c r="M137" s="66" t="inlineStr">
        <is>
          <t>Notice 17; scheme label: In Puget Sound and approaches in Haro Strait, Boundary Pass and in the Strait of Georgia</t>
        </is>
      </c>
      <c r="N137" s="66" t="inlineStr">
        <is>
          <t>UKHO-labelled document on third-party host; edition and currency unverified.</t>
        </is>
      </c>
      <c r="O137" s="66" t="inlineStr">
        <is>
          <t>SRC-117; SRC-118; SRC-119; SRC-054; SRC-017; SRC-123</t>
        </is>
      </c>
      <c r="P137" s="67" t="inlineStr">
        <is>
          <t>https://www.ecfr.gov/api/versioner/v1/full/2026-09-01/title-33.xml?part=161
https://www.ecfr.gov/api/versioner/v1/full/2026-09-01/title-33.xml?part=167
https://www.canada.ca/content/dam/ccg-gcc/documents/publications/mcts-sctm/ramn-arnm-2026-eng.pdf
https://www.transportstyrelsen.se/globalassets/global/sjofart/dokument/sjotrafik_dok/imo_colreg.2_cirkular.pdf?id=58526
https://www.navcen.uscg.gov/vessel-traffic-services-locations
https://laws-lois.justice.gc.ca/eng/regulations/SOR-89-98/FullText.html</t>
        </is>
      </c>
      <c r="Q137" s="66" t="inlineStr">
        <is>
          <t>B27</t>
        </is>
      </c>
      <c r="R137" s="66" t="inlineStr">
        <is>
          <t>Initial association evidenced</t>
        </is>
      </c>
      <c r="S137" s="66" t="inlineStr">
        <is>
          <t>2026-09-29</t>
        </is>
      </c>
    </row>
    <row r="138" ht="60" customHeight="1" s="63">
      <c r="A138" s="66" t="inlineStr">
        <is>
          <t>TSS-0132</t>
        </is>
      </c>
      <c r="B138" s="66" t="inlineStr">
        <is>
          <t>North America Pacific coast</t>
        </is>
      </c>
      <c r="C138" s="66" t="inlineStr">
        <is>
          <t>Off San Francisco</t>
        </is>
      </c>
      <c r="D138" s="66" t="inlineStr">
        <is>
          <t>Source entry; 6 parts recorded (structure only, not a scheme count)</t>
        </is>
      </c>
      <c r="E138" s="66" t="inlineStr">
        <is>
          <t>TSS identity confirmed (first pass); operational status: In force. Official baseline reconciliation pending.</t>
        </is>
      </c>
      <c r="F138" s="66" t="inlineStr">
        <is>
          <t>Confirmed present: VTS-011</t>
        </is>
      </c>
      <c r="G138" s="66" t="inlineStr">
        <is>
          <t>Unresolved (lead: SRS-008)</t>
        </is>
      </c>
      <c r="H138" s="66" t="inlineStr">
        <is>
          <t>VTS-011</t>
        </is>
      </c>
      <c r="I138" s="66" t="n"/>
      <c r="J138" s="66" t="inlineStr">
        <is>
          <t>Separate VTS requirements from voluntary offshore OVMRS. Offshore TSS coverage remains a research lead. 33 CFR 167.400-406: six parts (Precautionary Area, Northern, Southern and Western Approaches, Main Ship Channel, Area To Be Avoided). IMO adoption circular not separately retrieved.</t>
        </is>
      </c>
      <c r="K138" s="66" t="inlineStr">
        <is>
          <t>SRC-001</t>
        </is>
      </c>
      <c r="L138" s="67" t="inlineStr">
        <is>
          <t>https://www.scribd.com/document/1014775753/1-1-IMO-Adopted-Traffic-Separation-Schemes-on-the-ADMIRALTY-Chart-Series</t>
        </is>
      </c>
      <c r="M138" s="66" t="inlineStr">
        <is>
          <t>Notice 17; scheme label: Off San Francisco</t>
        </is>
      </c>
      <c r="N138" s="66" t="inlineStr">
        <is>
          <t>UKHO-labelled document on third-party host; edition and currency unverified.</t>
        </is>
      </c>
      <c r="O138" s="66" t="inlineStr">
        <is>
          <t>SRC-017; SRC-117; SRC-118</t>
        </is>
      </c>
      <c r="P138" s="67" t="inlineStr">
        <is>
          <t>https://www.navcen.uscg.gov/vessel-traffic-services-locations
https://www.ecfr.gov/api/versioner/v1/full/2026-09-01/title-33.xml?part=161
https://www.ecfr.gov/api/versioner/v1/full/2026-09-01/title-33.xml?part=167</t>
        </is>
      </c>
      <c r="Q138" s="66" t="inlineStr">
        <is>
          <t>B27</t>
        </is>
      </c>
      <c r="R138" s="66" t="inlineStr">
        <is>
          <t>Initial association evidenced</t>
        </is>
      </c>
      <c r="S138" s="66" t="inlineStr">
        <is>
          <t>2026-09-29</t>
        </is>
      </c>
    </row>
    <row r="139" ht="60" customHeight="1" s="63">
      <c r="A139" s="66" t="inlineStr">
        <is>
          <t>TSS-0133</t>
        </is>
      </c>
      <c r="B139" s="66" t="inlineStr">
        <is>
          <t>North America Pacific coast</t>
        </is>
      </c>
      <c r="C139" s="66" t="inlineStr">
        <is>
          <t>In the Santa Barbara Channel and in the Approaches to Los Angeles - Long Beach</t>
        </is>
      </c>
      <c r="D139" s="66" t="inlineStr">
        <is>
          <t>Source entry; 2 parts recorded (structure only, not a scheme count)</t>
        </is>
      </c>
      <c r="E139" s="66" t="inlineStr">
        <is>
          <t>TSS identity confirmed (first pass); operational status: In force. Official baseline reconciliation pending.</t>
        </is>
      </c>
      <c r="F139" s="66" t="inlineStr">
        <is>
          <t>Confirmed present: VTS-012</t>
        </is>
      </c>
      <c r="G139" s="66" t="inlineStr">
        <is>
          <t>Unresolved</t>
        </is>
      </c>
      <c r="H139" s="66" t="inlineStr">
        <is>
          <t>VTS-012</t>
        </is>
      </c>
      <c r="I139" s="66" t="n"/>
      <c r="J139" s="66" t="inlineStr">
        <is>
          <t>The source TSS heading also includes Santa Barbara Channel. Do not infer whole-heading coverage. Official name found: In the Santa Barbara Channel; In the approaches to Los Angeles-Long Beach. Grouped heading of two schemes: Santa Barbara Channel (33 CFR 167.450-452, Point Vicente to Point Arguello) and approaches to Los Angeles-Long Beach (33 CFR 167.500-503: precautionary area, western and southern approaches). IMO compilation shows later amendments to both (Santa Barbara Channel amended scheme; 'Approaches to Los Angeles - Long Beach' amended scheme), circular numbers not extracted.</t>
        </is>
      </c>
      <c r="K139" s="66" t="inlineStr">
        <is>
          <t>SRC-001</t>
        </is>
      </c>
      <c r="L139" s="67" t="inlineStr">
        <is>
          <t>https://www.scribd.com/document/1014775753/1-1-IMO-Adopted-Traffic-Separation-Schemes-on-the-ADMIRALTY-Chart-Series</t>
        </is>
      </c>
      <c r="M139" s="66" t="inlineStr">
        <is>
          <t>Notice 17; scheme label: In the Santa Barbara Channel and in the Approaches to Los Angeles - Long Beach</t>
        </is>
      </c>
      <c r="N139" s="66" t="inlineStr">
        <is>
          <t>UKHO-labelled document on third-party host; edition and currency unverified.</t>
        </is>
      </c>
      <c r="O139" s="66" t="inlineStr">
        <is>
          <t>SRC-017; SRC-117; SRC-118; SRC-054</t>
        </is>
      </c>
      <c r="P139" s="67" t="inlineStr">
        <is>
          <t>https://www.navcen.uscg.gov/vessel-traffic-services-locations
https://www.ecfr.gov/api/versioner/v1/full/2026-09-01/title-33.xml?part=161
https://www.ecfr.gov/api/versioner/v1/full/2026-09-01/title-33.xml?part=167
https://www.transportstyrelsen.se/globalassets/global/sjofart/dokument/sjotrafik_dok/imo_colreg.2_cirkular.pdf?id=58526</t>
        </is>
      </c>
      <c r="Q139" s="66" t="inlineStr">
        <is>
          <t>B27</t>
        </is>
      </c>
      <c r="R139" s="66" t="inlineStr">
        <is>
          <t>Initial association evidenced</t>
        </is>
      </c>
      <c r="S139" s="66" t="inlineStr">
        <is>
          <t>2026-09-29</t>
        </is>
      </c>
    </row>
    <row r="140" ht="60" customHeight="1" s="63">
      <c r="A140" s="66" t="inlineStr">
        <is>
          <t>TSS-0134</t>
        </is>
      </c>
      <c r="B140" s="66" t="inlineStr">
        <is>
          <t>North America Pacific coast</t>
        </is>
      </c>
      <c r="C140" s="66" t="inlineStr">
        <is>
          <t>In the Approaches to Salina Cruz</t>
        </is>
      </c>
      <c r="D140" s="66" t="inlineStr">
        <is>
          <t>Source entry; 3 parts recorded (structure only, not a scheme count)</t>
        </is>
      </c>
      <c r="E140" s="66" t="inlineStr">
        <is>
          <t>TSS identity provisional (first pass); operational status: In force. Official baseline reconciliation pending.</t>
        </is>
      </c>
      <c r="F140" s="66" t="inlineStr">
        <is>
          <t>Unresolved (lead: VTS-049)</t>
        </is>
      </c>
      <c r="G140" s="66" t="inlineStr">
        <is>
          <t>Unresolved</t>
        </is>
      </c>
      <c r="H140" s="66" t="n"/>
      <c r="I140" s="66" t="n"/>
      <c r="J140" s="66" t="inlineStr">
        <is>
          <t>Official name found: In the approaches to Salina Cruz. New scheme adopted by MSC 63 (COLREG.2/Circ.40, 9 June 1994), implemented 24 November 1994: two parts (south-western approach for tankers to the SPMs/oil terminal; southern approach for ships over 500 GT). A.827(19) (1995) added a precautionary area and three circular areas to be avoided. Current status not checked in GISIS.</t>
        </is>
      </c>
      <c r="K140" s="66" t="inlineStr">
        <is>
          <t>SRC-001</t>
        </is>
      </c>
      <c r="L140" s="67" t="inlineStr">
        <is>
          <t>https://www.scribd.com/document/1014775753/1-1-IMO-Adopted-Traffic-Separation-Schemes-on-the-ADMIRALTY-Chart-Series</t>
        </is>
      </c>
      <c r="M140" s="66" t="inlineStr">
        <is>
          <t>Notice 17; scheme label: In the Approaches to Salina Cruz</t>
        </is>
      </c>
      <c r="N140" s="66" t="inlineStr">
        <is>
          <t>UKHO-labelled document on third-party host; edition and currency unverified.</t>
        </is>
      </c>
      <c r="O140" s="66" t="inlineStr">
        <is>
          <t>SRC-054; SRC-072</t>
        </is>
      </c>
      <c r="P140" s="67" t="inlineStr">
        <is>
          <t>https://www.transportstyrelsen.se/globalassets/global/sjofart/dokument/sjotrafik_dok/imo_colreg.2_cirkular.pdf?id=58526
https://wwwcdn.imo.org/localresources/en/KnowledgeCentre/IndexofIMOResolutions/AssemblyDocuments/A.827(19).pdf</t>
        </is>
      </c>
      <c r="Q140" s="66" t="inlineStr">
        <is>
          <t>B27</t>
        </is>
      </c>
      <c r="R140" s="66" t="inlineStr">
        <is>
          <t>Association proposed</t>
        </is>
      </c>
      <c r="S140" s="66" t="inlineStr">
        <is>
          <t>2026-09-29</t>
        </is>
      </c>
    </row>
    <row r="141" ht="60" customHeight="1" s="63">
      <c r="A141" s="66" t="inlineStr">
        <is>
          <t>TSS-0135</t>
        </is>
      </c>
      <c r="B141" s="66" t="inlineStr">
        <is>
          <t>Central and South America Pacific coast</t>
        </is>
      </c>
      <c r="C141" s="66" t="inlineStr">
        <is>
          <t>Landfall and Approaches to Talara Bay</t>
        </is>
      </c>
      <c r="D141" s="66" t="inlineStr">
        <is>
          <t>Source entry; single scheme on first-pass evidence</t>
        </is>
      </c>
      <c r="E141" s="66" t="inlineStr">
        <is>
          <t>TSS identity provisional (first pass); operational status: In force. Official baseline reconciliation pending.</t>
        </is>
      </c>
      <c r="F141" s="66" t="inlineStr">
        <is>
          <t>Unresolved</t>
        </is>
      </c>
      <c r="G141" s="66" t="inlineStr">
        <is>
          <t>Unresolved</t>
        </is>
      </c>
      <c r="H141" s="66" t="n"/>
      <c r="I141" s="66" t="n"/>
      <c r="J141" s="66" t="inlineStr">
        <is>
          <t>Official name found: Landfall and approaches to Talara Bay. New scheme adopted by MSC 73, COLREG.2/Circ.49 (19 January 2001), implemented 1 June 2001. Adopted by IMO MSC; implementation date as stated. Current status after later circulars (post COLREG.2/Circ.69) not checked in GISIS; treated as provisional pending a current Peruvian (HIDRONAV/DICAPI) or IMO Ships' Routeing check.</t>
        </is>
      </c>
      <c r="K141" s="66" t="inlineStr">
        <is>
          <t>SRC-001</t>
        </is>
      </c>
      <c r="L141" s="67" t="inlineStr">
        <is>
          <t>https://www.scribd.com/document/1014775753/1-1-IMO-Adopted-Traffic-Separation-Schemes-on-the-ADMIRALTY-Chart-Series</t>
        </is>
      </c>
      <c r="M141" s="66" t="inlineStr">
        <is>
          <t>Notice 17; scheme label: Landfall and Approaches to Talara Bay</t>
        </is>
      </c>
      <c r="N141" s="66" t="inlineStr">
        <is>
          <t>UKHO-labelled document on third-party host; edition and currency unverified.</t>
        </is>
      </c>
      <c r="O141" s="66" t="inlineStr">
        <is>
          <t>SRC-120; SRC-054</t>
        </is>
      </c>
      <c r="P141" s="67" t="inlineStr">
        <is>
          <t>https://cimrc.shmtu.edu.cn/_upload/article/files/63/dc/35c66be74d12873254dc88a2ef00/4e997831-d3e8-440e-962a-5d1aaac44e37.pdf
https://www.transportstyrelsen.se/globalassets/global/sjofart/dokument/sjotrafik_dok/imo_colreg.2_cirkular.pdf?id=58526</t>
        </is>
      </c>
      <c r="Q141" s="66" t="inlineStr">
        <is>
          <t>B27</t>
        </is>
      </c>
      <c r="R141" s="66" t="inlineStr">
        <is>
          <t>Researched; unresolved</t>
        </is>
      </c>
      <c r="S141" s="66" t="inlineStr">
        <is>
          <t>2026-09-29</t>
        </is>
      </c>
    </row>
    <row r="142" ht="60" customHeight="1" s="63">
      <c r="A142" s="66" t="inlineStr">
        <is>
          <t>TSS-0136</t>
        </is>
      </c>
      <c r="B142" s="66" t="inlineStr">
        <is>
          <t>Central and South America Pacific coast</t>
        </is>
      </c>
      <c r="C142" s="66" t="inlineStr">
        <is>
          <t>Landfall and Approaches to Bahía de Paita</t>
        </is>
      </c>
      <c r="D142" s="66" t="inlineStr">
        <is>
          <t>Source entry; single scheme on first-pass evidence</t>
        </is>
      </c>
      <c r="E142" s="66" t="inlineStr">
        <is>
          <t>TSS identity provisional (first pass); operational status: In force. Official baseline reconciliation pending.</t>
        </is>
      </c>
      <c r="F142" s="66" t="inlineStr">
        <is>
          <t>Unresolved</t>
        </is>
      </c>
      <c r="G142" s="66" t="inlineStr">
        <is>
          <t>Unresolved</t>
        </is>
      </c>
      <c r="H142" s="66" t="n"/>
      <c r="I142" s="66" t="n"/>
      <c r="J142" s="66" t="inlineStr">
        <is>
          <t>Official name found: Landfall and approaches to Paita Bay. New scheme adopted by MSC 72, COLREG.2/Circ.48 (1 June 2000), implemented 1 December 2000. Adopted by IMO MSC; implementation date as stated. Current status after later circulars (post COLREG.2/Circ.69) not checked in GISIS; treated as provisional pending a current Peruvian (HIDRONAV/DICAPI) or IMO Ships' Routeing check.</t>
        </is>
      </c>
      <c r="K142" s="66" t="inlineStr">
        <is>
          <t>SRC-001</t>
        </is>
      </c>
      <c r="L142" s="67" t="inlineStr">
        <is>
          <t>https://www.scribd.com/document/1014775753/1-1-IMO-Adopted-Traffic-Separation-Schemes-on-the-ADMIRALTY-Chart-Series</t>
        </is>
      </c>
      <c r="M142" s="66" t="inlineStr">
        <is>
          <t>Notice 17; scheme label: Landfall and Approaches to Bahía de Paita</t>
        </is>
      </c>
      <c r="N142" s="66" t="inlineStr">
        <is>
          <t>UKHO-labelled document on third-party host; edition and currency unverified.</t>
        </is>
      </c>
      <c r="O142" s="66" t="inlineStr">
        <is>
          <t>SRC-054; SRC-126</t>
        </is>
      </c>
      <c r="P142" s="67" t="inlineStr">
        <is>
          <t>https://www.transportstyrelsen.se/globalassets/global/sjofart/dokument/sjotrafik_dok/imo_colreg.2_cirkular.pdf?id=58526
https://nippon.zaidan.info/seikabutsu/1999/00484/contents/225.htm</t>
        </is>
      </c>
      <c r="Q142" s="66" t="inlineStr">
        <is>
          <t>B28</t>
        </is>
      </c>
      <c r="R142" s="66" t="inlineStr">
        <is>
          <t>Researched; unresolved</t>
        </is>
      </c>
      <c r="S142" s="66" t="inlineStr">
        <is>
          <t>2026-09-29</t>
        </is>
      </c>
    </row>
    <row r="143" ht="60" customHeight="1" s="63">
      <c r="A143" s="66" t="inlineStr">
        <is>
          <t>TSS-0137</t>
        </is>
      </c>
      <c r="B143" s="66" t="inlineStr">
        <is>
          <t>Central and South America Pacific coast</t>
        </is>
      </c>
      <c r="C143" s="66" t="inlineStr">
        <is>
          <t>Landfall off Puerto Salaverry</t>
        </is>
      </c>
      <c r="D143" s="66" t="inlineStr">
        <is>
          <t>Source entry; single scheme on first-pass evidence</t>
        </is>
      </c>
      <c r="E143" s="66" t="inlineStr">
        <is>
          <t>TSS identity provisional (first pass); operational status: In force. Official baseline reconciliation pending.</t>
        </is>
      </c>
      <c r="F143" s="66" t="inlineStr">
        <is>
          <t>Unresolved</t>
        </is>
      </c>
      <c r="G143" s="66" t="inlineStr">
        <is>
          <t>Unresolved</t>
        </is>
      </c>
      <c r="H143" s="66" t="n"/>
      <c r="I143" s="66" t="n"/>
      <c r="J143" s="66" t="inlineStr">
        <is>
          <t>Official name found: Landfall Off Puerto Salaverry. New scheme adopted by MSC 73, COLREG.2/Circ.49 (19 January 2001), implemented 1 June 2001. Adopted by IMO MSC; implementation date as stated. Current status after later circulars (post COLREG.2/Circ.69) not checked in GISIS; treated as provisional pending a current Peruvian (HIDRONAV/DICAPI) or IMO Ships' Routeing check.</t>
        </is>
      </c>
      <c r="K143" s="66" t="inlineStr">
        <is>
          <t>SRC-001</t>
        </is>
      </c>
      <c r="L143" s="67" t="inlineStr">
        <is>
          <t>https://www.scribd.com/document/1014775753/1-1-IMO-Adopted-Traffic-Separation-Schemes-on-the-ADMIRALTY-Chart-Series</t>
        </is>
      </c>
      <c r="M143" s="66" t="inlineStr">
        <is>
          <t>Notice 17; scheme label: Landfall off Puerto Salaverry</t>
        </is>
      </c>
      <c r="N143" s="66" t="inlineStr">
        <is>
          <t>UKHO-labelled document on third-party host; edition and currency unverified.</t>
        </is>
      </c>
      <c r="O143" s="66" t="inlineStr">
        <is>
          <t>SRC-120; SRC-054</t>
        </is>
      </c>
      <c r="P143" s="67" t="inlineStr">
        <is>
          <t>https://cimrc.shmtu.edu.cn/_upload/article/files/63/dc/35c66be74d12873254dc88a2ef00/4e997831-d3e8-440e-962a-5d1aaac44e37.pdf
https://www.transportstyrelsen.se/globalassets/global/sjofart/dokument/sjotrafik_dok/imo_colreg.2_cirkular.pdf?id=58526</t>
        </is>
      </c>
      <c r="Q143" s="66" t="inlineStr">
        <is>
          <t>B28</t>
        </is>
      </c>
      <c r="R143" s="66" t="inlineStr">
        <is>
          <t>Researched; unresolved</t>
        </is>
      </c>
      <c r="S143" s="66" t="inlineStr">
        <is>
          <t>2026-09-29</t>
        </is>
      </c>
    </row>
    <row r="144" ht="60" customHeight="1" s="63">
      <c r="A144" s="66" t="inlineStr">
        <is>
          <t>TSS-0138</t>
        </is>
      </c>
      <c r="B144" s="66" t="inlineStr">
        <is>
          <t>Central and South America Pacific coast</t>
        </is>
      </c>
      <c r="C144" s="66" t="inlineStr">
        <is>
          <t>Landfall and Approaches to Ferrol Bay (Puerto Chimbote)</t>
        </is>
      </c>
      <c r="D144" s="66" t="inlineStr">
        <is>
          <t>Source entry; single scheme on first-pass evidence</t>
        </is>
      </c>
      <c r="E144" s="66" t="inlineStr">
        <is>
          <t>TSS identity provisional (first pass); operational status: In force. Official baseline reconciliation pending.</t>
        </is>
      </c>
      <c r="F144" s="66" t="inlineStr">
        <is>
          <t>Unresolved</t>
        </is>
      </c>
      <c r="G144" s="66" t="inlineStr">
        <is>
          <t>Unresolved</t>
        </is>
      </c>
      <c r="H144" s="66" t="n"/>
      <c r="I144" s="66" t="n"/>
      <c r="J144" s="66" t="inlineStr">
        <is>
          <t>Official name found: Landfall and approaches to Ferrol Bay (Puerto Chimbote). New scheme adopted by MSC 73, COLREG.2/Circ.49 (19 January 2001), implemented 1 June 2001 (circular list misspells 'Puerto Chimbotu'; annex heading reads Puerto Chimbote). Adopted by IMO MSC; implementation date as stated. Current status after later circulars (post COLREG.2/Circ.69) not checked in GISIS; treated as provisional pending a current Peruvian (HIDRONAV/DICAPI) or IMO Ships' Routeing check.</t>
        </is>
      </c>
      <c r="K144" s="66" t="inlineStr">
        <is>
          <t>SRC-001</t>
        </is>
      </c>
      <c r="L144" s="67" t="inlineStr">
        <is>
          <t>https://www.scribd.com/document/1014775753/1-1-IMO-Adopted-Traffic-Separation-Schemes-on-the-ADMIRALTY-Chart-Series</t>
        </is>
      </c>
      <c r="M144" s="66" t="inlineStr">
        <is>
          <t>Notice 17; scheme label: Landfall and Approaches to Ferrol Bay (Puerto Chimbote)</t>
        </is>
      </c>
      <c r="N144" s="66" t="inlineStr">
        <is>
          <t>UKHO-labelled document on third-party host; edition and currency unverified.</t>
        </is>
      </c>
      <c r="O144" s="66" t="inlineStr">
        <is>
          <t>SRC-120; SRC-054</t>
        </is>
      </c>
      <c r="P144" s="67" t="inlineStr">
        <is>
          <t>https://cimrc.shmtu.edu.cn/_upload/article/files/63/dc/35c66be74d12873254dc88a2ef00/4e997831-d3e8-440e-962a-5d1aaac44e37.pdf
https://www.transportstyrelsen.se/globalassets/global/sjofart/dokument/sjotrafik_dok/imo_colreg.2_cirkular.pdf?id=58526</t>
        </is>
      </c>
      <c r="Q144" s="66" t="inlineStr">
        <is>
          <t>B28</t>
        </is>
      </c>
      <c r="R144" s="66" t="inlineStr">
        <is>
          <t>Researched; unresolved</t>
        </is>
      </c>
      <c r="S144" s="66" t="inlineStr">
        <is>
          <t>2026-09-29</t>
        </is>
      </c>
    </row>
    <row r="145" ht="60" customHeight="1" s="63">
      <c r="A145" s="66" t="inlineStr">
        <is>
          <t>TSS-0139</t>
        </is>
      </c>
      <c r="B145" s="66" t="inlineStr">
        <is>
          <t>Central and South America Pacific coast</t>
        </is>
      </c>
      <c r="C145" s="66" t="inlineStr">
        <is>
          <t>Approaches to Puerto Callao</t>
        </is>
      </c>
      <c r="D145" s="66" t="inlineStr">
        <is>
          <t>Source entry; single scheme on first-pass evidence</t>
        </is>
      </c>
      <c r="E145" s="66" t="inlineStr">
        <is>
          <t>TSS identity provisional (first pass); operational status: In force. Official baseline reconciliation pending.</t>
        </is>
      </c>
      <c r="F145" s="66" t="inlineStr">
        <is>
          <t>Unresolved (lead: VTS-050)</t>
        </is>
      </c>
      <c r="G145" s="66" t="inlineStr">
        <is>
          <t>Unresolved</t>
        </is>
      </c>
      <c r="H145" s="66" t="n"/>
      <c r="I145" s="66" t="n"/>
      <c r="J145" s="66" t="inlineStr">
        <is>
          <t>New scheme adopted by MSC 72, COLREG.2/Circ.48 (1 June 2000), implemented 1 December 2000; three parts (Part I northwest approaches etc.). Adopted by IMO MSC; implementation date as stated. Current status after later circulars (post COLREG.2/Circ.69) not checked in GISIS; treated as provisional pending a current Peruvian (HIDRONAV/DICAPI) or IMO Ships' Routeing check.</t>
        </is>
      </c>
      <c r="K145" s="66" t="inlineStr">
        <is>
          <t>SRC-001</t>
        </is>
      </c>
      <c r="L145" s="67" t="inlineStr">
        <is>
          <t>https://www.scribd.com/document/1014775753/1-1-IMO-Adopted-Traffic-Separation-Schemes-on-the-ADMIRALTY-Chart-Series</t>
        </is>
      </c>
      <c r="M145" s="66" t="inlineStr">
        <is>
          <t>Notice 17; scheme label: Approaches to Puerto Callao</t>
        </is>
      </c>
      <c r="N145" s="66" t="inlineStr">
        <is>
          <t>UKHO-labelled document on third-party host; edition and currency unverified.</t>
        </is>
      </c>
      <c r="O145" s="66" t="inlineStr">
        <is>
          <t>SRC-054; SRC-125; SRC-126</t>
        </is>
      </c>
      <c r="P145" s="67" t="inlineStr">
        <is>
          <t>https://www.transportstyrelsen.se/globalassets/global/sjofart/dokument/sjotrafik_dok/imo_colreg.2_cirkular.pdf?id=58526
https://busquedas.elperuano.pe/dispositivo/NL/2458852-1
https://nippon.zaidan.info/seikabutsu/1999/00484/contents/225.htm</t>
        </is>
      </c>
      <c r="Q145" s="66" t="inlineStr">
        <is>
          <t>B28</t>
        </is>
      </c>
      <c r="R145" s="66" t="inlineStr">
        <is>
          <t>Association proposed</t>
        </is>
      </c>
      <c r="S145" s="66" t="inlineStr">
        <is>
          <t>2026-09-29</t>
        </is>
      </c>
    </row>
    <row r="146" ht="60" customHeight="1" s="63">
      <c r="A146" s="66" t="inlineStr">
        <is>
          <t>TSS-0140</t>
        </is>
      </c>
      <c r="B146" s="66" t="inlineStr">
        <is>
          <t>Central and South America Pacific coast</t>
        </is>
      </c>
      <c r="C146" s="66" t="inlineStr">
        <is>
          <t>In the Approaches to Puerto Pisco</t>
        </is>
      </c>
      <c r="D146" s="66" t="inlineStr">
        <is>
          <t>Source entry; single scheme on first-pass evidence</t>
        </is>
      </c>
      <c r="E146" s="66" t="inlineStr">
        <is>
          <t>TSS identity provisional (first pass); operational status: In force. Official baseline reconciliation pending.</t>
        </is>
      </c>
      <c r="F146" s="66" t="inlineStr">
        <is>
          <t>Unresolved</t>
        </is>
      </c>
      <c r="G146" s="66" t="inlineStr">
        <is>
          <t>Unresolved</t>
        </is>
      </c>
      <c r="H146" s="66" t="n"/>
      <c r="I146" s="66" t="n"/>
      <c r="J146" s="66" t="inlineStr">
        <is>
          <t>Official name found: In the approaches to Puerto Pisco. Adopted as 'Landfall and approaches to Puerto San Martin' (COLREG.2/Circ.48, 1 June 2000, implemented 1 December 2000); amended and renamed 'In the approaches to Puerto Pisco' by COLREG.2/Circ.55 (15 December 2004), implemented 1 July 2005; two parts. Adopted by IMO MSC; implementation date as stated. Current status after later circulars (post COLREG.2/Circ.69) not checked in GISIS; treated as provisional pending a current Peruvian (HIDRONAV/DICAPI) or IMO Ships' Routeing check.</t>
        </is>
      </c>
      <c r="K146" s="66" t="inlineStr">
        <is>
          <t>SRC-001</t>
        </is>
      </c>
      <c r="L146" s="67" t="inlineStr">
        <is>
          <t>https://www.scribd.com/document/1014775753/1-1-IMO-Adopted-Traffic-Separation-Schemes-on-the-ADMIRALTY-Chart-Series</t>
        </is>
      </c>
      <c r="M146" s="66" t="inlineStr">
        <is>
          <t>Notice 17; scheme label: In the Approaches to Puerto Pisco</t>
        </is>
      </c>
      <c r="N146" s="66" t="inlineStr">
        <is>
          <t>UKHO-labelled document on third-party host; edition and currency unverified.</t>
        </is>
      </c>
      <c r="O146" s="66" t="inlineStr">
        <is>
          <t>SRC-054</t>
        </is>
      </c>
      <c r="P146" s="67" t="inlineStr">
        <is>
          <t>https://www.transportstyrelsen.se/globalassets/global/sjofart/dokument/sjotrafik_dok/imo_colreg.2_cirkular.pdf?id=58526</t>
        </is>
      </c>
      <c r="Q146" s="66" t="inlineStr">
        <is>
          <t>B28</t>
        </is>
      </c>
      <c r="R146" s="66" t="inlineStr">
        <is>
          <t>Researched; unresolved</t>
        </is>
      </c>
      <c r="S146" s="66" t="inlineStr">
        <is>
          <t>2026-09-29</t>
        </is>
      </c>
    </row>
    <row r="147" ht="60" customHeight="1" s="63">
      <c r="A147" s="66" t="inlineStr">
        <is>
          <t>TSS-0141</t>
        </is>
      </c>
      <c r="B147" s="66" t="inlineStr">
        <is>
          <t>Central and South America Pacific coast</t>
        </is>
      </c>
      <c r="C147" s="66" t="inlineStr">
        <is>
          <t>Landfall and Approaches to San Nicolás Bay</t>
        </is>
      </c>
      <c r="D147" s="66" t="inlineStr">
        <is>
          <t>Source entry; single scheme on first-pass evidence</t>
        </is>
      </c>
      <c r="E147" s="66" t="inlineStr">
        <is>
          <t>TSS identity provisional (first pass); operational status: In force. Official baseline reconciliation pending.</t>
        </is>
      </c>
      <c r="F147" s="66" t="inlineStr">
        <is>
          <t>Unresolved</t>
        </is>
      </c>
      <c r="G147" s="66" t="inlineStr">
        <is>
          <t>Unresolved</t>
        </is>
      </c>
      <c r="H147" s="66" t="n"/>
      <c r="I147" s="66" t="n"/>
      <c r="J147" s="66" t="inlineStr">
        <is>
          <t>Official name found: Landfall and approaches to San Nicolas Bay. New scheme adopted by MSC 73, COLREG.2/Circ.49 (19 January 2001), implemented 1 June 2001. Adopted by IMO MSC; implementation date as stated. Current status after later circulars (post COLREG.2/Circ.69) not checked in GISIS; treated as provisional pending a current Peruvian (HIDRONAV/DICAPI) or IMO Ships' Routeing check.</t>
        </is>
      </c>
      <c r="K147" s="66" t="inlineStr">
        <is>
          <t>SRC-001</t>
        </is>
      </c>
      <c r="L147" s="67" t="inlineStr">
        <is>
          <t>https://www.scribd.com/document/1014775753/1-1-IMO-Adopted-Traffic-Separation-Schemes-on-the-ADMIRALTY-Chart-Series</t>
        </is>
      </c>
      <c r="M147" s="66" t="inlineStr">
        <is>
          <t>Notice 17; scheme label: Landfall and Approaches to San Nicolás Bay</t>
        </is>
      </c>
      <c r="N147" s="66" t="inlineStr">
        <is>
          <t>UKHO-labelled document on third-party host; edition and currency unverified.</t>
        </is>
      </c>
      <c r="O147" s="66" t="inlineStr">
        <is>
          <t>SRC-120; SRC-054</t>
        </is>
      </c>
      <c r="P147" s="67" t="inlineStr">
        <is>
          <t>https://cimrc.shmtu.edu.cn/_upload/article/files/63/dc/35c66be74d12873254dc88a2ef00/4e997831-d3e8-440e-962a-5d1aaac44e37.pdf
https://www.transportstyrelsen.se/globalassets/global/sjofart/dokument/sjotrafik_dok/imo_colreg.2_cirkular.pdf?id=58526</t>
        </is>
      </c>
      <c r="Q147" s="66" t="inlineStr">
        <is>
          <t>B29</t>
        </is>
      </c>
      <c r="R147" s="66" t="inlineStr">
        <is>
          <t>Researched; unresolved</t>
        </is>
      </c>
      <c r="S147" s="66" t="inlineStr">
        <is>
          <t>2026-09-29</t>
        </is>
      </c>
    </row>
    <row r="148" ht="60" customHeight="1" s="63">
      <c r="A148" s="66" t="inlineStr">
        <is>
          <t>TSS-0142</t>
        </is>
      </c>
      <c r="B148" s="66" t="inlineStr">
        <is>
          <t>Central and South America Pacific coast</t>
        </is>
      </c>
      <c r="C148" s="66" t="inlineStr">
        <is>
          <t>Landfall and Approaches to Puerto Ilo</t>
        </is>
      </c>
      <c r="D148" s="66" t="inlineStr">
        <is>
          <t>Source entry; single scheme on first-pass evidence</t>
        </is>
      </c>
      <c r="E148" s="66" t="inlineStr">
        <is>
          <t>TSS identity provisional (first pass); operational status: In force. Official baseline reconciliation pending.</t>
        </is>
      </c>
      <c r="F148" s="66" t="inlineStr">
        <is>
          <t>Unresolved</t>
        </is>
      </c>
      <c r="G148" s="66" t="inlineStr">
        <is>
          <t>Unresolved</t>
        </is>
      </c>
      <c r="H148" s="66" t="n"/>
      <c r="I148" s="66" t="n"/>
      <c r="J148" s="66" t="inlineStr">
        <is>
          <t>Official name found: Landfall and approaches to Puerto Ilo. New scheme adopted by MSC 72, COLREG.2/Circ.48 (1 June 2000), implemented 1 December 2000. Adopted by IMO MSC; implementation date as stated. Current status after later circulars (post COLREG.2/Circ.69) not checked in GISIS; treated as provisional pending a current Peruvian (HIDRONAV/DICAPI) or IMO Ships' Routeing check.</t>
        </is>
      </c>
      <c r="K148" s="66" t="inlineStr">
        <is>
          <t>SRC-001</t>
        </is>
      </c>
      <c r="L148" s="67" t="inlineStr">
        <is>
          <t>https://www.scribd.com/document/1014775753/1-1-IMO-Adopted-Traffic-Separation-Schemes-on-the-ADMIRALTY-Chart-Series</t>
        </is>
      </c>
      <c r="M148" s="66" t="inlineStr">
        <is>
          <t>Notice 17; scheme label: Landfall and Approaches to Puerto Ilo</t>
        </is>
      </c>
      <c r="N148" s="66" t="inlineStr">
        <is>
          <t>UKHO-labelled document on third-party host; edition and currency unverified.</t>
        </is>
      </c>
      <c r="O148" s="66" t="inlineStr">
        <is>
          <t>SRC-054</t>
        </is>
      </c>
      <c r="P148" s="67" t="inlineStr">
        <is>
          <t>https://www.transportstyrelsen.se/globalassets/global/sjofart/dokument/sjotrafik_dok/imo_colreg.2_cirkular.pdf?id=58526</t>
        </is>
      </c>
      <c r="Q148" s="66" t="inlineStr">
        <is>
          <t>B29</t>
        </is>
      </c>
      <c r="R148" s="66" t="inlineStr">
        <is>
          <t>Researched; unresolved</t>
        </is>
      </c>
      <c r="S148" s="66" t="inlineStr">
        <is>
          <t>2026-09-29</t>
        </is>
      </c>
    </row>
    <row r="149" ht="60" customHeight="1" s="63">
      <c r="A149" s="66" t="inlineStr">
        <is>
          <t>TSS-0143</t>
        </is>
      </c>
      <c r="B149" s="66" t="inlineStr">
        <is>
          <t>Central and South America Pacific coast</t>
        </is>
      </c>
      <c r="C149" s="66" t="inlineStr">
        <is>
          <t>In the Approaches to Arica</t>
        </is>
      </c>
      <c r="D149" s="66" t="inlineStr">
        <is>
          <t>Source entry; single scheme on first-pass evidence</t>
        </is>
      </c>
      <c r="E149" s="66" t="inlineStr">
        <is>
          <t>TSS identity provisional (first pass); operational status: In force. Official baseline reconciliation pending.</t>
        </is>
      </c>
      <c r="F149" s="66" t="inlineStr">
        <is>
          <t>Unresolved</t>
        </is>
      </c>
      <c r="G149" s="66" t="inlineStr">
        <is>
          <t>Unresolved (lead: SRS-024)</t>
        </is>
      </c>
      <c r="H149" s="66" t="n"/>
      <c r="I149" s="66" t="n"/>
      <c r="J149" s="66" t="inlineStr">
        <is>
          <t>Official name found: In the approaches to Arica. New scheme adopted by MSC 55, COLREG.2/Circ.32 (16 May 1988), implemented 15 October 1988. Current status not checked in GISIS or SHOA publications; treated as provisional.</t>
        </is>
      </c>
      <c r="K149" s="66" t="inlineStr">
        <is>
          <t>SRC-001</t>
        </is>
      </c>
      <c r="L149" s="67" t="inlineStr">
        <is>
          <t>https://www.scribd.com/document/1014775753/1-1-IMO-Adopted-Traffic-Separation-Schemes-on-the-ADMIRALTY-Chart-Series</t>
        </is>
      </c>
      <c r="M149" s="66" t="inlineStr">
        <is>
          <t>Notice 17; scheme label: In the Approaches to Arica</t>
        </is>
      </c>
      <c r="N149" s="66" t="inlineStr">
        <is>
          <t>UKHO-labelled document on third-party host; edition and currency unverified.</t>
        </is>
      </c>
      <c r="O149" s="66" t="inlineStr">
        <is>
          <t>SRC-054; SRC-121</t>
        </is>
      </c>
      <c r="P149" s="67" t="inlineStr">
        <is>
          <t>https://www.transportstyrelsen.se/globalassets/global/sjofart/dokument/sjotrafik_dok/imo_colreg.2_cirkular.pdf?id=58526
https://www.directemar.cl/directemar/site/docs/20200515/20200515201601/chilrep_v2_espa__ol.pdf</t>
        </is>
      </c>
      <c r="Q149" s="66" t="inlineStr">
        <is>
          <t>B29</t>
        </is>
      </c>
      <c r="R149" s="66" t="inlineStr">
        <is>
          <t>Association proposed</t>
        </is>
      </c>
      <c r="S149" s="66" t="inlineStr">
        <is>
          <t>2026-09-29</t>
        </is>
      </c>
    </row>
    <row r="150" ht="60" customHeight="1" s="63">
      <c r="A150" s="66" t="inlineStr">
        <is>
          <t>TSS-0144</t>
        </is>
      </c>
      <c r="B150" s="66" t="inlineStr">
        <is>
          <t>Central and South America Pacific coast</t>
        </is>
      </c>
      <c r="C150" s="66" t="inlineStr">
        <is>
          <t>In the Approaches to Iquique</t>
        </is>
      </c>
      <c r="D150" s="66" t="inlineStr">
        <is>
          <t>Source entry; single scheme on first-pass evidence</t>
        </is>
      </c>
      <c r="E150" s="66" t="inlineStr">
        <is>
          <t>TSS identity provisional (first pass); operational status: In force. Official baseline reconciliation pending.</t>
        </is>
      </c>
      <c r="F150" s="66" t="inlineStr">
        <is>
          <t>Unresolved</t>
        </is>
      </c>
      <c r="G150" s="66" t="inlineStr">
        <is>
          <t>Unresolved (lead: SRS-024)</t>
        </is>
      </c>
      <c r="H150" s="66" t="n"/>
      <c r="I150" s="66" t="n"/>
      <c r="J150" s="66" t="inlineStr">
        <is>
          <t>Official name found: In the approaches to Iquique. New scheme adopted by MSC 55 (COLREG.2/Circ.32, 1988, implemented 15 October 1988); amended by MSC 72 (COLREG.2/Circ.48, 1 June 2000, implemented 1 December 2000). Current status not checked in GISIS or SHOA publications; treated as provisional.</t>
        </is>
      </c>
      <c r="K150" s="66" t="inlineStr">
        <is>
          <t>SRC-001</t>
        </is>
      </c>
      <c r="L150" s="67" t="inlineStr">
        <is>
          <t>https://www.scribd.com/document/1014775753/1-1-IMO-Adopted-Traffic-Separation-Schemes-on-the-ADMIRALTY-Chart-Series</t>
        </is>
      </c>
      <c r="M150" s="66" t="inlineStr">
        <is>
          <t>Notice 17; scheme label: In the Approaches to Iquique</t>
        </is>
      </c>
      <c r="N150" s="66" t="inlineStr">
        <is>
          <t>UKHO-labelled document on third-party host; edition and currency unverified.</t>
        </is>
      </c>
      <c r="O150" s="66" t="inlineStr">
        <is>
          <t>SRC-054; SRC-121</t>
        </is>
      </c>
      <c r="P150" s="67" t="inlineStr">
        <is>
          <t>https://www.transportstyrelsen.se/globalassets/global/sjofart/dokument/sjotrafik_dok/imo_colreg.2_cirkular.pdf?id=58526
https://www.directemar.cl/directemar/site/docs/20200515/20200515201601/chilrep_v2_espa__ol.pdf</t>
        </is>
      </c>
      <c r="Q150" s="66" t="inlineStr">
        <is>
          <t>B29</t>
        </is>
      </c>
      <c r="R150" s="66" t="inlineStr">
        <is>
          <t>Association proposed</t>
        </is>
      </c>
      <c r="S150" s="66" t="inlineStr">
        <is>
          <t>2026-09-29</t>
        </is>
      </c>
    </row>
    <row r="151" ht="60" customHeight="1" s="63">
      <c r="A151" s="66" t="inlineStr">
        <is>
          <t>TSS-0145</t>
        </is>
      </c>
      <c r="B151" s="66" t="inlineStr">
        <is>
          <t>Central and South America Pacific coast</t>
        </is>
      </c>
      <c r="C151" s="66" t="inlineStr">
        <is>
          <t>In the Approaches to Antofagasta</t>
        </is>
      </c>
      <c r="D151" s="66" t="inlineStr">
        <is>
          <t>Source entry; single scheme on first-pass evidence</t>
        </is>
      </c>
      <c r="E151" s="66" t="inlineStr">
        <is>
          <t>TSS identity provisional (first pass); operational status: In force. Official baseline reconciliation pending.</t>
        </is>
      </c>
      <c r="F151" s="66" t="inlineStr">
        <is>
          <t>Unresolved</t>
        </is>
      </c>
      <c r="G151" s="66" t="inlineStr">
        <is>
          <t>Unresolved (lead: SRS-024)</t>
        </is>
      </c>
      <c r="H151" s="66" t="n"/>
      <c r="I151" s="66" t="n"/>
      <c r="J151" s="66" t="inlineStr">
        <is>
          <t>Official name found: In the approaches to Antofagasta. Listed among schemes implemented 15 May 1978 (COLREG.2/Circ.5, 6 March 1978, OCR copy); amended by MSC 55 (COLREG.2/Circ.32, implemented 15 October 1988). Current status not checked in GISIS or SHOA publications; treated as provisional.</t>
        </is>
      </c>
      <c r="K151" s="66" t="inlineStr">
        <is>
          <t>SRC-001</t>
        </is>
      </c>
      <c r="L151" s="67" t="inlineStr">
        <is>
          <t>https://www.scribd.com/document/1014775753/1-1-IMO-Adopted-Traffic-Separation-Schemes-on-the-ADMIRALTY-Chart-Series</t>
        </is>
      </c>
      <c r="M151" s="66" t="inlineStr">
        <is>
          <t>Notice 17; scheme label: In the Approaches to Antofagasta</t>
        </is>
      </c>
      <c r="N151" s="66" t="inlineStr">
        <is>
          <t>UKHO-labelled document on third-party host; edition and currency unverified.</t>
        </is>
      </c>
      <c r="O151" s="66" t="inlineStr">
        <is>
          <t>SRC-054; SRC-121</t>
        </is>
      </c>
      <c r="P151" s="67" t="inlineStr">
        <is>
          <t>https://www.transportstyrelsen.se/globalassets/global/sjofart/dokument/sjotrafik_dok/imo_colreg.2_cirkular.pdf?id=58526
https://www.directemar.cl/directemar/site/docs/20200515/20200515201601/chilrep_v2_espa__ol.pdf</t>
        </is>
      </c>
      <c r="Q151" s="66" t="inlineStr">
        <is>
          <t>B29</t>
        </is>
      </c>
      <c r="R151" s="66" t="inlineStr">
        <is>
          <t>Association proposed</t>
        </is>
      </c>
      <c r="S151" s="66" t="inlineStr">
        <is>
          <t>2026-09-29</t>
        </is>
      </c>
    </row>
    <row r="152" ht="60" customHeight="1" s="63">
      <c r="A152" s="66" t="inlineStr">
        <is>
          <t>TSS-0146</t>
        </is>
      </c>
      <c r="B152" s="66" t="inlineStr">
        <is>
          <t>Central and South America Pacific coast</t>
        </is>
      </c>
      <c r="C152" s="66" t="inlineStr">
        <is>
          <t>In the Approaches to Quintero Bay</t>
        </is>
      </c>
      <c r="D152" s="66" t="inlineStr">
        <is>
          <t>Source entry; single scheme on first-pass evidence</t>
        </is>
      </c>
      <c r="E152" s="66" t="inlineStr">
        <is>
          <t>TSS identity provisional (first pass); operational status: In force. Official baseline reconciliation pending.</t>
        </is>
      </c>
      <c r="F152" s="66" t="inlineStr">
        <is>
          <t>Unresolved</t>
        </is>
      </c>
      <c r="G152" s="66" t="inlineStr">
        <is>
          <t>Unresolved (lead: SRS-024)</t>
        </is>
      </c>
      <c r="H152" s="66" t="n"/>
      <c r="I152" s="66" t="n"/>
      <c r="J152" s="66" t="inlineStr">
        <is>
          <t>Official name found: In the approaches to Quintero Bay. Implemented 15 May 1978 (COLREG.2/Circ.5, OCR copy); amended by MSC 55 (COLREG.2/Circ.32, implemented 15 October 1988). Current status not checked in GISIS or SHOA publications; treated as provisional.</t>
        </is>
      </c>
      <c r="K152" s="66" t="inlineStr">
        <is>
          <t>SRC-001</t>
        </is>
      </c>
      <c r="L152" s="67" t="inlineStr">
        <is>
          <t>https://www.scribd.com/document/1014775753/1-1-IMO-Adopted-Traffic-Separation-Schemes-on-the-ADMIRALTY-Chart-Series</t>
        </is>
      </c>
      <c r="M152" s="66" t="inlineStr">
        <is>
          <t>Notice 17; scheme label: In the Approaches to Quintero Bay</t>
        </is>
      </c>
      <c r="N152" s="66" t="inlineStr">
        <is>
          <t>UKHO-labelled document on third-party host; edition and currency unverified.</t>
        </is>
      </c>
      <c r="O152" s="66" t="inlineStr">
        <is>
          <t>SRC-054; SRC-121</t>
        </is>
      </c>
      <c r="P152" s="67" t="inlineStr">
        <is>
          <t>https://www.transportstyrelsen.se/globalassets/global/sjofart/dokument/sjotrafik_dok/imo_colreg.2_cirkular.pdf?id=58526
https://www.directemar.cl/directemar/site/docs/20200515/20200515201601/chilrep_v2_espa__ol.pdf</t>
        </is>
      </c>
      <c r="Q152" s="66" t="inlineStr">
        <is>
          <t>B30</t>
        </is>
      </c>
      <c r="R152" s="66" t="inlineStr">
        <is>
          <t>Association proposed</t>
        </is>
      </c>
      <c r="S152" s="66" t="inlineStr">
        <is>
          <t>2026-09-29</t>
        </is>
      </c>
    </row>
    <row r="153" ht="60" customHeight="1" s="63">
      <c r="A153" s="66" t="inlineStr">
        <is>
          <t>TSS-0147</t>
        </is>
      </c>
      <c r="B153" s="66" t="inlineStr">
        <is>
          <t>Central and South America Pacific coast</t>
        </is>
      </c>
      <c r="C153" s="66" t="inlineStr">
        <is>
          <t>In the Approaches to Valparaíso</t>
        </is>
      </c>
      <c r="D153" s="66" t="inlineStr">
        <is>
          <t>Source entry; single scheme on first-pass evidence</t>
        </is>
      </c>
      <c r="E153" s="66" t="inlineStr">
        <is>
          <t>TSS identity provisional (first pass); operational status: In force. Official baseline reconciliation pending.</t>
        </is>
      </c>
      <c r="F153" s="66" t="inlineStr">
        <is>
          <t>Unresolved (lead: VTS-051)</t>
        </is>
      </c>
      <c r="G153" s="66" t="inlineStr">
        <is>
          <t>Unresolved (lead: SRS-024)</t>
        </is>
      </c>
      <c r="H153" s="66" t="n"/>
      <c r="I153" s="66" t="n"/>
      <c r="J153" s="66" t="inlineStr">
        <is>
          <t>Official name found: In the approaches to Valparaiso. Implemented 15 May 1978 (COLREG.2/Circ.5, OCR copy); amended by MSC 55 (COLREG.2/Circ.32, implemented 15 October 1988). Current status not checked in GISIS or SHOA publications; treated as provisional.</t>
        </is>
      </c>
      <c r="K153" s="66" t="inlineStr">
        <is>
          <t>SRC-001</t>
        </is>
      </c>
      <c r="L153" s="67" t="inlineStr">
        <is>
          <t>https://www.scribd.com/document/1014775753/1-1-IMO-Adopted-Traffic-Separation-Schemes-on-the-ADMIRALTY-Chart-Series</t>
        </is>
      </c>
      <c r="M153" s="66" t="inlineStr">
        <is>
          <t>Notice 17; scheme label: In the Approaches to Valparaíso</t>
        </is>
      </c>
      <c r="N153" s="66" t="inlineStr">
        <is>
          <t>UKHO-labelled document on third-party host; edition and currency unverified.</t>
        </is>
      </c>
      <c r="O153" s="66" t="inlineStr">
        <is>
          <t>SRC-054; SRC-121; SRC-122</t>
        </is>
      </c>
      <c r="P153" s="67" t="inlineStr">
        <is>
          <t>https://www.transportstyrelsen.se/globalassets/global/sjofart/dokument/sjotrafik_dok/imo_colreg.2_cirkular.pdf?id=58526
https://www.directemar.cl/directemar/site/docs/20200515/20200515201601/chilrep_v2_espa__ol.pdf
https://vlex.cl/vid/resolucion-n-12-000-927122110</t>
        </is>
      </c>
      <c r="Q153" s="66" t="inlineStr">
        <is>
          <t>B30</t>
        </is>
      </c>
      <c r="R153" s="66" t="inlineStr">
        <is>
          <t>Association proposed</t>
        </is>
      </c>
      <c r="S153" s="66" t="inlineStr">
        <is>
          <t>2026-09-29</t>
        </is>
      </c>
    </row>
    <row r="154" ht="60" customHeight="1" s="63">
      <c r="A154" s="66" t="inlineStr">
        <is>
          <t>TSS-0148</t>
        </is>
      </c>
      <c r="B154" s="66" t="inlineStr">
        <is>
          <t>Central and South America Pacific coast</t>
        </is>
      </c>
      <c r="C154" s="66" t="inlineStr">
        <is>
          <t>In the Approaches to Concepción Bay (Bahía Concepción)</t>
        </is>
      </c>
      <c r="D154" s="66" t="inlineStr">
        <is>
          <t>Source entry; single scheme on first-pass evidence</t>
        </is>
      </c>
      <c r="E154" s="66" t="inlineStr">
        <is>
          <t>TSS identity provisional (first pass); operational status: In force. Official baseline reconciliation pending.</t>
        </is>
      </c>
      <c r="F154" s="66" t="inlineStr">
        <is>
          <t>Unresolved</t>
        </is>
      </c>
      <c r="G154" s="66" t="inlineStr">
        <is>
          <t>Unresolved (lead: SRS-024)</t>
        </is>
      </c>
      <c r="H154" s="66" t="n"/>
      <c r="I154" s="66" t="n"/>
      <c r="J154" s="66" t="inlineStr">
        <is>
          <t>Official name found: In the approaches to Concepcion Bay. Implemented 15 May 1978 (COLREG.2/Circ.5, OCR copy); amended by MSC 55 (COLREG.2/Circ.32, implemented 15 October 1988). Current status not checked in GISIS or SHOA publications; treated as provisional.</t>
        </is>
      </c>
      <c r="K154" s="66" t="inlineStr">
        <is>
          <t>SRC-001</t>
        </is>
      </c>
      <c r="L154" s="67" t="inlineStr">
        <is>
          <t>https://www.scribd.com/document/1014775753/1-1-IMO-Adopted-Traffic-Separation-Schemes-on-the-ADMIRALTY-Chart-Series</t>
        </is>
      </c>
      <c r="M154" s="66" t="inlineStr">
        <is>
          <t>Notice 17; scheme label: In the Approaches to Concepción Bay (Bahía Concepción)</t>
        </is>
      </c>
      <c r="N154" s="66" t="inlineStr">
        <is>
          <t>UKHO-labelled document on third-party host; edition and currency unverified.</t>
        </is>
      </c>
      <c r="O154" s="66" t="inlineStr">
        <is>
          <t>SRC-054; SRC-121</t>
        </is>
      </c>
      <c r="P154" s="67" t="inlineStr">
        <is>
          <t>https://www.transportstyrelsen.se/globalassets/global/sjofart/dokument/sjotrafik_dok/imo_colreg.2_cirkular.pdf?id=58526
https://www.directemar.cl/directemar/site/docs/20200515/20200515201601/chilrep_v2_espa__ol.pdf</t>
        </is>
      </c>
      <c r="Q154" s="66" t="inlineStr">
        <is>
          <t>B30</t>
        </is>
      </c>
      <c r="R154" s="66" t="inlineStr">
        <is>
          <t>Association proposed</t>
        </is>
      </c>
      <c r="S154" s="66" t="inlineStr">
        <is>
          <t>2026-09-29</t>
        </is>
      </c>
    </row>
    <row r="155" ht="60" customHeight="1" s="63">
      <c r="A155" s="66" t="inlineStr">
        <is>
          <t>TSS-0149</t>
        </is>
      </c>
      <c r="B155" s="66" t="inlineStr">
        <is>
          <t>Central and South America Pacific coast</t>
        </is>
      </c>
      <c r="C155" s="66" t="inlineStr">
        <is>
          <t>In the Approaches to San Vicente Bay (Bahía San Vicente)</t>
        </is>
      </c>
      <c r="D155" s="66" t="inlineStr">
        <is>
          <t>Source entry; single scheme on first-pass evidence</t>
        </is>
      </c>
      <c r="E155" s="66" t="inlineStr">
        <is>
          <t>TSS identity provisional (first pass); operational status: In force. Official baseline reconciliation pending.</t>
        </is>
      </c>
      <c r="F155" s="66" t="inlineStr">
        <is>
          <t>Unresolved</t>
        </is>
      </c>
      <c r="G155" s="66" t="inlineStr">
        <is>
          <t>Unresolved (lead: SRS-024)</t>
        </is>
      </c>
      <c r="H155" s="66" t="n"/>
      <c r="I155" s="66" t="n"/>
      <c r="J155" s="66" t="inlineStr">
        <is>
          <t>Official name found: In the approaches to San Vicente Bay. Implemented 15 May 1978 (COLREG.2/Circ.5, OCR copy); amended by MSC 55 (COLREG.2/Circ.32, implemented 15 October 1988). Current status not checked in GISIS or SHOA publications; treated as provisional.</t>
        </is>
      </c>
      <c r="K155" s="66" t="inlineStr">
        <is>
          <t>SRC-001</t>
        </is>
      </c>
      <c r="L155" s="67" t="inlineStr">
        <is>
          <t>https://www.scribd.com/document/1014775753/1-1-IMO-Adopted-Traffic-Separation-Schemes-on-the-ADMIRALTY-Chart-Series</t>
        </is>
      </c>
      <c r="M155" s="66" t="inlineStr">
        <is>
          <t>Notice 17; scheme label: In the Approaches to San Vicente Bay (Bahía San Vicente)</t>
        </is>
      </c>
      <c r="N155" s="66" t="inlineStr">
        <is>
          <t>UKHO-labelled document on third-party host; edition and currency unverified.</t>
        </is>
      </c>
      <c r="O155" s="66" t="inlineStr">
        <is>
          <t>SRC-054; SRC-121; SRC-124</t>
        </is>
      </c>
      <c r="P155" s="67" t="inlineStr">
        <is>
          <t>https://www.transportstyrelsen.se/globalassets/global/sjofart/dokument/sjotrafik_dok/imo_colreg.2_cirkular.pdf?id=58526
https://www.directemar.cl/directemar/site/docs/20200515/20200515201601/chilrep_v2_espa__ol.pdf
https://www.directemar.cl/directemar/site/docs/20200825/20200825090936/09__12600_94_240820_san_vicente.pdf</t>
        </is>
      </c>
      <c r="Q155" s="66" t="inlineStr">
        <is>
          <t>B30</t>
        </is>
      </c>
      <c r="R155" s="66" t="inlineStr">
        <is>
          <t>Association proposed</t>
        </is>
      </c>
      <c r="S155" s="66" t="inlineStr">
        <is>
          <t>2026-09-29</t>
        </is>
      </c>
    </row>
    <row r="156" ht="60" customHeight="1" s="63">
      <c r="A156" s="66" t="inlineStr">
        <is>
          <t>TSS-0150</t>
        </is>
      </c>
      <c r="B156" s="66" t="inlineStr">
        <is>
          <t>Central and South America Pacific coast</t>
        </is>
      </c>
      <c r="C156" s="66" t="inlineStr">
        <is>
          <t>In the Approaches to Puntas Arenas</t>
        </is>
      </c>
      <c r="D156" s="66" t="inlineStr">
        <is>
          <t>Source entry; single scheme on first-pass evidence</t>
        </is>
      </c>
      <c r="E156" s="66" t="inlineStr">
        <is>
          <t>TSS identity provisional (first pass); operational status: In force. Official baseline reconciliation pending.</t>
        </is>
      </c>
      <c r="F156" s="66" t="inlineStr">
        <is>
          <t>Unresolved</t>
        </is>
      </c>
      <c r="G156" s="66" t="inlineStr">
        <is>
          <t>Unresolved (lead: SRS-024)</t>
        </is>
      </c>
      <c r="H156" s="66" t="n"/>
      <c r="I156" s="66" t="n"/>
      <c r="J156" s="66" t="inlineStr">
        <is>
          <t>Check official spelling and scheme identity. Source wording retained. Official name found: In the approaches to Punta Arenas. Official spelling 'Punta Arenas' (source label 'Puntas Arenas' is an error). New scheme adopted by MSC 55 (COLREG.2/Circ.32, implemented 15 October 1988); amended and moved east by MSC 72 (COLREG.2/Circ.48, 1 June 2000, implemented 1 December 2000): two lanes (entry 296°, exit 129°) and one separation zone. Current status not checked in GISIS or SHOA publications; treated as provisional.</t>
        </is>
      </c>
      <c r="K156" s="66" t="inlineStr">
        <is>
          <t>SRC-001</t>
        </is>
      </c>
      <c r="L156" s="67" t="inlineStr">
        <is>
          <t>https://www.scribd.com/document/1014775753/1-1-IMO-Adopted-Traffic-Separation-Schemes-on-the-ADMIRALTY-Chart-Series</t>
        </is>
      </c>
      <c r="M156" s="66" t="inlineStr">
        <is>
          <t>Notice 17; scheme label: In the Approaches to Puntas Arenas</t>
        </is>
      </c>
      <c r="N156" s="66" t="inlineStr">
        <is>
          <t>UKHO-labelled document on third-party host; edition and currency unverified.</t>
        </is>
      </c>
      <c r="O156" s="66" t="inlineStr">
        <is>
          <t>SRC-054; SRC-121</t>
        </is>
      </c>
      <c r="P156" s="67" t="inlineStr">
        <is>
          <t>https://www.transportstyrelsen.se/globalassets/global/sjofart/dokument/sjotrafik_dok/imo_colreg.2_cirkular.pdf?id=58526
https://www.directemar.cl/directemar/site/docs/20200515/20200515201601/chilrep_v2_espa__ol.pdf</t>
        </is>
      </c>
      <c r="Q156" s="66" t="inlineStr">
        <is>
          <t>B30</t>
        </is>
      </c>
      <c r="R156" s="66" t="inlineStr">
        <is>
          <t>Association proposed</t>
        </is>
      </c>
      <c r="S156" s="66" t="inlineStr">
        <is>
          <t>2026-09-29</t>
        </is>
      </c>
    </row>
    <row r="157" ht="60" customHeight="1" s="63">
      <c r="A157" s="66" t="inlineStr">
        <is>
          <t>TSS-0151</t>
        </is>
      </c>
      <c r="B157" s="66" t="inlineStr">
        <is>
          <t>Caribbean, Gulf of Mexico and Panama</t>
        </is>
      </c>
      <c r="C157" s="66" t="inlineStr">
        <is>
          <t>At the approaches to Puerto Cristobal</t>
        </is>
      </c>
      <c r="D157" s="66" t="inlineStr">
        <is>
          <t>Source entry; single scheme on first-pass evidence</t>
        </is>
      </c>
      <c r="E157" s="66" t="inlineStr">
        <is>
          <t>TSS identity confirmed (first pass); operational status: In force. Official baseline reconciliation pending.</t>
        </is>
      </c>
      <c r="F157" s="66" t="inlineStr">
        <is>
          <t>Unresolved (lead: VTS-054)</t>
        </is>
      </c>
      <c r="G157" s="66" t="inlineStr">
        <is>
          <t>Unresolved</t>
        </is>
      </c>
      <c r="H157" s="66" t="n"/>
      <c r="I157" s="66" t="n"/>
      <c r="J157" s="66" t="inlineStr">
        <is>
          <t>New TSS adopted MSC 93 (May 2014) per COLREG.2/Circ.65 (23 May 2014), implemented 0000 UTC 1 December 2014. Annex 2 comprises separation lines, three separation zones, entry and exit lanes and two inshore traffic zones (ref. chart BA 1400).</t>
        </is>
      </c>
      <c r="K157" s="66" t="inlineStr">
        <is>
          <t>SRC-001</t>
        </is>
      </c>
      <c r="L157" s="67" t="inlineStr">
        <is>
          <t>https://www.scribd.com/document/1014775753/1-1-IMO-Adopted-Traffic-Separation-Schemes-on-the-ADMIRALTY-Chart-Series</t>
        </is>
      </c>
      <c r="M157" s="66" t="inlineStr">
        <is>
          <t>Notice 17; scheme label: At the approaches to Puerto Cristobal</t>
        </is>
      </c>
      <c r="N157" s="66" t="inlineStr">
        <is>
          <t>UKHO-labelled document on third-party host; edition and currency unverified.</t>
        </is>
      </c>
      <c r="O157" s="66" t="inlineStr">
        <is>
          <t>SRC-132; SRC-134; SRC-135</t>
        </is>
      </c>
      <c r="P157" s="67" t="inlineStr">
        <is>
          <t>https://www.panamashipregistry.com/wp-content/uploads/2019/08/COLREG-2-Circ-65.pdf
https://pancanal.com/wp-content/uploads/2021/08/N02-2026-Harbor-Operations_BMV.pdf
https://pancanal.com/wp-content/uploads/2021/08/N01-2025-Vessel-Requirements.pdf</t>
        </is>
      </c>
      <c r="Q157" s="66" t="inlineStr">
        <is>
          <t>B31</t>
        </is>
      </c>
      <c r="R157" s="66" t="inlineStr">
        <is>
          <t>Association proposed</t>
        </is>
      </c>
      <c r="S157" s="66" t="inlineStr">
        <is>
          <t>2026-09-29</t>
        </is>
      </c>
    </row>
    <row r="158" ht="60" customHeight="1" s="63">
      <c r="A158" s="66" t="inlineStr">
        <is>
          <t>TSS-0152</t>
        </is>
      </c>
      <c r="B158" s="66" t="inlineStr">
        <is>
          <t>Caribbean, Gulf of Mexico and Panama</t>
        </is>
      </c>
      <c r="C158" s="66" t="inlineStr">
        <is>
          <t>Off Cabo San Antonio</t>
        </is>
      </c>
      <c r="D158" s="66" t="inlineStr">
        <is>
          <t>Source entry; single scheme on first-pass evidence</t>
        </is>
      </c>
      <c r="E158" s="66" t="inlineStr">
        <is>
          <t>TSS identity confirmed (first pass); operational status: In force. Official baseline reconciliation pending.</t>
        </is>
      </c>
      <c r="F158" s="66" t="inlineStr">
        <is>
          <t>Unresolved</t>
        </is>
      </c>
      <c r="G158" s="66" t="inlineStr">
        <is>
          <t>Unresolved</t>
        </is>
      </c>
      <c r="H158" s="66" t="n"/>
      <c r="I158" s="66" t="n"/>
      <c r="J158"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K158" s="66" t="inlineStr">
        <is>
          <t>SRC-001</t>
        </is>
      </c>
      <c r="L158" s="67" t="inlineStr">
        <is>
          <t>https://www.scribd.com/document/1014775753/1-1-IMO-Adopted-Traffic-Separation-Schemes-on-the-ADMIRALTY-Chart-Series</t>
        </is>
      </c>
      <c r="M158" s="66" t="inlineStr">
        <is>
          <t>Notice 17; scheme label: Off Cabo San Antonio</t>
        </is>
      </c>
      <c r="N158" s="66" t="inlineStr">
        <is>
          <t>UKHO-labelled document on third-party host; edition and currency unverified.</t>
        </is>
      </c>
      <c r="O158" s="66" t="inlineStr">
        <is>
          <t>SRC-054</t>
        </is>
      </c>
      <c r="P158" s="67" t="inlineStr">
        <is>
          <t>https://www.transportstyrelsen.se/globalassets/global/sjofart/dokument/sjotrafik_dok/imo_colreg.2_cirkular.pdf?id=58526</t>
        </is>
      </c>
      <c r="Q158" s="66" t="inlineStr">
        <is>
          <t>B31</t>
        </is>
      </c>
      <c r="R158" s="66" t="inlineStr">
        <is>
          <t>Researched; unresolved</t>
        </is>
      </c>
      <c r="S158" s="66" t="inlineStr">
        <is>
          <t>2026-09-29</t>
        </is>
      </c>
    </row>
    <row r="159" ht="60" customHeight="1" s="63">
      <c r="A159" s="66" t="inlineStr">
        <is>
          <t>TSS-0153</t>
        </is>
      </c>
      <c r="B159" s="66" t="inlineStr">
        <is>
          <t>Caribbean, Gulf of Mexico and Panama</t>
        </is>
      </c>
      <c r="C159" s="66" t="inlineStr">
        <is>
          <t>Off La Tabla</t>
        </is>
      </c>
      <c r="D159" s="66" t="inlineStr">
        <is>
          <t>Source entry; single scheme on first-pass evidence</t>
        </is>
      </c>
      <c r="E159" s="66" t="inlineStr">
        <is>
          <t>TSS identity confirmed (first pass); operational status: In force. Official baseline reconciliation pending.</t>
        </is>
      </c>
      <c r="F159" s="66" t="inlineStr">
        <is>
          <t>Unresolved</t>
        </is>
      </c>
      <c r="G159" s="66" t="inlineStr">
        <is>
          <t>Unresolved</t>
        </is>
      </c>
      <c r="H159" s="66" t="n"/>
      <c r="I159" s="66" t="n"/>
      <c r="J159"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K159" s="66" t="inlineStr">
        <is>
          <t>SRC-001</t>
        </is>
      </c>
      <c r="L159" s="67" t="inlineStr">
        <is>
          <t>https://www.scribd.com/document/1014775753/1-1-IMO-Adopted-Traffic-Separation-Schemes-on-the-ADMIRALTY-Chart-Series</t>
        </is>
      </c>
      <c r="M159" s="66" t="inlineStr">
        <is>
          <t>Notice 17; scheme label: Off La Tabla</t>
        </is>
      </c>
      <c r="N159" s="66" t="inlineStr">
        <is>
          <t>UKHO-labelled document on third-party host; edition and currency unverified.</t>
        </is>
      </c>
      <c r="O159" s="66" t="inlineStr">
        <is>
          <t>SRC-054</t>
        </is>
      </c>
      <c r="P159" s="67" t="inlineStr">
        <is>
          <t>https://www.transportstyrelsen.se/globalassets/global/sjofart/dokument/sjotrafik_dok/imo_colreg.2_cirkular.pdf?id=58526</t>
        </is>
      </c>
      <c r="Q159" s="66" t="inlineStr">
        <is>
          <t>B31</t>
        </is>
      </c>
      <c r="R159" s="66" t="inlineStr">
        <is>
          <t>Researched; unresolved</t>
        </is>
      </c>
      <c r="S159" s="66" t="inlineStr">
        <is>
          <t>2026-09-29</t>
        </is>
      </c>
    </row>
    <row r="160" ht="60" customHeight="1" s="63">
      <c r="A160" s="66" t="inlineStr">
        <is>
          <t>TSS-0154</t>
        </is>
      </c>
      <c r="B160" s="66" t="inlineStr">
        <is>
          <t>Caribbean, Gulf of Mexico and Panama</t>
        </is>
      </c>
      <c r="C160" s="66" t="inlineStr">
        <is>
          <t>Off Costa de Matanzas</t>
        </is>
      </c>
      <c r="D160" s="66" t="inlineStr">
        <is>
          <t>Source entry; single scheme on first-pass evidence</t>
        </is>
      </c>
      <c r="E160" s="66" t="inlineStr">
        <is>
          <t>TSS identity confirmed (first pass); operational status: In force. Official baseline reconciliation pending.</t>
        </is>
      </c>
      <c r="F160" s="66" t="inlineStr">
        <is>
          <t>Unresolved</t>
        </is>
      </c>
      <c r="G160" s="66" t="inlineStr">
        <is>
          <t>Unresolved</t>
        </is>
      </c>
      <c r="H160" s="66" t="n"/>
      <c r="I160" s="66" t="n"/>
      <c r="J160"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K160" s="66" t="inlineStr">
        <is>
          <t>SRC-001</t>
        </is>
      </c>
      <c r="L160" s="67" t="inlineStr">
        <is>
          <t>https://www.scribd.com/document/1014775753/1-1-IMO-Adopted-Traffic-Separation-Schemes-on-the-ADMIRALTY-Chart-Series</t>
        </is>
      </c>
      <c r="M160" s="66" t="inlineStr">
        <is>
          <t>Notice 17; scheme label: Off Costa de Matanzas</t>
        </is>
      </c>
      <c r="N160" s="66" t="inlineStr">
        <is>
          <t>UKHO-labelled document on third-party host; edition and currency unverified.</t>
        </is>
      </c>
      <c r="O160" s="66" t="inlineStr">
        <is>
          <t>SRC-054</t>
        </is>
      </c>
      <c r="P160" s="67" t="inlineStr">
        <is>
          <t>https://www.transportstyrelsen.se/globalassets/global/sjofart/dokument/sjotrafik_dok/imo_colreg.2_cirkular.pdf?id=58526</t>
        </is>
      </c>
      <c r="Q160" s="66" t="inlineStr">
        <is>
          <t>B31</t>
        </is>
      </c>
      <c r="R160" s="66" t="inlineStr">
        <is>
          <t>Researched; unresolved</t>
        </is>
      </c>
      <c r="S160" s="66" t="inlineStr">
        <is>
          <t>2026-09-29</t>
        </is>
      </c>
    </row>
    <row r="161" ht="60" customHeight="1" s="63">
      <c r="A161" s="66" t="inlineStr">
        <is>
          <t>TSS-0155</t>
        </is>
      </c>
      <c r="B161" s="66" t="inlineStr">
        <is>
          <t>Caribbean, Gulf of Mexico and Panama</t>
        </is>
      </c>
      <c r="C161" s="66" t="inlineStr">
        <is>
          <t>In the Old Bahama Channel</t>
        </is>
      </c>
      <c r="D161" s="66" t="inlineStr">
        <is>
          <t>Source entry; single scheme on first-pass evidence</t>
        </is>
      </c>
      <c r="E161" s="66" t="inlineStr">
        <is>
          <t>TSS identity confirmed (first pass); operational status: In force. Official baseline reconciliation pending.</t>
        </is>
      </c>
      <c r="F161" s="66" t="inlineStr">
        <is>
          <t>Unresolved</t>
        </is>
      </c>
      <c r="G161" s="66" t="inlineStr">
        <is>
          <t>Unresolved</t>
        </is>
      </c>
      <c r="H161" s="66" t="n"/>
      <c r="I161" s="66" t="n"/>
      <c r="J161" s="66" t="inlineStr">
        <is>
          <t>New scheme adopted MSC 48 (COLREG.2/Circ.20, 5 Aug 1983), not implemented before 17 March 1984; amended scheme adopted MSC 63 (COLREG.2/Circ.40), implemented 0000 UTC 24 November 1994. Reference charts Instituto Cubano de Hidrografía. Adjoins Bahamian waters; only Cuba named as proposing State in the circulars seen. No later revocation seen, but current IMO Ships' Routeing edition not consulted.</t>
        </is>
      </c>
      <c r="K161" s="66" t="inlineStr">
        <is>
          <t>SRC-001</t>
        </is>
      </c>
      <c r="L161" s="67" t="inlineStr">
        <is>
          <t>https://www.scribd.com/document/1014775753/1-1-IMO-Adopted-Traffic-Separation-Schemes-on-the-ADMIRALTY-Chart-Series</t>
        </is>
      </c>
      <c r="M161" s="66" t="inlineStr">
        <is>
          <t>Notice 17; scheme label: In the Old Bahama Channel</t>
        </is>
      </c>
      <c r="N161" s="66" t="inlineStr">
        <is>
          <t>UKHO-labelled document on third-party host; edition and currency unverified.</t>
        </is>
      </c>
      <c r="O161" s="66" t="inlineStr">
        <is>
          <t>SRC-054</t>
        </is>
      </c>
      <c r="P161" s="67" t="inlineStr">
        <is>
          <t>https://www.transportstyrelsen.se/globalassets/global/sjofart/dokument/sjotrafik_dok/imo_colreg.2_cirkular.pdf?id=58526</t>
        </is>
      </c>
      <c r="Q161" s="66" t="inlineStr">
        <is>
          <t>B31</t>
        </is>
      </c>
      <c r="R161" s="66" t="inlineStr">
        <is>
          <t>Researched; unresolved</t>
        </is>
      </c>
      <c r="S161" s="66" t="inlineStr">
        <is>
          <t>2026-09-29</t>
        </is>
      </c>
    </row>
    <row r="162" ht="60" customHeight="1" s="63">
      <c r="A162" s="66" t="inlineStr">
        <is>
          <t>TSS-0156</t>
        </is>
      </c>
      <c r="B162" s="66" t="inlineStr">
        <is>
          <t>Caribbean, Gulf of Mexico and Panama</t>
        </is>
      </c>
      <c r="C162" s="66" t="inlineStr">
        <is>
          <t>Off Punta Maternillos</t>
        </is>
      </c>
      <c r="D162" s="66" t="inlineStr">
        <is>
          <t>Source entry; single scheme on first-pass evidence</t>
        </is>
      </c>
      <c r="E162" s="66" t="inlineStr">
        <is>
          <t>TSS identity confirmed (first pass); operational status: In force. Official baseline reconciliation pending.</t>
        </is>
      </c>
      <c r="F162" s="66" t="inlineStr">
        <is>
          <t>Unresolved</t>
        </is>
      </c>
      <c r="G162" s="66" t="inlineStr">
        <is>
          <t>Unresolved</t>
        </is>
      </c>
      <c r="H162" s="66" t="n"/>
      <c r="I162" s="66" t="n"/>
      <c r="J162"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K162" s="66" t="inlineStr">
        <is>
          <t>SRC-001</t>
        </is>
      </c>
      <c r="L162" s="67" t="inlineStr">
        <is>
          <t>https://www.scribd.com/document/1014775753/1-1-IMO-Adopted-Traffic-Separation-Schemes-on-the-ADMIRALTY-Chart-Series</t>
        </is>
      </c>
      <c r="M162" s="66" t="inlineStr">
        <is>
          <t>Notice 17; scheme label: Off Punta Maternillos</t>
        </is>
      </c>
      <c r="N162" s="66" t="inlineStr">
        <is>
          <t>UKHO-labelled document on third-party host; edition and currency unverified.</t>
        </is>
      </c>
      <c r="O162" s="66" t="inlineStr">
        <is>
          <t>SRC-054</t>
        </is>
      </c>
      <c r="P162" s="67" t="inlineStr">
        <is>
          <t>https://www.transportstyrelsen.se/globalassets/global/sjofart/dokument/sjotrafik_dok/imo_colreg.2_cirkular.pdf?id=58526</t>
        </is>
      </c>
      <c r="Q162" s="66" t="inlineStr">
        <is>
          <t>B32</t>
        </is>
      </c>
      <c r="R162" s="66" t="inlineStr">
        <is>
          <t>Researched; unresolved</t>
        </is>
      </c>
      <c r="S162" s="66" t="inlineStr">
        <is>
          <t>2026-09-29</t>
        </is>
      </c>
    </row>
    <row r="163" ht="60" customHeight="1" s="63">
      <c r="A163" s="66" t="inlineStr">
        <is>
          <t>TSS-0157</t>
        </is>
      </c>
      <c r="B163" s="66" t="inlineStr">
        <is>
          <t>Caribbean, Gulf of Mexico and Panama</t>
        </is>
      </c>
      <c r="C163" s="66" t="inlineStr">
        <is>
          <t>Off Punta Lucretia</t>
        </is>
      </c>
      <c r="D163" s="66" t="inlineStr">
        <is>
          <t>Source entry; single scheme on first-pass evidence</t>
        </is>
      </c>
      <c r="E163" s="66" t="inlineStr">
        <is>
          <t>TSS identity confirmed (first pass); operational status: In force. Official baseline reconciliation pending.</t>
        </is>
      </c>
      <c r="F163" s="66" t="inlineStr">
        <is>
          <t>Unresolved</t>
        </is>
      </c>
      <c r="G163" s="66" t="inlineStr">
        <is>
          <t>Unresolved</t>
        </is>
      </c>
      <c r="H163" s="66" t="n"/>
      <c r="I163" s="66" t="n"/>
      <c r="J163" s="66" t="inlineStr">
        <is>
          <t>Official name found: Off Punta Lucrecia. New scheme adopted MSC 48 (COLREG.2/Circ.20, 5 Aug 1983), not implemented before 17 March 1984; amended scheme adopted MSC 63 (COLREG.2/Circ.40), implemented 0000 UTC 24 November 1994. Reference charts Instituto Cubano de Hidrografía. Spelt 'Punta Lucrecia' in Circ.20 and 'Punta Lucrezia' in Circ.40; source label 'Punta Lucretia' is a variant spelling. No later revocation seen, but current IMO Ships' Routeing edition not consulted.</t>
        </is>
      </c>
      <c r="K163" s="66" t="inlineStr">
        <is>
          <t>SRC-001</t>
        </is>
      </c>
      <c r="L163" s="67" t="inlineStr">
        <is>
          <t>https://www.scribd.com/document/1014775753/1-1-IMO-Adopted-Traffic-Separation-Schemes-on-the-ADMIRALTY-Chart-Series</t>
        </is>
      </c>
      <c r="M163" s="66" t="inlineStr">
        <is>
          <t>Notice 17; scheme label: Off Punta Lucretia</t>
        </is>
      </c>
      <c r="N163" s="66" t="inlineStr">
        <is>
          <t>UKHO-labelled document on third-party host; edition and currency unverified.</t>
        </is>
      </c>
      <c r="O163" s="66" t="inlineStr">
        <is>
          <t>SRC-054</t>
        </is>
      </c>
      <c r="P163" s="67" t="inlineStr">
        <is>
          <t>https://www.transportstyrelsen.se/globalassets/global/sjofart/dokument/sjotrafik_dok/imo_colreg.2_cirkular.pdf?id=58526</t>
        </is>
      </c>
      <c r="Q163" s="66" t="inlineStr">
        <is>
          <t>B32</t>
        </is>
      </c>
      <c r="R163" s="66" t="inlineStr">
        <is>
          <t>Researched; unresolved</t>
        </is>
      </c>
      <c r="S163" s="66" t="inlineStr">
        <is>
          <t>2026-09-29</t>
        </is>
      </c>
    </row>
    <row r="164" ht="60" customHeight="1" s="63">
      <c r="A164" s="66" t="inlineStr">
        <is>
          <t>TSS-0158</t>
        </is>
      </c>
      <c r="B164" s="66" t="inlineStr">
        <is>
          <t>Caribbean, Gulf of Mexico and Panama</t>
        </is>
      </c>
      <c r="C164" s="66" t="inlineStr">
        <is>
          <t>Off Cabo Maisi</t>
        </is>
      </c>
      <c r="D164" s="66" t="inlineStr">
        <is>
          <t>Source entry; single scheme on first-pass evidence</t>
        </is>
      </c>
      <c r="E164" s="66" t="inlineStr">
        <is>
          <t>TSS identity confirmed (first pass); operational status: In force. Official baseline reconciliation pending.</t>
        </is>
      </c>
      <c r="F164" s="66" t="inlineStr">
        <is>
          <t>Unresolved</t>
        </is>
      </c>
      <c r="G164" s="66" t="inlineStr">
        <is>
          <t>Unresolved</t>
        </is>
      </c>
      <c r="H164" s="66" t="n"/>
      <c r="I164" s="66" t="n"/>
      <c r="J164" s="66" t="inlineStr">
        <is>
          <t>Official name found: Off Cabo Maysi. New scheme adopted MSC 48 (COLREG.2/Circ.20, 5 Aug 1983), not implemented before 17 March 1984; amended scheme adopted MSC 63 (COLREG.2/Circ.40), implemented 0000 UTC 24 November 1994. Reference charts Instituto Cubano de Hidrografía. Circulars spell 'Cabo Maysi' (Cabo Maisí). No later revocation seen, but current IMO Ships' Routeing edition not consulted.</t>
        </is>
      </c>
      <c r="K164" s="66" t="inlineStr">
        <is>
          <t>SRC-001</t>
        </is>
      </c>
      <c r="L164" s="67" t="inlineStr">
        <is>
          <t>https://www.scribd.com/document/1014775753/1-1-IMO-Adopted-Traffic-Separation-Schemes-on-the-ADMIRALTY-Chart-Series</t>
        </is>
      </c>
      <c r="M164" s="66" t="inlineStr">
        <is>
          <t>Notice 17; scheme label: Off Cabo Maisi</t>
        </is>
      </c>
      <c r="N164" s="66" t="inlineStr">
        <is>
          <t>UKHO-labelled document on third-party host; edition and currency unverified.</t>
        </is>
      </c>
      <c r="O164" s="66" t="inlineStr">
        <is>
          <t>SRC-054</t>
        </is>
      </c>
      <c r="P164" s="67" t="inlineStr">
        <is>
          <t>https://www.transportstyrelsen.se/globalassets/global/sjofart/dokument/sjotrafik_dok/imo_colreg.2_cirkular.pdf?id=58526</t>
        </is>
      </c>
      <c r="Q164" s="66" t="inlineStr">
        <is>
          <t>B32</t>
        </is>
      </c>
      <c r="R164" s="66" t="inlineStr">
        <is>
          <t>Researched; unresolved</t>
        </is>
      </c>
      <c r="S164" s="66" t="inlineStr">
        <is>
          <t>2026-09-29</t>
        </is>
      </c>
    </row>
    <row r="165" ht="60" customHeight="1" s="63">
      <c r="A165" s="66" t="inlineStr">
        <is>
          <t>TSS-0159</t>
        </is>
      </c>
      <c r="B165" s="66" t="inlineStr">
        <is>
          <t>Caribbean, Gulf of Mexico and Panama</t>
        </is>
      </c>
      <c r="C165" s="66" t="inlineStr">
        <is>
          <t>In the Approaches to the Port of Veracruz</t>
        </is>
      </c>
      <c r="D165" s="66" t="inlineStr">
        <is>
          <t>Source entry; 2 parts recorded (structure only, not a scheme count)</t>
        </is>
      </c>
      <c r="E165" s="66" t="inlineStr">
        <is>
          <t>TSS identity confirmed (first pass); operational status: In force. Official baseline reconciliation pending.</t>
        </is>
      </c>
      <c r="F165" s="66" t="inlineStr">
        <is>
          <t>Unresolved (lead: VTS-056)</t>
        </is>
      </c>
      <c r="G165" s="66" t="inlineStr">
        <is>
          <t>Unresolved</t>
        </is>
      </c>
      <c r="H165" s="66" t="n"/>
      <c r="I165" s="66" t="n"/>
      <c r="J165" s="66" t="inlineStr">
        <is>
          <t>New scheme adopted MSC 66 (COLREG.2/Circ.41, 14 June 1996), implemented 0000 UTC 30 November 1996. Two parts: Part I East Approach and Part II North Approach, both recommended for vessels entering or leaving Veracruz.</t>
        </is>
      </c>
      <c r="K165" s="66" t="inlineStr">
        <is>
          <t>SRC-001</t>
        </is>
      </c>
      <c r="L165" s="67" t="inlineStr">
        <is>
          <t>https://www.scribd.com/document/1014775753/1-1-IMO-Adopted-Traffic-Separation-Schemes-on-the-ADMIRALTY-Chart-Series</t>
        </is>
      </c>
      <c r="M165" s="66" t="inlineStr">
        <is>
          <t>Notice 17; scheme label: In the Approaches to the Port of Veracruz</t>
        </is>
      </c>
      <c r="N165" s="66" t="inlineStr">
        <is>
          <t>UKHO-labelled document on third-party host; edition and currency unverified.</t>
        </is>
      </c>
      <c r="O165" s="66" t="inlineStr">
        <is>
          <t>SRC-054</t>
        </is>
      </c>
      <c r="P165" s="67" t="inlineStr">
        <is>
          <t>https://www.transportstyrelsen.se/globalassets/global/sjofart/dokument/sjotrafik_dok/imo_colreg.2_cirkular.pdf?id=58526</t>
        </is>
      </c>
      <c r="Q165" s="66" t="inlineStr">
        <is>
          <t>B32</t>
        </is>
      </c>
      <c r="R165" s="66" t="inlineStr">
        <is>
          <t>Association proposed</t>
        </is>
      </c>
      <c r="S165" s="66" t="inlineStr">
        <is>
          <t>2026-09-29</t>
        </is>
      </c>
    </row>
    <row r="166" ht="60" customHeight="1" s="63">
      <c r="A166" s="66" t="inlineStr">
        <is>
          <t>TSS-0160</t>
        </is>
      </c>
      <c r="B166" s="66" t="inlineStr">
        <is>
          <t>Caribbean, Gulf of Mexico and Panama</t>
        </is>
      </c>
      <c r="C166" s="66" t="inlineStr">
        <is>
          <t>In the Approaches to Galveston Bay</t>
        </is>
      </c>
      <c r="D166" s="66" t="inlineStr">
        <is>
          <t>Source entry; single scheme on first-pass evidence</t>
        </is>
      </c>
      <c r="E166" s="66" t="inlineStr">
        <is>
          <t>TSS identity confirmed (first pass); operational status: In force. Official baseline reconciliation pending.</t>
        </is>
      </c>
      <c r="F166" s="66" t="inlineStr">
        <is>
          <t>Confirmed present: VTS-013</t>
        </is>
      </c>
      <c r="G166" s="66" t="inlineStr">
        <is>
          <t>Unresolved</t>
        </is>
      </c>
      <c r="H166" s="66" t="inlineStr">
        <is>
          <t>VTS-013</t>
        </is>
      </c>
      <c r="I166" s="66" t="n"/>
      <c r="J166" s="66" t="inlineStr">
        <is>
          <t>The offshore Galveston TSS is an approach lead. Service existence does not establish offshore coverage. Official name found: In the approaches to Galveston Bay Traffic Separation Scheme and precautionary areas (33 CFR 167.350). Adopted MSC 48 (COLREG.2/Circ.20, 1983), implementation not before 17 Dec 1983. Codified at 33 CFR 167.350: inshore precautionary area, separation zone, inbound and outbound lanes, offshore precautionary area (29°06.4′N to 29°19.8′N, 94°20.6′W to 94°39.2′W).</t>
        </is>
      </c>
      <c r="K166" s="66" t="inlineStr">
        <is>
          <t>SRC-001</t>
        </is>
      </c>
      <c r="L166" s="67" t="inlineStr">
        <is>
          <t>https://www.scribd.com/document/1014775753/1-1-IMO-Adopted-Traffic-Separation-Schemes-on-the-ADMIRALTY-Chart-Series</t>
        </is>
      </c>
      <c r="M166" s="66" t="inlineStr">
        <is>
          <t>Notice 17; scheme label: In the Approaches to Galveston Bay</t>
        </is>
      </c>
      <c r="N166" s="66" t="inlineStr">
        <is>
          <t>UKHO-labelled document on third-party host; edition and currency unverified.</t>
        </is>
      </c>
      <c r="O166" s="66" t="inlineStr">
        <is>
          <t>SRC-118; SRC-117; SRC-017; SRC-054</t>
        </is>
      </c>
      <c r="P166" s="67" t="inlineStr">
        <is>
          <t>https://www.ecfr.gov/api/versioner/v1/full/2026-09-01/title-33.xml?part=167
https://www.ecfr.gov/api/versioner/v1/full/2026-09-01/title-33.xml?part=161
https://www.navcen.uscg.gov/vessel-traffic-services-locations
https://www.transportstyrelsen.se/globalassets/global/sjofart/dokument/sjotrafik_dok/imo_colreg.2_cirkular.pdf?id=58526</t>
        </is>
      </c>
      <c r="Q166" s="66" t="inlineStr">
        <is>
          <t>B32</t>
        </is>
      </c>
      <c r="R166" s="66" t="inlineStr">
        <is>
          <t>Initial association evidenced</t>
        </is>
      </c>
      <c r="S166" s="66" t="inlineStr">
        <is>
          <t>2026-09-29</t>
        </is>
      </c>
    </row>
    <row r="167" ht="60" customHeight="1" s="63">
      <c r="A167" s="66" t="inlineStr">
        <is>
          <t>TSS-0161</t>
        </is>
      </c>
      <c r="B167" s="66" t="inlineStr">
        <is>
          <t>Central and South America Pacific coast</t>
        </is>
      </c>
      <c r="C167" s="66" t="inlineStr">
        <is>
          <t>On the Pacific Coast of Panama</t>
        </is>
      </c>
      <c r="D167" s="66" t="inlineStr">
        <is>
          <t>Source entry; 4 parts recorded (structure only, not a scheme count)</t>
        </is>
      </c>
      <c r="E167" s="66" t="inlineStr">
        <is>
          <t>TSS identity confirmed (first pass); operational status: In force. Official baseline reconciliation pending.</t>
        </is>
      </c>
      <c r="F167" s="66" t="inlineStr">
        <is>
          <t>Unresolved (lead: VTS-055)</t>
        </is>
      </c>
      <c r="G167" s="66" t="inlineStr">
        <is>
          <t>Unresolved</t>
        </is>
      </c>
      <c r="H167" s="66" t="n"/>
      <c r="I167" s="66" t="n"/>
      <c r="J167" s="66" t="inlineStr">
        <is>
          <t>Geographical classification corrected to Pacific; source label retained. Official name found: On the Pacific coast of Panama. New TSS adopted MSC 93 (COLREG.2/Circ.65, 23 May 2014), implemented 0000 UTC 1 December 2014. Grouped scheme: Part 1 Gulf of Panama, Part 2 Punta Morro de Puercos, Part 3 Off Isla Jicarita, Part 4 inshore traffic zones. A 10 kn seasonal speed restriction (1 Aug to 30 Nov, north of 8°00′N) applies in the Gulf of Panama part (ACP A-24-2026).</t>
        </is>
      </c>
      <c r="K167" s="66" t="inlineStr">
        <is>
          <t>SRC-001</t>
        </is>
      </c>
      <c r="L167" s="67" t="inlineStr">
        <is>
          <t>https://www.scribd.com/document/1014775753/1-1-IMO-Adopted-Traffic-Separation-Schemes-on-the-ADMIRALTY-Chart-Series</t>
        </is>
      </c>
      <c r="M167" s="66" t="inlineStr">
        <is>
          <t>Notice 17; scheme label: On the Pacific Coast of Panama</t>
        </is>
      </c>
      <c r="N167" s="66" t="inlineStr">
        <is>
          <t>UKHO-labelled document on third-party host; edition and currency unverified.</t>
        </is>
      </c>
      <c r="O167" s="66" t="inlineStr">
        <is>
          <t>SRC-132; SRC-133; SRC-134</t>
        </is>
      </c>
      <c r="P167" s="67" t="inlineStr">
        <is>
          <t>https://www.panamashipregistry.com/wp-content/uploads/2019/08/COLREG-2-Circ-65.pdf
https://pancanal.com/wp-content/uploads/2026/04/ADV-24-2026-Speed-Restriction-in-Traffic-Separation-Scheme-on-the-Pacific-Approach-to-the-Panama-Canal.pdf
https://pancanal.com/wp-content/uploads/2021/08/N02-2026-Harbor-Operations_BMV.pdf</t>
        </is>
      </c>
      <c r="Q167" s="66" t="inlineStr">
        <is>
          <t>B33</t>
        </is>
      </c>
      <c r="R167" s="66" t="inlineStr">
        <is>
          <t>Association proposed</t>
        </is>
      </c>
      <c r="S167" s="66" t="inlineStr">
        <is>
          <t>2026-09-29</t>
        </is>
      </c>
    </row>
    <row r="168" ht="60" customHeight="1" s="63">
      <c r="A168" s="66" t="inlineStr">
        <is>
          <t>TSS-0162</t>
        </is>
      </c>
      <c r="B168" s="66" t="inlineStr">
        <is>
          <t>North America Atlantic coast</t>
        </is>
      </c>
      <c r="C168" s="66" t="inlineStr">
        <is>
          <t>In the Approaches to the Cape Fear River</t>
        </is>
      </c>
      <c r="D168" s="66" t="inlineStr">
        <is>
          <t>Source entry; single scheme on first-pass evidence</t>
        </is>
      </c>
      <c r="E168" s="66" t="inlineStr">
        <is>
          <t>TSS identity confirmed (first pass); operational status: In force. Official baseline reconciliation pending.</t>
        </is>
      </c>
      <c r="F168" s="66" t="inlineStr">
        <is>
          <t>Unresolved</t>
        </is>
      </c>
      <c r="G168" s="66" t="inlineStr">
        <is>
          <t>Unresolved</t>
        </is>
      </c>
      <c r="H168" s="66" t="n"/>
      <c r="I168" s="66" t="n"/>
      <c r="J168" s="66" t="inlineStr">
        <is>
          <t>Official name found: In the approaches to the Cape Fear River (33 CFR 167.250-252). New scheme adopted MSC 79 (COLREG.2/Circ.55, 15 Dec 2004), implemented 0000 UTC 1 July 2005. Precautionary area plus TSS (33 CFR 167.251-252). Note: 167.250 text erroneously refers to Narragansett Bay (drafting error in CFR).</t>
        </is>
      </c>
      <c r="K168" s="66" t="inlineStr">
        <is>
          <t>SRC-001</t>
        </is>
      </c>
      <c r="L168" s="67" t="inlineStr">
        <is>
          <t>https://www.scribd.com/document/1014775753/1-1-IMO-Adopted-Traffic-Separation-Schemes-on-the-ADMIRALTY-Chart-Series</t>
        </is>
      </c>
      <c r="M168" s="66" t="inlineStr">
        <is>
          <t>Notice 17; scheme label: In the Approaches to the Cape Fear River</t>
        </is>
      </c>
      <c r="N168" s="66" t="inlineStr">
        <is>
          <t>UKHO-labelled document on third-party host; edition and currency unverified.</t>
        </is>
      </c>
      <c r="O168" s="66" t="inlineStr">
        <is>
          <t>SRC-118; SRC-117; SRC-127; SRC-017; SRC-054</t>
        </is>
      </c>
      <c r="P168"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Q168" s="66" t="inlineStr">
        <is>
          <t>B33</t>
        </is>
      </c>
      <c r="R168" s="66" t="inlineStr">
        <is>
          <t>Researched; unresolved</t>
        </is>
      </c>
      <c r="S168" s="66" t="inlineStr">
        <is>
          <t>2026-09-29</t>
        </is>
      </c>
    </row>
    <row r="169" ht="60" customHeight="1" s="63">
      <c r="A169" s="66" t="inlineStr">
        <is>
          <t>TSS-0163</t>
        </is>
      </c>
      <c r="B169" s="66" t="inlineStr">
        <is>
          <t>North America Atlantic coast</t>
        </is>
      </c>
      <c r="C169" s="66" t="inlineStr">
        <is>
          <t>In the Approaches to Chesapeake Bay</t>
        </is>
      </c>
      <c r="D169" s="66" t="inlineStr">
        <is>
          <t>Source entry; 3 parts recorded (structure only, not a scheme count)</t>
        </is>
      </c>
      <c r="E169" s="66" t="inlineStr">
        <is>
          <t>TSS identity confirmed (first pass); operational status: In force. Official baseline reconciliation pending.</t>
        </is>
      </c>
      <c r="F169" s="66" t="inlineStr">
        <is>
          <t>Unresolved</t>
        </is>
      </c>
      <c r="G169" s="66" t="inlineStr">
        <is>
          <t>Unresolved</t>
        </is>
      </c>
      <c r="H169" s="66" t="n"/>
      <c r="I169" s="66" t="n"/>
      <c r="J169" s="66" t="inlineStr">
        <is>
          <t>Official name found: In the approaches to Chesapeake Bay Traffic Separation Scheme (33 CFR 167.200-203). Precautionary area, Eastern Approach and Southern Approach with deep-water route for drafts over 12.8 m and naval aircraft carriers; last amended MSC 79 (COLREG.2/Circ.55), implemented 1 July 2005. Early listing in COLREG.2/Circ.5 (1978).</t>
        </is>
      </c>
      <c r="K169" s="66" t="inlineStr">
        <is>
          <t>SRC-001</t>
        </is>
      </c>
      <c r="L169" s="67" t="inlineStr">
        <is>
          <t>https://www.scribd.com/document/1014775753/1-1-IMO-Adopted-Traffic-Separation-Schemes-on-the-ADMIRALTY-Chart-Series</t>
        </is>
      </c>
      <c r="M169" s="66" t="inlineStr">
        <is>
          <t>Notice 17; scheme label: In the Approaches to Chesapeake Bay</t>
        </is>
      </c>
      <c r="N169" s="66" t="inlineStr">
        <is>
          <t>UKHO-labelled document on third-party host; edition and currency unverified.</t>
        </is>
      </c>
      <c r="O169" s="66" t="inlineStr">
        <is>
          <t>SRC-118; SRC-117; SRC-127; SRC-017; SRC-054</t>
        </is>
      </c>
      <c r="P169"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Q169" s="66" t="inlineStr">
        <is>
          <t>B33</t>
        </is>
      </c>
      <c r="R169" s="66" t="inlineStr">
        <is>
          <t>Researched; unresolved</t>
        </is>
      </c>
      <c r="S169" s="66" t="inlineStr">
        <is>
          <t>2026-09-29</t>
        </is>
      </c>
    </row>
    <row r="170" ht="60" customHeight="1" s="63">
      <c r="A170" s="66" t="inlineStr">
        <is>
          <t>TSS-0164</t>
        </is>
      </c>
      <c r="B170" s="66" t="inlineStr">
        <is>
          <t>North America Atlantic coast</t>
        </is>
      </c>
      <c r="C170" s="66" t="inlineStr">
        <is>
          <t>Off Delaware Bay</t>
        </is>
      </c>
      <c r="D170" s="66" t="inlineStr">
        <is>
          <t>Source entry; 4 parts recorded (structure only, not a scheme count)</t>
        </is>
      </c>
      <c r="E170" s="66" t="inlineStr">
        <is>
          <t>TSS identity confirmed (first pass); operational status: In force. Official baseline reconciliation pending.</t>
        </is>
      </c>
      <c r="F170" s="66" t="inlineStr">
        <is>
          <t>Unresolved (lead: VTS-057)</t>
        </is>
      </c>
      <c r="G170" s="66" t="inlineStr">
        <is>
          <t>Unresolved</t>
        </is>
      </c>
      <c r="H170" s="66" t="n"/>
      <c r="I170" s="66" t="n"/>
      <c r="J170" s="66" t="inlineStr">
        <is>
          <t>Official name found: Off Delaware Bay Approach Traffic Separation Scheme (33 CFR 167.170-174). Eastern Approach, Southeastern Approach, Two-Way Traffic Route and Precautionary Area; amended MSC 67 (COLREG.2/Circ.42, 2 Jan 1997), implemented 0000 UTC 3 June 1997.</t>
        </is>
      </c>
      <c r="K170" s="66" t="inlineStr">
        <is>
          <t>SRC-001</t>
        </is>
      </c>
      <c r="L170" s="67" t="inlineStr">
        <is>
          <t>https://www.scribd.com/document/1014775753/1-1-IMO-Adopted-Traffic-Separation-Schemes-on-the-ADMIRALTY-Chart-Series</t>
        </is>
      </c>
      <c r="M170" s="66" t="inlineStr">
        <is>
          <t>Notice 17; scheme label: Off Delaware Bay</t>
        </is>
      </c>
      <c r="N170" s="66" t="inlineStr">
        <is>
          <t>UKHO-labelled document on third-party host; edition and currency unverified.</t>
        </is>
      </c>
      <c r="O170" s="66" t="inlineStr">
        <is>
          <t>SRC-118; SRC-117; SRC-127; SRC-017; SRC-054</t>
        </is>
      </c>
      <c r="P170"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Q170" s="66" t="inlineStr">
        <is>
          <t>B33</t>
        </is>
      </c>
      <c r="R170" s="66" t="inlineStr">
        <is>
          <t>Association proposed</t>
        </is>
      </c>
      <c r="S170" s="66" t="inlineStr">
        <is>
          <t>2026-09-29</t>
        </is>
      </c>
    </row>
    <row r="171" ht="60" customHeight="1" s="63">
      <c r="A171" s="66" t="inlineStr">
        <is>
          <t>TSS-0165</t>
        </is>
      </c>
      <c r="B171" s="66" t="inlineStr">
        <is>
          <t>North America Atlantic coast</t>
        </is>
      </c>
      <c r="C171" s="66" t="inlineStr">
        <is>
          <t>Off New York</t>
        </is>
      </c>
      <c r="D171" s="66" t="inlineStr">
        <is>
          <t>Source entry; 5 parts recorded (structure only, not a scheme count)</t>
        </is>
      </c>
      <c r="E171" s="66" t="inlineStr">
        <is>
          <t>TSS identity confirmed (first pass); operational status: In force. Official baseline reconciliation pending.</t>
        </is>
      </c>
      <c r="F171" s="66" t="inlineStr">
        <is>
          <t>Unresolved (lead: VTS-014)</t>
        </is>
      </c>
      <c r="G171" s="66" t="inlineStr">
        <is>
          <t>Unresolved</t>
        </is>
      </c>
      <c r="H171" s="66" t="n"/>
      <c r="I171" s="66" t="n"/>
      <c r="J171" s="66" t="inlineStr">
        <is>
          <t>The offshore New York TSS link needs geographical and applicability confirmation. Official name found: Off New York Traffic Separation Scheme and Precautionary Areas (33 CFR 167.150-155). Circular precautionary area (7 NM radius on 40°27.50′N 73°49.90′W), Eastern approach off Nantucket, Eastern, South-eastern and Southern approaches, plus a junction precautionary area with the Boston TSS; amended MSC 48 (COLREG.2/Circ.20, 1983).</t>
        </is>
      </c>
      <c r="K171" s="66" t="inlineStr">
        <is>
          <t>SRC-001</t>
        </is>
      </c>
      <c r="L171" s="67" t="inlineStr">
        <is>
          <t>https://www.scribd.com/document/1014775753/1-1-IMO-Adopted-Traffic-Separation-Schemes-on-the-ADMIRALTY-Chart-Series</t>
        </is>
      </c>
      <c r="M171" s="66" t="inlineStr">
        <is>
          <t>Notice 17; scheme label: Off New York</t>
        </is>
      </c>
      <c r="N171" s="66" t="inlineStr">
        <is>
          <t>UKHO-labelled document on third-party host; edition and currency unverified.</t>
        </is>
      </c>
      <c r="O171" s="66" t="inlineStr">
        <is>
          <t>SRC-118; SRC-117; SRC-127; SRC-017; SRC-054</t>
        </is>
      </c>
      <c r="P171"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Q171" s="66" t="inlineStr">
        <is>
          <t>B33</t>
        </is>
      </c>
      <c r="R171" s="66" t="inlineStr">
        <is>
          <t>Association proposed</t>
        </is>
      </c>
      <c r="S171" s="66" t="inlineStr">
        <is>
          <t>2026-09-29</t>
        </is>
      </c>
    </row>
    <row r="172" ht="60" customHeight="1" s="63">
      <c r="A172" s="66" t="inlineStr">
        <is>
          <t>TSS-0166</t>
        </is>
      </c>
      <c r="B172" s="66" t="inlineStr">
        <is>
          <t>North America Atlantic coast</t>
        </is>
      </c>
      <c r="C172" s="66" t="inlineStr">
        <is>
          <t>In the Approaches to Narragansett Bay, Rhode Island and Buzzards Bay, Massachusetts</t>
        </is>
      </c>
      <c r="D172" s="66" t="inlineStr">
        <is>
          <t>Source entry; 3 parts recorded (structure only, not a scheme count)</t>
        </is>
      </c>
      <c r="E172" s="66" t="inlineStr">
        <is>
          <t>TSS identity confirmed (first pass); operational status: In force. Official baseline reconciliation pending.</t>
        </is>
      </c>
      <c r="F172" s="66" t="inlineStr">
        <is>
          <t>Unresolved</t>
        </is>
      </c>
      <c r="G172" s="66" t="inlineStr">
        <is>
          <t>Confirmed present: SRS-027</t>
        </is>
      </c>
      <c r="H172" s="66" t="n"/>
      <c r="I172" s="66" t="inlineStr">
        <is>
          <t>SRS-027</t>
        </is>
      </c>
      <c r="J172" s="66" t="inlineStr">
        <is>
          <t>Official name found: In the approaches to Narragansett Bay, RI, and Buzzards Bay, MA (33 CFR 167.100-103). Two precautionary areas, Narragansett Bay approach and Buzzards Bay approach; amended MSC 48 (COLREG.2/Circ.20, 1983); CFR text last revised USCG-2010-0718 (2010).</t>
        </is>
      </c>
      <c r="K172" s="66" t="inlineStr">
        <is>
          <t>SRC-001</t>
        </is>
      </c>
      <c r="L172" s="67" t="inlineStr">
        <is>
          <t>https://www.scribd.com/document/1014775753/1-1-IMO-Adopted-Traffic-Separation-Schemes-on-the-ADMIRALTY-Chart-Series</t>
        </is>
      </c>
      <c r="M172" s="66" t="inlineStr">
        <is>
          <t>Notice 17; scheme label: In the Approaches to Narragansett Bay, Rhode Island and Buzzards Bay, Massachusetts</t>
        </is>
      </c>
      <c r="N172" s="66" t="inlineStr">
        <is>
          <t>UKHO-labelled document on third-party host; edition and currency unverified.</t>
        </is>
      </c>
      <c r="O172" s="66" t="inlineStr">
        <is>
          <t>SRC-118; SRC-117; SRC-127; SRC-054</t>
        </is>
      </c>
      <c r="P172" s="67" t="inlineStr">
        <is>
          <t>https://www.ecfr.gov/api/versioner/v1/full/2026-09-01/title-33.xml?part=167
https://www.ecfr.gov/api/versioner/v1/full/2026-09-01/title-33.xml?part=161
https://www.ecfr.gov/api/versioner/v1/full/2026-09-01/title-33.xml?part=169
https://www.transportstyrelsen.se/globalassets/global/sjofart/dokument/sjotrafik_dok/imo_colreg.2_cirkular.pdf?id=58526</t>
        </is>
      </c>
      <c r="Q172" s="66" t="inlineStr">
        <is>
          <t>B34</t>
        </is>
      </c>
      <c r="R172" s="66" t="inlineStr">
        <is>
          <t>Initial association evidenced</t>
        </is>
      </c>
      <c r="S172" s="66" t="inlineStr">
        <is>
          <t>2026-09-29</t>
        </is>
      </c>
    </row>
    <row r="173" ht="60" customHeight="1" s="63">
      <c r="A173" s="66" t="inlineStr">
        <is>
          <t>TSS-0167</t>
        </is>
      </c>
      <c r="B173" s="66" t="inlineStr">
        <is>
          <t>North America Atlantic coast</t>
        </is>
      </c>
      <c r="C173" s="66" t="inlineStr">
        <is>
          <t>In the Approaches to Boston, Massachusetts</t>
        </is>
      </c>
      <c r="D173" s="66" t="inlineStr">
        <is>
          <t>Source entry; 3 parts recorded (structure only, not a scheme count)</t>
        </is>
      </c>
      <c r="E173" s="66" t="inlineStr">
        <is>
          <t>TSS identity confirmed (first pass); operational status: In force. Official baseline reconciliation pending.</t>
        </is>
      </c>
      <c r="F173" s="66" t="inlineStr">
        <is>
          <t>Unresolved</t>
        </is>
      </c>
      <c r="G173" s="66" t="inlineStr">
        <is>
          <t>Confirmed present: SRS-025</t>
        </is>
      </c>
      <c r="H173" s="66" t="n"/>
      <c r="I173" s="66" t="inlineStr">
        <is>
          <t>SRS-025</t>
        </is>
      </c>
      <c r="J173" s="66" t="inlineStr">
        <is>
          <t>Official name found: In the approach to Boston, MA (33 CFR 167.75-77). Two precautionary areas (Boston approach 6.17 NM radius on 42°22.71′N 70°46.97′W; junction with Off New York TSS near 40°35′N 69°00′W) and a TSS. Amended MSC 48 (COLREG.2/Circ.20), and again at MSC 82 (2006) and MSC 85 (2008) per circulars in S14 (circular numbers not captured).</t>
        </is>
      </c>
      <c r="K173" s="66" t="inlineStr">
        <is>
          <t>SRC-001</t>
        </is>
      </c>
      <c r="L173" s="67" t="inlineStr">
        <is>
          <t>https://www.scribd.com/document/1014775753/1-1-IMO-Adopted-Traffic-Separation-Schemes-on-the-ADMIRALTY-Chart-Series</t>
        </is>
      </c>
      <c r="M173" s="66" t="inlineStr">
        <is>
          <t>Notice 17; scheme label: In the Approaches to Boston, Massachusetts</t>
        </is>
      </c>
      <c r="N173" s="66" t="inlineStr">
        <is>
          <t>UKHO-labelled document on third-party host; edition and currency unverified.</t>
        </is>
      </c>
      <c r="O173" s="66" t="inlineStr">
        <is>
          <t>SRC-118; SRC-117; SRC-127; SRC-017; SRC-054</t>
        </is>
      </c>
      <c r="P173"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Q173" s="66" t="inlineStr">
        <is>
          <t>B34</t>
        </is>
      </c>
      <c r="R173" s="66" t="inlineStr">
        <is>
          <t>Initial association evidenced</t>
        </is>
      </c>
      <c r="S173" s="66" t="inlineStr">
        <is>
          <t>2026-09-29</t>
        </is>
      </c>
    </row>
    <row r="174" ht="60" customHeight="1" s="63">
      <c r="A174" s="66" t="inlineStr">
        <is>
          <t>TSS-0168</t>
        </is>
      </c>
      <c r="B174" s="66" t="inlineStr">
        <is>
          <t>North America Atlantic coast</t>
        </is>
      </c>
      <c r="C174" s="66" t="inlineStr">
        <is>
          <t>In the Approaches to Portland, Maine</t>
        </is>
      </c>
      <c r="D174" s="66" t="inlineStr">
        <is>
          <t>Source entry; 3 parts recorded (structure only, not a scheme count)</t>
        </is>
      </c>
      <c r="E174" s="66" t="inlineStr">
        <is>
          <t>TSS identity confirmed (first pass); operational status: In force. Official baseline reconciliation pending.</t>
        </is>
      </c>
      <c r="F174" s="66" t="inlineStr">
        <is>
          <t>Unresolved</t>
        </is>
      </c>
      <c r="G174" s="66" t="inlineStr">
        <is>
          <t>Unresolved</t>
        </is>
      </c>
      <c r="H174" s="66" t="n"/>
      <c r="I174" s="66" t="n"/>
      <c r="J174" s="66" t="inlineStr">
        <is>
          <t>Official name found: In the approaches to Portland, ME (33 CFR 167.50-53). Precautionary area (5.45 NM radius on 43°31.60′N 70°05.53′W), Eastern approach and Southern approach; listed in early circular COLREG.2/Circ.5 (1978); CFR text revised USCG-2010-0718.</t>
        </is>
      </c>
      <c r="K174" s="66" t="inlineStr">
        <is>
          <t>SRC-001</t>
        </is>
      </c>
      <c r="L174" s="67" t="inlineStr">
        <is>
          <t>https://www.scribd.com/document/1014775753/1-1-IMO-Adopted-Traffic-Separation-Schemes-on-the-ADMIRALTY-Chart-Series</t>
        </is>
      </c>
      <c r="M174" s="66" t="inlineStr">
        <is>
          <t>Notice 17; scheme label: In the Approaches to Portland, Maine</t>
        </is>
      </c>
      <c r="N174" s="66" t="inlineStr">
        <is>
          <t>UKHO-labelled document on third-party host; edition and currency unverified.</t>
        </is>
      </c>
      <c r="O174" s="66" t="inlineStr">
        <is>
          <t>SRC-118; SRC-117; SRC-127; SRC-017; SRC-054</t>
        </is>
      </c>
      <c r="P174"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Q174" s="66" t="inlineStr">
        <is>
          <t>B34</t>
        </is>
      </c>
      <c r="R174" s="66" t="inlineStr">
        <is>
          <t>Researched; unresolved</t>
        </is>
      </c>
      <c r="S174" s="66" t="inlineStr">
        <is>
          <t>2026-09-29</t>
        </is>
      </c>
    </row>
    <row r="175" ht="60" customHeight="1" s="63">
      <c r="A175" s="66" t="inlineStr">
        <is>
          <t>TSS-0169</t>
        </is>
      </c>
      <c r="B175" s="66" t="inlineStr">
        <is>
          <t>North America Atlantic coast</t>
        </is>
      </c>
      <c r="C175" s="66" t="inlineStr">
        <is>
          <t>In the Bay of Fundy and approaches</t>
        </is>
      </c>
      <c r="D175" s="66" t="inlineStr">
        <is>
          <t>Source entry; 2 parts recorded (structure only, not a scheme count)</t>
        </is>
      </c>
      <c r="E175" s="66" t="inlineStr">
        <is>
          <t>TSS identity confirmed (first pass); operational status: In force. Official baseline reconciliation pending.</t>
        </is>
      </c>
      <c r="F175" s="66" t="inlineStr">
        <is>
          <t>Confirmed present: VTS-052</t>
        </is>
      </c>
      <c r="G175" s="66" t="inlineStr">
        <is>
          <t>Unresolved</t>
        </is>
      </c>
      <c r="H175" s="66" t="inlineStr">
        <is>
          <t>VTS-052</t>
        </is>
      </c>
      <c r="I175" s="66" t="n"/>
      <c r="J175" s="66" t="inlineStr">
        <is>
          <t>Official name found: In the Bay of Fundy and Approaches. Listed by CCG NOTMAR as a compulsory Canadian routeing system adopted by IMO (ref. charts 4010, 4011, 4012, 4116). Original scheme adopted early 1980s (not effective before 1 June 1983); amended MSC 76 (COLREG.2/Circ.52, 6 Jan 2003), implemented 0000 UTC 1 July 2003; amended scheme has two parts.</t>
        </is>
      </c>
      <c r="K175" s="66" t="inlineStr">
        <is>
          <t>SRC-001</t>
        </is>
      </c>
      <c r="L175" s="67" t="inlineStr">
        <is>
          <t>https://www.scribd.com/document/1014775753/1-1-IMO-Adopted-Traffic-Separation-Schemes-on-the-ADMIRALTY-Chart-Series</t>
        </is>
      </c>
      <c r="M175" s="66" t="inlineStr">
        <is>
          <t>Notice 17; scheme label: In the Bay of Fundy and approaches</t>
        </is>
      </c>
      <c r="N175" s="66" t="inlineStr">
        <is>
          <t>UKHO-labelled document on third-party host; edition and currency unverified.</t>
        </is>
      </c>
      <c r="O175" s="66" t="inlineStr">
        <is>
          <t>SRC-116; SRC-129; SRC-130; SRC-131; SRC-054; SRC-128; SRC-136</t>
        </is>
      </c>
      <c r="P175"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Q175" s="66" t="inlineStr">
        <is>
          <t>B34</t>
        </is>
      </c>
      <c r="R175" s="66" t="inlineStr">
        <is>
          <t>Initial association evidenced</t>
        </is>
      </c>
      <c r="S175" s="66" t="inlineStr">
        <is>
          <t>2026-09-29</t>
        </is>
      </c>
    </row>
    <row r="176" ht="60" customHeight="1" s="63">
      <c r="A176" s="66" t="inlineStr">
        <is>
          <t>TSS-0170</t>
        </is>
      </c>
      <c r="B176" s="66" t="inlineStr">
        <is>
          <t>North America Atlantic coast</t>
        </is>
      </c>
      <c r="C176" s="66" t="inlineStr">
        <is>
          <t>In the Approaches to Chedabucto Bay</t>
        </is>
      </c>
      <c r="D176" s="66" t="inlineStr">
        <is>
          <t>Source entry; 3 parts recorded (structure only, not a scheme count)</t>
        </is>
      </c>
      <c r="E176" s="66" t="inlineStr">
        <is>
          <t>TSS identity confirmed (first pass); operational status: In force. Official baseline reconciliation pending.</t>
        </is>
      </c>
      <c r="F176" s="66" t="inlineStr">
        <is>
          <t>Confirmed present: VTS-053</t>
        </is>
      </c>
      <c r="G176" s="66" t="inlineStr">
        <is>
          <t>Unresolved</t>
        </is>
      </c>
      <c r="H176" s="66" t="inlineStr">
        <is>
          <t>VTS-053</t>
        </is>
      </c>
      <c r="I176" s="66" t="n"/>
      <c r="J176" s="66" t="inlineStr">
        <is>
          <t>Listed by CCG NOTMAR as a compulsory Canadian routeing system adopted by IMO (ref. charts 4013, 4233, 4301, 4321, 4335, 4374). Amended MSC 83 (COLREG.2/Circ.59), implemented 0000 UTC 1 May 2008; three parts.</t>
        </is>
      </c>
      <c r="K176" s="66" t="inlineStr">
        <is>
          <t>SRC-001</t>
        </is>
      </c>
      <c r="L176" s="67" t="inlineStr">
        <is>
          <t>https://www.scribd.com/document/1014775753/1-1-IMO-Adopted-Traffic-Separation-Schemes-on-the-ADMIRALTY-Chart-Series</t>
        </is>
      </c>
      <c r="M176" s="66" t="inlineStr">
        <is>
          <t>Notice 17; scheme label: In the Approaches to Chedabucto Bay</t>
        </is>
      </c>
      <c r="N176" s="66" t="inlineStr">
        <is>
          <t>UKHO-labelled document on third-party host; edition and currency unverified.</t>
        </is>
      </c>
      <c r="O176" s="66" t="inlineStr">
        <is>
          <t>SRC-116; SRC-129; SRC-130; SRC-131; SRC-054; SRC-128; SRC-136</t>
        </is>
      </c>
      <c r="P176"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Q176" s="66" t="inlineStr">
        <is>
          <t>B34</t>
        </is>
      </c>
      <c r="R176" s="66" t="inlineStr">
        <is>
          <t>Initial association evidenced</t>
        </is>
      </c>
      <c r="S176" s="66" t="inlineStr">
        <is>
          <t>2026-09-29</t>
        </is>
      </c>
    </row>
  </sheetData>
  <mergeCells count="2">
    <mergeCell ref="A1:H2"/>
    <mergeCell ref="A3:H4"/>
  </mergeCells>
  <conditionalFormatting sqref="R7:R176">
    <cfRule type="expression" priority="1" dxfId="1">
      <formula>R7="Initial association evidenced"</formula>
    </cfRule>
    <cfRule type="expression" priority="2" dxfId="0">
      <formula>R7="Association proposed"</formula>
    </cfRule>
  </conditionalFormatting>
  <dataValidations count="1">
    <dataValidation sqref="R7:R176" showDropDown="0" showInputMessage="0" showErrorMessage="0" allowBlank="0" type="list">
      <formula1>"Candidate recorded,Association proposed,Initial association evidenced,System-level association only,Researched; unresolved,Fully audited"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W13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11" customWidth="1" style="63" min="1" max="1"/>
    <col width="7" customWidth="1" style="63" min="2" max="2"/>
    <col width="7" customWidth="1" style="63" min="3" max="3"/>
    <col width="30" customWidth="1" style="63" min="4" max="4"/>
    <col width="30" customWidth="1" style="63" min="5" max="5"/>
    <col width="20" customWidth="1" style="63" min="6" max="6"/>
    <col width="12" customWidth="1" style="63" min="7" max="7"/>
    <col width="50" customWidth="1" style="63" min="8" max="8"/>
    <col width="14" customWidth="1" style="63" min="9" max="9"/>
    <col width="30" customWidth="1" style="63" min="10" max="10"/>
    <col width="16" customWidth="1" style="63" min="11" max="11"/>
    <col width="16" customWidth="1" style="63" min="12" max="12"/>
    <col width="50" customWidth="1" style="63" min="13" max="13"/>
    <col width="16" customWidth="1" style="63" min="14" max="14"/>
    <col width="16" customWidth="1" style="63" min="15" max="15"/>
    <col width="50" customWidth="1" style="63" min="16" max="16"/>
    <col width="30" customWidth="1" style="63" min="17" max="17"/>
    <col width="40" customWidth="1" style="63" min="18" max="18"/>
    <col width="13" customWidth="1" style="63" min="19" max="19"/>
    <col width="30" customWidth="1" style="63" min="20" max="20"/>
    <col width="20" customWidth="1" style="63" min="21" max="21"/>
    <col width="45" customWidth="1" style="63" min="22" max="22"/>
    <col width="45" customWidth="1" style="63" min="23" max="23"/>
  </cols>
  <sheetData>
    <row r="1">
      <c r="A1" s="47" t="inlineStr">
        <is>
          <t>STAGE 4 FINDINGS | B10 TO B34</t>
        </is>
      </c>
    </row>
    <row r="3">
      <c r="A3" s="15" t="inlineStr">
        <is>
          <t>v0.3 | First-pass record research. Findings are research determinations, not operational guidance. Unresolved never means absent.</t>
        </is>
      </c>
    </row>
    <row r="6">
      <c r="A6" s="65" t="inlineStr">
        <is>
          <t>Record ID</t>
        </is>
      </c>
      <c r="B6" s="65" t="inlineStr">
        <is>
          <t>Batch</t>
        </is>
      </c>
      <c r="C6" s="65" t="inlineStr">
        <is>
          <t>Group</t>
        </is>
      </c>
      <c r="D6" s="65" t="inlineStr">
        <is>
          <t>Source label</t>
        </is>
      </c>
      <c r="E6" s="65" t="inlineStr">
        <is>
          <t>Official name</t>
        </is>
      </c>
      <c r="F6" s="65" t="inlineStr">
        <is>
          <t>States</t>
        </is>
      </c>
      <c r="G6" s="65" t="inlineStr">
        <is>
          <t>TSS identity</t>
        </is>
      </c>
      <c r="H6" s="65" t="inlineStr">
        <is>
          <t>Identity note</t>
        </is>
      </c>
      <c r="I6" s="65" t="inlineStr">
        <is>
          <t>Operational status</t>
        </is>
      </c>
      <c r="J6" s="65" t="inlineStr">
        <is>
          <t>Components</t>
        </is>
      </c>
      <c r="K6" s="65" t="inlineStr">
        <is>
          <t>VTS finding</t>
        </is>
      </c>
      <c r="L6" s="65" t="inlineStr">
        <is>
          <t>VTS service IDs</t>
        </is>
      </c>
      <c r="M6" s="65" t="inlineStr">
        <is>
          <t>VTS basis</t>
        </is>
      </c>
      <c r="N6" s="65" t="inlineStr">
        <is>
          <t>Reporting finding</t>
        </is>
      </c>
      <c r="O6" s="65" t="inlineStr">
        <is>
          <t>Reporting scheme IDs</t>
        </is>
      </c>
      <c r="P6" s="65" t="inlineStr">
        <is>
          <t>Reporting basis</t>
        </is>
      </c>
      <c r="Q6" s="65" t="inlineStr">
        <is>
          <t>Voluntary reporting</t>
        </is>
      </c>
      <c r="R6" s="65" t="inlineStr">
        <is>
          <t>Applicability notes</t>
        </is>
      </c>
      <c r="S6" s="65" t="inlineStr">
        <is>
          <t>Provisional complexity</t>
        </is>
      </c>
      <c r="T6" s="65" t="inlineStr">
        <is>
          <t>Complexity reason</t>
        </is>
      </c>
      <c r="U6" s="65" t="inlineStr">
        <is>
          <t>Source IDs</t>
        </is>
      </c>
      <c r="V6" s="65" t="inlineStr">
        <is>
          <t>Open questions</t>
        </is>
      </c>
      <c r="W6" s="65" t="inlineStr">
        <is>
          <t>Audit adjustments at merge</t>
        </is>
      </c>
    </row>
    <row r="7" ht="90" customHeight="1" s="63">
      <c r="A7" s="66" t="inlineStr">
        <is>
          <t>TSS-0046</t>
        </is>
      </c>
      <c r="B7" s="66" t="inlineStr">
        <is>
          <t>B10</t>
        </is>
      </c>
      <c r="C7" s="66" t="inlineStr">
        <is>
          <t>A</t>
        </is>
      </c>
      <c r="D7" s="66" t="inlineStr">
        <is>
          <t>German Bight Western Approach</t>
        </is>
      </c>
      <c r="E7" s="66" t="inlineStr">
        <is>
          <t>German Bight western approach</t>
        </is>
      </c>
      <c r="F7" s="66" t="inlineStr">
        <is>
          <t>Germany</t>
        </is>
      </c>
      <c r="G7" s="66" t="inlineStr">
        <is>
          <t>Confirmed</t>
        </is>
      </c>
      <c r="H7" s="66" t="inlineStr">
        <is>
          <t>Named in IMO COLREG.2/Circ.59 (MSC 83, 2007) as amended scheme with special provisions for the North Hinder to German Bight tanker route, implemented 1 May 2008 (S1); listed in IMO Ships' Routeing 2008 (S27) and Transportstyrelsen 2017 list (S4). German statute designates it a deep-water route (Tiefwasserweg) mandatory for large tankers (S6 Nr. 6). MSC 109 adopted a revised containership recommendation covering it from 1 July 2025 (lead S5). No evidence of renaming or restructuring by recent IMO amendments was found.</t>
        </is>
      </c>
      <c r="I7" s="66" t="inlineStr">
        <is>
          <t>In force</t>
        </is>
      </c>
      <c r="J7" s="66" t="n"/>
      <c r="K7" s="66" t="inlineStr">
        <is>
          <t>Confirmed present</t>
        </is>
      </c>
      <c r="L7" s="66" t="inlineStr">
        <is>
          <t>VTS-016</t>
        </is>
      </c>
      <c r="M7" s="66" t="inlineStr">
        <is>
          <t>AnlBV Anlage Nr. 3.1 requires ships approaching the Inner German Bight from the west to report to 'German Bight Traffic' at 007° 10' E 'unabhängig davon, ob das Verkehrstrennungsgebiet German Bight Western Approach benutzt wird' (S6); Nr. 5.1 states traffic is monitored under maritime traffic safety. Coverage evidenced for the eastern part of the scheme and its approach into the Inner German Bight; the western extent of the scheme relative to the VTS area was not verified.</t>
        </is>
      </c>
      <c r="N7" s="66" t="inlineStr">
        <is>
          <t>Unresolved</t>
        </is>
      </c>
      <c r="O7" s="66" t="n"/>
      <c r="P7" s="66" t="inlineStr">
        <is>
          <t>National mandatory report (AnlBV Nr. 3.1) at 007° 10' E for ships and tows over 300 GT, expressly regardless of use of this TSS (S6). Not an IMO-adopted SRS.</t>
        </is>
      </c>
      <c r="Q7" s="66" t="n"/>
      <c r="R7" s="66" t="inlineStr">
        <is>
          <t>Report: over 300 GT. Mandatory use of the TSS (AnlBV Nr. 6): oil tankers over 10,000 GT, NLS Z tankers over 10,000 GT, NLS X/Y tankers over 5,000 GT, gas tankers over 10,000 GT approaching or leaving the Inner German Bight from the west. Mandatory route for tankers from North Hinder to the German Bight applies to oil tankers 10,000 GT and over, chemical/NLS tankers 5,000 GT (X/Y) or 10,000 GT (Z) and over, and gas carriers 10,000 GT and over (S1, annex 4). Reports under AnlBV Anlage Nr. 3.1 and SeeSchStrO section 58 are made to German Bight Traffic, a VTS. Recorded under the service as VTS reporting duties (national statute, not an IMO-adopted scheme).</t>
        </is>
      </c>
      <c r="S7" s="66" t="inlineStr">
        <is>
          <t>Complex</t>
        </is>
      </c>
      <c r="T7" s="66" t="inlineStr">
        <is>
          <t>National mandatory reporting plus national mandatory-use rule, IMO mandatory tanker route and 2025 containership recommendation overlap; cross-border Dutch/German routeing context.</t>
        </is>
      </c>
      <c r="U7" s="66" t="inlineStr">
        <is>
          <t>SRC-024; SRC-027; SRC-028; SRC-029; SRC-031; SRC-033; SRC-034; SRC-050</t>
        </is>
      </c>
      <c r="V7" s="66" t="inlineStr">
        <is>
          <t>Exact westward extent of the scheme and whether any part lies in Netherlands waters not verified. IMO text of the 2024 containership recommendation (MSC 109) not retrieved. No evidence found of any recent IMO renaming of German TSS, but Circ. texts after 2016 were not all retrieved.</t>
        </is>
      </c>
      <c r="W7" s="66" t="inlineStr">
        <is>
          <t>reporting_finding: Confirmed present -&gt; Unresolved. Reports under AnlBV Anlage Nr. 3.1 and SeeSchStrO section 58 are made to German Bight Traffic, a VTS. Recorded under the service as VTS reporting duties (national statute, not an IMO-adopted scheme). No separate mandatory scheme evidenced.</t>
        </is>
      </c>
    </row>
    <row r="8" ht="90" customHeight="1" s="63">
      <c r="A8" s="66" t="inlineStr">
        <is>
          <t>TSS-0047</t>
        </is>
      </c>
      <c r="B8" s="66" t="inlineStr">
        <is>
          <t>B10</t>
        </is>
      </c>
      <c r="C8" s="66" t="inlineStr">
        <is>
          <t>A</t>
        </is>
      </c>
      <c r="D8" s="66" t="inlineStr">
        <is>
          <t>Elbe Approach</t>
        </is>
      </c>
      <c r="E8" s="66" t="inlineStr">
        <is>
          <t>Elbe approach</t>
        </is>
      </c>
      <c r="F8" s="66" t="inlineStr">
        <is>
          <t>Germany</t>
        </is>
      </c>
      <c r="G8" s="66" t="inlineStr">
        <is>
          <t>Confirmed</t>
        </is>
      </c>
      <c r="H8" s="66" t="inlineStr">
        <is>
          <t>Listed as 'Elbe approach' in IMO Ships' Routeing 2008 (S27) and the Transportstyrelsen 2017 list of IMO schemes (S4). Adopting and latest amending circular not retrieved.</t>
        </is>
      </c>
      <c r="I8" s="66" t="inlineStr">
        <is>
          <t>In force</t>
        </is>
      </c>
      <c r="J8" s="66" t="n"/>
      <c r="K8" s="66" t="inlineStr">
        <is>
          <t>Confirmed present</t>
        </is>
      </c>
      <c r="L8" s="66" t="inlineStr">
        <is>
          <t>VTS-018; VTS-016</t>
        </is>
      </c>
      <c r="M8" s="66" t="inlineStr">
        <is>
          <t>Cuxhaven VTS is responsible for the Elbe 'im Bereich der Elbeansteuerung' (Elbe approach) (S9); the GDWS Bekanntmachung sets the Cuxhaven Elbe Traffic area from buoy Nordergründe-Nord (008° E), with outbound reports there to German Bight Traffic on VHF 80 (S7). Coverage is of the direct approach; the TSS lanes themselves are in the Inner German Bight covered by German Bight Traffic, but the exact TSS-to-sector boundary was not verified.</t>
        </is>
      </c>
      <c r="N8" s="66" t="inlineStr">
        <is>
          <t>Unresolved</t>
        </is>
      </c>
      <c r="O8" s="66" t="n"/>
      <c r="P8" s="66" t="inlineStr">
        <is>
          <t>SeeSchStrO § 58 position report at NGN (008° E) to Cuxhaven Elbe Traffic inbound and German Bight Traffic outbound (S7); AnlBV Nr. 3.1 entry report for ships entering the Inner German Bight from west or north (S6). National, not IMO.</t>
        </is>
      </c>
      <c r="Q8" s="66" t="n"/>
      <c r="R8" s="66" t="inlineStr">
        <is>
          <t>SeeSchStrO § 58: vessels of 50 m LOA or more and ships under § 30(1). AnlBV: over 300 GT. SeeSchStrO section 58 reports on the Elbe approach are made to the VTS centres. Recorded under the service as VTS reporting duties. Reports under AnlBV Anlage Nr. 3.1 and SeeSchStrO section 58 are made to German Bight Traffic, a VTS. Recorded under the service as VTS reporting duties (national statute, not an IMO-adopted scheme).</t>
        </is>
      </c>
      <c r="S8" s="66" t="inlineStr">
        <is>
          <t>Intermediate</t>
        </is>
      </c>
      <c r="T8" s="66" t="inlineStr">
        <is>
          <t>Two VTS services and two national reporting regimes meet at the seaward end of the Elbe.</t>
        </is>
      </c>
      <c r="U8" s="66" t="inlineStr">
        <is>
          <t>SRC-027; SRC-029; SRC-030; SRC-032; SRC-033; SRC-050</t>
        </is>
      </c>
      <c r="V8" s="66" t="inlineStr">
        <is>
          <t>Adopting IMO instrument and current chart geometry not retrieved; confirm whether the TSS lies seaward of NGN (German Bight Traffic sector) or partly within Cuxhaven Elbe Traffic sector.</t>
        </is>
      </c>
      <c r="W8" s="66" t="inlineStr">
        <is>
          <t>reporting_finding: Confirmed present -&gt; Unresolved. SeeSchStrO section 58 reports on the Elbe approach are made to the VTS centres. Recorded under the service as VTS reporting duties. Reports under AnlBV Anlage Nr. 3.1 and SeeSchStrO section 58 are made to German Bight Traffic, a VTS. Recorded under the service as VTS reporting duties (national statute, not an IMO-adopted scheme). No separate mandatory scheme evidenced.</t>
        </is>
      </c>
    </row>
    <row r="9" ht="90" customHeight="1" s="63">
      <c r="A9" s="66" t="inlineStr">
        <is>
          <t>TSS-0048</t>
        </is>
      </c>
      <c r="B9" s="66" t="inlineStr">
        <is>
          <t>B10</t>
        </is>
      </c>
      <c r="C9" s="66" t="inlineStr">
        <is>
          <t>A</t>
        </is>
      </c>
      <c r="D9" s="66" t="inlineStr">
        <is>
          <t>Jade Approach</t>
        </is>
      </c>
      <c r="E9" s="66" t="inlineStr">
        <is>
          <t>Jade approach</t>
        </is>
      </c>
      <c r="F9" s="66" t="inlineStr">
        <is>
          <t>Germany</t>
        </is>
      </c>
      <c r="G9" s="66" t="inlineStr">
        <is>
          <t>Confirmed</t>
        </is>
      </c>
      <c r="H9" s="66" t="inlineStr">
        <is>
          <t>Listed as 'Jade approach' in IMO Ships' Routeing 2008 (S27) and Transportstyrelsen 2017 list (S4). WSV describes it as the link between Terschelling-German Bight and the Western Approach giving access to Weser and Jade from the north (S11). German statute places a pilot transfer position 'im Verkehrstrennungsgebiet Jade Approach' within the Inner German Bight (S6 Nr. 8).</t>
        </is>
      </c>
      <c r="I9" s="66" t="inlineStr">
        <is>
          <t>In force</t>
        </is>
      </c>
      <c r="J9" s="66" t="n"/>
      <c r="K9" s="66" t="inlineStr">
        <is>
          <t>Confirmed present</t>
        </is>
      </c>
      <c r="L9" s="66" t="inlineStr">
        <is>
          <t>VTS-016</t>
        </is>
      </c>
      <c r="M9" s="66" t="inlineStr">
        <is>
          <t>AnlBV Nr. 8 locates the scheme in the Inner German Bight outside the territorial sea; Nr. 5.1 states traffic there is monitored under maritime traffic safety and Nr. 3.1 routes reports to German Bight Traffic (S6). German Bight Traffic monitors the inner German Bight from Borkum to Helgoland (S8).</t>
        </is>
      </c>
      <c r="N9" s="66" t="inlineStr">
        <is>
          <t>Unresolved</t>
        </is>
      </c>
      <c r="O9" s="66" t="n"/>
      <c r="P9" s="66" t="inlineStr">
        <is>
          <t>AnlBV Nr. 3.1 report at 54° 20' N or 007° 10' E; SeeSchStrO § 58 entry report at 54° 15' N west of Helgoland to German Bight Traffic (S6, S7).</t>
        </is>
      </c>
      <c r="Q9" s="66" t="n"/>
      <c r="R9" s="66" t="inlineStr">
        <is>
          <t>AnlBV: over 300 GT. SeeSchStrO § 58: 50 m or more. Compulsory pilotage from the Jade Approach transfer position for large tankers, bulk carriers and other ships per AnlBV Nr. 8 (S6). Reports under AnlBV Anlage Nr. 3.1 and SeeSchStrO section 58 are made to German Bight Traffic, a VTS. Recorded under the service as VTS reporting duties (national statute, not an IMO-adopted scheme).</t>
        </is>
      </c>
      <c r="S9" s="66" t="inlineStr">
        <is>
          <t>Intermediate</t>
        </is>
      </c>
      <c r="T9" s="66" t="inlineStr">
        <is>
          <t>National reporting, VTS and offshore pilotage obligations combine; single VTS.</t>
        </is>
      </c>
      <c r="U9" s="66" t="inlineStr">
        <is>
          <t>SRC-027; SRC-029; SRC-030; SRC-031; SRC-034; SRC-050</t>
        </is>
      </c>
      <c r="V9" s="66" t="inlineStr">
        <is>
          <t>Adopting IMO instrument and any recent amendments not retrieved.</t>
        </is>
      </c>
      <c r="W9" s="66" t="inlineStr">
        <is>
          <t>reporting_finding: Confirmed present -&gt; Unresolved. Reports under AnlBV Anlage Nr. 3.1 and SeeSchStrO section 58 are made to German Bight Traffic, a VTS. Recorded under the service as VTS reporting duties (national statute, not an IMO-adopted scheme). No separate mandatory scheme evidenced.</t>
        </is>
      </c>
    </row>
    <row r="10" ht="90" customHeight="1" s="63">
      <c r="A10" s="66" t="inlineStr">
        <is>
          <t>TSS-0049</t>
        </is>
      </c>
      <c r="B10" s="66" t="inlineStr">
        <is>
          <t>B10</t>
        </is>
      </c>
      <c r="C10" s="66" t="inlineStr">
        <is>
          <t>A</t>
        </is>
      </c>
      <c r="D10" s="66" t="inlineStr">
        <is>
          <t>Terschelling - German Bight</t>
        </is>
      </c>
      <c r="E10" s="66" t="inlineStr">
        <is>
          <t>Terschelling-German Bight</t>
        </is>
      </c>
      <c r="F10" s="66" t="inlineStr">
        <is>
          <t>Netherlands; Germany</t>
        </is>
      </c>
      <c r="G10" s="66" t="inlineStr">
        <is>
          <t>Confirmed</t>
        </is>
      </c>
      <c r="H10" s="66" t="inlineStr">
        <is>
          <t>Amended by COLREG.2/Circ.59 (MSC 83, implemented 1 May 2008) (S1); listed in Ships' Routeing 2008 (S27) and Transportstyrelsen 2017 list (S4). MSC 109 containership recommendation from 1 July 2025 (lead S5).</t>
        </is>
      </c>
      <c r="I10" s="66" t="inlineStr">
        <is>
          <t>In force</t>
        </is>
      </c>
      <c r="J10" s="66" t="n"/>
      <c r="K10" s="66" t="inlineStr">
        <is>
          <t>Confirmed present</t>
        </is>
      </c>
      <c r="L10" s="66" t="inlineStr">
        <is>
          <t>VTS-016</t>
        </is>
      </c>
      <c r="M10" s="66" t="inlineStr">
        <is>
          <t>Bekanntmachung 19.1.4 and 19.1.5 require vessels using the TSS 'Terschelling - German Bight' and its inshore traffic zone to report to German Bight Traffic at Borkumriff buoy (VHF 79) and at TG 17/C eastbound (VHF 80) (S7). This establishes coverage of the German (eastern) part only. For the Dutch part: No Dutch VTS was found whose defined area covers this offshore scheme. The Netherlands Coastguard performs Vessel Traffic Monitoring (VTMon) and distinguishes VTS as provided by traffic centres (S14, S15); VTMon is recorded as a lead only, not as a VTS.</t>
        </is>
      </c>
      <c r="N10" s="66" t="inlineStr">
        <is>
          <t>Unresolved</t>
        </is>
      </c>
      <c r="O10" s="66" t="n"/>
      <c r="P10" s="66" t="inlineStr">
        <is>
          <t>SeeSchStrO § 58 entry and position reports (vessels 50 m or more) and AnlBV Nr. 3.1 (over 300 GT) apply on the German part (S6, S7). National, not IMO. No mandatory reporting identified for the Dutch part.</t>
        </is>
      </c>
      <c r="Q10" s="66" t="inlineStr">
        <is>
          <t>Netherlands Coastguard broadcasts wave-height advice for container ships in TSS Terschelling-German Bight and may advise the northern route; advice is not binding (S13).</t>
        </is>
      </c>
      <c r="R10" s="66" t="inlineStr">
        <is>
          <t>Mandatory route for tankers from North Hinder to the German Bight applies to oil tankers 10,000 GT and over, chemical/NLS tankers 5,000 GT (X/Y) or 10,000 GT (Z) and over, and gas carriers 10,000 GT and over (S1, annex 4). Coastguard advice targets container ships 100 to 200 m at 3 m waves and over 200 m at 4 m waves (S13). Reports under AnlBV Anlage Nr. 3.1 and SeeSchStrO section 58 are made to German Bight Traffic, a VTS. Recorded under the service as VTS reporting duties (national statute, not an IMO-adopted scheme).</t>
        </is>
      </c>
      <c r="S10" s="66" t="inlineStr">
        <is>
          <t>Complex</t>
        </is>
      </c>
      <c r="T10" s="66" t="inlineStr">
        <is>
          <t>Cross-border scheme: German VTS and national reporting on eastern part, no VTS evidenced on Dutch part, plus mandatory tanker route and containership advice.</t>
        </is>
      </c>
      <c r="U10" s="66" t="inlineStr">
        <is>
          <t>SRC-024; SRC-027; SRC-028; SRC-029; SRC-030; SRC-031; SRC-034; SRC-036; SRC-037; SRC-038; SRC-050</t>
        </is>
      </c>
      <c r="V10" s="66" t="inlineStr">
        <is>
          <t>Exact boundary between German Bight Traffic coverage and the Dutch part not verified. Rijkswaterstaat Brandaris (Terschelling) VTS designation could not be read (officielebekendmakingen.nl returned HTTP 403); search snippets indicate its area is the Terschelling zeegat approach, not the TSS.</t>
        </is>
      </c>
      <c r="W10" s="66" t="inlineStr">
        <is>
          <t>reporting_finding: Confirmed present -&gt; Unresolved. Reports under AnlBV Anlage Nr. 3.1 and SeeSchStrO section 58 are made to German Bight Traffic, a VTS. Recorded under the service as VTS reporting duties (national statute, not an IMO-adopted scheme). No separate mandatory scheme evidenced.</t>
        </is>
      </c>
    </row>
    <row r="11" ht="90" customHeight="1" s="63">
      <c r="A11" s="66" t="inlineStr">
        <is>
          <t>TSS-0050</t>
        </is>
      </c>
      <c r="B11" s="66" t="inlineStr">
        <is>
          <t>B10</t>
        </is>
      </c>
      <c r="C11" s="66" t="inlineStr">
        <is>
          <t>A</t>
        </is>
      </c>
      <c r="D11" s="66" t="inlineStr">
        <is>
          <t>Vlieland North</t>
        </is>
      </c>
      <c r="E11" s="66" t="inlineStr">
        <is>
          <t>Vlieland North (part of 'Off Vlieland, Vlieland North and Vlieland Junction')</t>
        </is>
      </c>
      <c r="F11" s="66" t="inlineStr">
        <is>
          <t>Netherlands</t>
        </is>
      </c>
      <c r="G11" s="66" t="inlineStr">
        <is>
          <t>Confirmed</t>
        </is>
      </c>
      <c r="H11" s="66" t="inlineStr">
        <is>
          <t>COLREG.2/Circ.59 (MSC 83, implemented 1 May 2008) amended the special provisions of 'Off Vlieland, Vlieland North and Vlieland Junction' (S1). IMO Ships' Routeing 2008 treats these as one routeing system entry (S27). Component of the same system as TSS-0051.</t>
        </is>
      </c>
      <c r="I11" s="66" t="inlineStr">
        <is>
          <t>In force</t>
        </is>
      </c>
      <c r="J11" s="66" t="inlineStr">
        <is>
          <t>Off Vlieland; Vlieland North; Vlieland Junction</t>
        </is>
      </c>
      <c r="K11" s="66" t="inlineStr">
        <is>
          <t>Unresolved</t>
        </is>
      </c>
      <c r="L11" s="66" t="n"/>
      <c r="M11" s="66" t="inlineStr">
        <is>
          <t>No Dutch VTS was found whose defined area covers this offshore scheme. The Netherlands Coastguard performs Vessel Traffic Monitoring (VTMon) and distinguishes VTS as provided by traffic centres (S14, S15); VTMon is recorded as a lead only, not as a VTS.</t>
        </is>
      </c>
      <c r="N11" s="66" t="inlineStr">
        <is>
          <t>Unresolved</t>
        </is>
      </c>
      <c r="O11" s="66" t="n"/>
      <c r="P11" s="66" t="inlineStr">
        <is>
          <t>No IMO-adopted mandatory ship reporting system or national mandatory reporting specific to this scheme was found. Netherlands Coastguard states it 'has no powers to impose traffic directions' (S13). A failed search is not proof of absence.</t>
        </is>
      </c>
      <c r="Q11" s="66" t="n"/>
      <c r="R11" s="66" t="inlineStr">
        <is>
          <t>Mandatory route for tankers from North Hinder to the German Bight applies to oil tankers 10,000 GT and over, chemical/NLS tankers 5,000 GT (X/Y) or 10,000 GT (Z) and over, and gas carriers 10,000 GT and over (S1, annex 4).</t>
        </is>
      </c>
      <c r="S11" s="66" t="inlineStr">
        <is>
          <t>Intermediate</t>
        </is>
      </c>
      <c r="T11" s="66" t="inlineStr">
        <is>
          <t>Part of a multi-component routeing system linked to the IMO mandatory tanker route; no VTS or reporting identified.</t>
        </is>
      </c>
      <c r="U11" s="66" t="inlineStr">
        <is>
          <t>SRC-024; SRC-027; SRC-036; SRC-037; SRC-038; SRC-050</t>
        </is>
      </c>
      <c r="V11" s="66" t="inlineStr">
        <is>
          <t>Duplicate/grouping: likely to merge with TSS-0051 under 'Off Vlieland, Vlieland North and Vlieland Junction'. Current Dutch legal text (puc.overheid.nl) returned HTTP 403.</t>
        </is>
      </c>
      <c r="W11" s="66" t="n"/>
    </row>
    <row r="12" ht="90" customHeight="1" s="63">
      <c r="A12" s="66" t="inlineStr">
        <is>
          <t>TSS-0051</t>
        </is>
      </c>
      <c r="B12" s="66" t="inlineStr">
        <is>
          <t>B11</t>
        </is>
      </c>
      <c r="C12" s="66" t="inlineStr">
        <is>
          <t>A</t>
        </is>
      </c>
      <c r="D12" s="66" t="inlineStr">
        <is>
          <t>Off Vlieland</t>
        </is>
      </c>
      <c r="E12" s="66" t="inlineStr">
        <is>
          <t>Off Vlieland (part of 'Off Vlieland, Vlieland North and Vlieland Junction')</t>
        </is>
      </c>
      <c r="F12" s="66" t="inlineStr">
        <is>
          <t>Netherlands</t>
        </is>
      </c>
      <c r="G12" s="66" t="inlineStr">
        <is>
          <t>Confirmed</t>
        </is>
      </c>
      <c r="H12" s="66" t="inlineStr">
        <is>
          <t>As TSS-0050: amended by COLREG.2/Circ.59, implemented 1 May 2008 (S1); single entry in Ships' Routeing 2008 (S27). MSC 109 containership recommendation covers 'Off Vlieland' from 1 July 2025 (lead S5).</t>
        </is>
      </c>
      <c r="I12" s="66" t="inlineStr">
        <is>
          <t>In force</t>
        </is>
      </c>
      <c r="J12" s="66" t="inlineStr">
        <is>
          <t>Off Vlieland; Vlieland North; Vlieland Junction</t>
        </is>
      </c>
      <c r="K12" s="66" t="inlineStr">
        <is>
          <t>Unresolved</t>
        </is>
      </c>
      <c r="L12" s="66" t="n"/>
      <c r="M12" s="66" t="inlineStr">
        <is>
          <t>No Dutch VTS was found whose defined area covers this offshore scheme. The Netherlands Coastguard performs Vessel Traffic Monitoring (VTMon) and distinguishes VTS as provided by traffic centres (S14, S15); VTMon is recorded as a lead only, not as a VTS.</t>
        </is>
      </c>
      <c r="N12" s="66" t="inlineStr">
        <is>
          <t>Unresolved</t>
        </is>
      </c>
      <c r="O12" s="66" t="n"/>
      <c r="P12" s="66" t="inlineStr">
        <is>
          <t>No IMO-adopted mandatory ship reporting system or national mandatory reporting specific to this scheme was found. Netherlands Coastguard states it 'has no powers to impose traffic directions' (S13). A failed search is not proof of absence.</t>
        </is>
      </c>
      <c r="Q12" s="66" t="inlineStr">
        <is>
          <t>Coastguard container-ship wave advice applies to the southern route north of the West Frisian Islands (S13); relationship to this specific scheme not stated.</t>
        </is>
      </c>
      <c r="R12" s="66" t="inlineStr">
        <is>
          <t>Mandatory route for tankers from North Hinder to the German Bight applies to oil tankers 10,000 GT and over, chemical/NLS tankers 5,000 GT (X/Y) or 10,000 GT (Z) and over, and gas carriers 10,000 GT and over (S1, annex 4).</t>
        </is>
      </c>
      <c r="S12" s="66" t="inlineStr">
        <is>
          <t>Intermediate</t>
        </is>
      </c>
      <c r="T12" s="66" t="inlineStr">
        <is>
          <t>Multi-component system, mandatory tanker route and containership recommendation; no VTS identified.</t>
        </is>
      </c>
      <c r="U12" s="66" t="inlineStr">
        <is>
          <t>SRC-024; SRC-027; SRC-028; SRC-036; SRC-037; SRC-038; SRC-050</t>
        </is>
      </c>
      <c r="V12" s="66" t="inlineStr">
        <is>
          <t>Merge with TSS-0050. Text of the 2024 containership recommendation not retrieved.</t>
        </is>
      </c>
      <c r="W12" s="66" t="n"/>
    </row>
    <row r="13" ht="90" customHeight="1" s="63">
      <c r="A13" s="66" t="inlineStr">
        <is>
          <t>TSS-0052</t>
        </is>
      </c>
      <c r="B13" s="66" t="inlineStr">
        <is>
          <t>B11</t>
        </is>
      </c>
      <c r="C13" s="66" t="inlineStr">
        <is>
          <t>A</t>
        </is>
      </c>
      <c r="D13" s="66" t="inlineStr">
        <is>
          <t>Off Texel</t>
        </is>
      </c>
      <c r="E13" s="66" t="inlineStr">
        <is>
          <t>Off Texel</t>
        </is>
      </c>
      <c r="F13" s="66" t="inlineStr">
        <is>
          <t>Netherlands</t>
        </is>
      </c>
      <c r="G13" s="66" t="inlineStr">
        <is>
          <t>Confirmed</t>
        </is>
      </c>
      <c r="H13" s="66" t="inlineStr">
        <is>
          <t>Amended by COLREG.2/Circ.59 (implemented 1 May 2008) (S1); further amended by COLREG.2/Circ.64 (MSC 91, 2012), implemented 1 August 2013, per the Transportstyrelsen list (S4); Circ.64 text itself not retrieved.</t>
        </is>
      </c>
      <c r="I13" s="66" t="inlineStr">
        <is>
          <t>In force</t>
        </is>
      </c>
      <c r="J13" s="66" t="n"/>
      <c r="K13" s="66" t="inlineStr">
        <is>
          <t>Unresolved</t>
        </is>
      </c>
      <c r="L13" s="66" t="n"/>
      <c r="M13" s="66" t="inlineStr">
        <is>
          <t>No Dutch VTS was found whose defined area covers this offshore scheme. The Netherlands Coastguard performs Vessel Traffic Monitoring (VTMon) and distinguishes VTS as provided by traffic centres (S14, S15); VTMon is recorded as a lead only, not as a VTS. Den Helder port VTS not researched for coverage of this scheme.</t>
        </is>
      </c>
      <c r="N13" s="66" t="inlineStr">
        <is>
          <t>Unresolved</t>
        </is>
      </c>
      <c r="O13" s="66" t="n"/>
      <c r="P13" s="66" t="inlineStr">
        <is>
          <t>No IMO-adopted mandatory ship reporting system or national mandatory reporting specific to this scheme was found. Netherlands Coastguard states it 'has no powers to impose traffic directions' (S13). A failed search is not proof of absence.</t>
        </is>
      </c>
      <c r="Q13" s="66" t="n"/>
      <c r="R13" s="66" t="inlineStr">
        <is>
          <t>Mandatory route for tankers from North Hinder to the German Bight applies to oil tankers 10,000 GT and over, chemical/NLS tankers 5,000 GT (X/Y) or 10,000 GT (Z) and over, and gas carriers 10,000 GT and over (S1, annex 4).</t>
        </is>
      </c>
      <c r="S13" s="66" t="inlineStr">
        <is>
          <t>Intermediate</t>
        </is>
      </c>
      <c r="T13" s="66" t="inlineStr">
        <is>
          <t>Linked to IMO mandatory tanker route; 2013 restructuring of Dutch routeing.</t>
        </is>
      </c>
      <c r="U13" s="66" t="inlineStr">
        <is>
          <t>SRC-024; SRC-027; SRC-037; SRC-038</t>
        </is>
      </c>
      <c r="V13" s="66" t="inlineStr">
        <is>
          <t>Retrieve COLREG.2/Circ.64 (NOAA copy redirects; IMO copy not found). Check Den Helder VTS area against the scheme.</t>
        </is>
      </c>
      <c r="W13" s="66" t="n"/>
    </row>
    <row r="14" ht="90" customHeight="1" s="63">
      <c r="A14" s="66" t="inlineStr">
        <is>
          <t>TSS-0053</t>
        </is>
      </c>
      <c r="B14" s="66" t="inlineStr">
        <is>
          <t>B11</t>
        </is>
      </c>
      <c r="C14" s="66" t="inlineStr">
        <is>
          <t>A</t>
        </is>
      </c>
      <c r="D14" s="66" t="inlineStr">
        <is>
          <t>In the Approaches to IJmuiden</t>
        </is>
      </c>
      <c r="E14" s="66" t="inlineStr">
        <is>
          <t>In the approaches to IJmuiden</t>
        </is>
      </c>
      <c r="F14" s="66" t="inlineStr">
        <is>
          <t>Netherlands</t>
        </is>
      </c>
      <c r="G14" s="66" t="inlineStr">
        <is>
          <t>Confirmed</t>
        </is>
      </c>
      <c r="H14" s="66" t="inlineStr">
        <is>
          <t>New scheme adopted by MSC 91 and circulated as COLREG.2/Circ.64 (2012), implemented 1 August 2013, per Transportstyrelsen list (S4); associated precautionary areas in SN.1/Circ.317 (S4). Separate IMO deep-water route leading to IJmuiden listed in Ships' Routeing 2008 (S27). Circ.64 text not retrieved.</t>
        </is>
      </c>
      <c r="I14" s="66" t="inlineStr">
        <is>
          <t>In force</t>
        </is>
      </c>
      <c r="J14" s="66" t="n"/>
      <c r="K14" s="66" t="inlineStr">
        <is>
          <t>Unresolved</t>
        </is>
      </c>
      <c r="L14" s="66" t="inlineStr">
        <is>
          <t>VTS-019</t>
        </is>
      </c>
      <c r="M14" s="66" t="inlineStr">
        <is>
          <t>VTS North Sea Canal Area covers 'the approaches to IJmuiden ... within a 12-nautical-mile radius ... including the extended IJ-geul deep water channel' (S12). The source does not state that the TSS lanes lie within this area; the extended IJ-geul is a separate IMO deep-water route. VTS named as a strong lead; overlap with the TSS needs chart verification.</t>
        </is>
      </c>
      <c r="N14" s="66" t="inlineStr">
        <is>
          <t>Unresolved</t>
        </is>
      </c>
      <c r="O14" s="66" t="n"/>
      <c r="P14" s="66" t="inlineStr">
        <is>
          <t>No IMO or national mandatory reporting system specific to the TSS found. Within the VTS area there are ordinary VTS reporting duties: report on arrival at 12 nm to Sector IJmuiden VHF 61 and to IJmuiden Approaches VHF 07 'as soon as VHF contact is possible' (S12). These are VTS reporting duties, recorded separately.</t>
        </is>
      </c>
      <c r="Q14" s="66" t="n"/>
      <c r="R14" s="66" t="inlineStr">
        <is>
          <t>VTS reporting and listening watch apply to vessels in the VTS area per S12.</t>
        </is>
      </c>
      <c r="S14" s="66" t="inlineStr">
        <is>
          <t>Intermediate</t>
        </is>
      </c>
      <c r="T14" s="66" t="inlineStr">
        <is>
          <t>TSS, deep-water route, precautionary areas and a port VTS with sector structure; overlap to be confirmed.</t>
        </is>
      </c>
      <c r="U14" s="66" t="inlineStr">
        <is>
          <t>SRC-027; SRC-035; SRC-050</t>
        </is>
      </c>
      <c r="V14" s="66" t="inlineStr">
        <is>
          <t>Retrieve Circ.64 annex or chart INT 1418 to test whether any TSS lane lies within 12 nm of the breakwaters or on the extended IJ-geul. Dutch 2020 to 2023 Notices to Mariners (defensie.nl) returned 404.</t>
        </is>
      </c>
      <c r="W14" s="66" t="n"/>
    </row>
    <row r="15" ht="90" customHeight="1" s="63">
      <c r="A15" s="66" t="inlineStr">
        <is>
          <t>TSS-0054</t>
        </is>
      </c>
      <c r="B15" s="66" t="inlineStr">
        <is>
          <t>B11</t>
        </is>
      </c>
      <c r="C15" s="66" t="inlineStr">
        <is>
          <t>A</t>
        </is>
      </c>
      <c r="D15" s="66" t="inlineStr">
        <is>
          <t>Off Brown Ridge</t>
        </is>
      </c>
      <c r="E15" s="66" t="n"/>
      <c r="F15" s="66" t="inlineStr">
        <is>
          <t>Netherlands (presumed)</t>
        </is>
      </c>
      <c r="G15" s="66" t="inlineStr">
        <is>
          <t>Provisional</t>
        </is>
      </c>
      <c r="H15" s="66" t="inlineStr">
        <is>
          <t>Existence of a TSS 'Off Brown Ridge' is indicated only by leads: Wikipedia list 'Brown Ridge' (S30) and search snippets describing a deep-water route linking TSS Off Brown Ridge to TSS West Friesland and the 1 August 2013 Dutch re-routeing. Not found in Ships' Routeing 2008 contents (S27) or Transportstyrelsen 2017 list (S4) as a separate entry; may be a component of 'Off Friesland' or of the 2013 Dutch routeing package. Adopting instrument not retrieved.</t>
        </is>
      </c>
      <c r="I15" s="66" t="inlineStr">
        <is>
          <t>Not established</t>
        </is>
      </c>
      <c r="J15" s="66" t="n"/>
      <c r="K15" s="66" t="inlineStr">
        <is>
          <t>Unresolved</t>
        </is>
      </c>
      <c r="L15" s="66" t="n"/>
      <c r="M15" s="66" t="inlineStr">
        <is>
          <t>No Dutch VTS was found whose defined area covers this offshore scheme. The Netherlands Coastguard performs Vessel Traffic Monitoring (VTMon) and distinguishes VTS as provided by traffic centres (S14, S15); VTMon is recorded as a lead only, not as a VTS.</t>
        </is>
      </c>
      <c r="N15" s="66" t="inlineStr">
        <is>
          <t>Unresolved</t>
        </is>
      </c>
      <c r="O15" s="66" t="n"/>
      <c r="P15" s="66" t="inlineStr">
        <is>
          <t>No IMO-adopted mandatory ship reporting system or national mandatory reporting specific to this scheme was found. Netherlands Coastguard states it 'has no powers to impose traffic directions' (S13). A failed search is not proof of absence.</t>
        </is>
      </c>
      <c r="Q15" s="66" t="n"/>
      <c r="R15" s="66" t="inlineStr">
        <is>
          <t>Search snippet (lead) states it forms part of a mandatory route for some classes of vessels; not verified.</t>
        </is>
      </c>
      <c r="S15" s="66" t="inlineStr">
        <is>
          <t>Not assessed</t>
        </is>
      </c>
      <c r="T15" s="66" t="inlineStr">
        <is>
          <t>Identity not confirmed.</t>
        </is>
      </c>
      <c r="U15" s="66" t="inlineStr">
        <is>
          <t>SRC-027; SRC-050; SRC-053</t>
        </is>
      </c>
      <c r="V15" s="66" t="inlineStr">
        <is>
          <t>Identify adopting instrument (possibly COLREG.2/Circ.64 or a 2012/2013 Dutch package); Dutch official texts on puc.overheid.nl blocked (HTTP 403); Dutch NtM 2017 no.183 returned 404.</t>
        </is>
      </c>
      <c r="W15" s="66" t="n"/>
    </row>
    <row r="16" ht="90" customHeight="1" s="63">
      <c r="A16" s="66" t="inlineStr">
        <is>
          <t>TSS-0055</t>
        </is>
      </c>
      <c r="B16" s="66" t="inlineStr">
        <is>
          <t>B11</t>
        </is>
      </c>
      <c r="C16" s="66" t="inlineStr">
        <is>
          <t>A</t>
        </is>
      </c>
      <c r="D16" s="66" t="inlineStr">
        <is>
          <t>West Friesland</t>
        </is>
      </c>
      <c r="E16" s="66" t="inlineStr">
        <is>
          <t>West Friesland scheme (part of routeing system 'Off Friesland')</t>
        </is>
      </c>
      <c r="F16" s="66" t="inlineStr">
        <is>
          <t>Netherlands</t>
        </is>
      </c>
      <c r="G16" s="66" t="inlineStr">
        <is>
          <t>Confirmed</t>
        </is>
      </c>
      <c r="H16" s="66" t="inlineStr">
        <is>
          <t>Component of the 'Off Friesland' routeing system; amended by COLREG.2/Circ.66 (MSC 94, 21 November 2014), implemented 1 June 2015 (S2), corrected by COLREG.2/Circ.66/Corr.1 (MSC 96, 2016, immediate effect) (S3). MSC 109 containership recommendation covers 'Off Friesland' from 1 July 2025 (lead S5).</t>
        </is>
      </c>
      <c r="I16" s="66" t="inlineStr">
        <is>
          <t>In force</t>
        </is>
      </c>
      <c r="J16" s="66" t="inlineStr">
        <is>
          <t>West Friesland; North Friesland; East Friesland; Off Botney Ground (per S1); deep-water routes of 'Off Friesland'</t>
        </is>
      </c>
      <c r="K16" s="66" t="inlineStr">
        <is>
          <t>Unresolved</t>
        </is>
      </c>
      <c r="L16" s="66" t="n"/>
      <c r="M16" s="66" t="inlineStr">
        <is>
          <t>No Dutch VTS was found whose defined area covers this offshore scheme. The Netherlands Coastguard performs Vessel Traffic Monitoring (VTMon) and distinguishes VTS as provided by traffic centres (S14, S15); VTMon is recorded as a lead only, not as a VTS.</t>
        </is>
      </c>
      <c r="N16" s="66" t="inlineStr">
        <is>
          <t>Unresolved</t>
        </is>
      </c>
      <c r="O16" s="66" t="n"/>
      <c r="P16" s="66" t="inlineStr">
        <is>
          <t>No IMO-adopted mandatory ship reporting system or national mandatory reporting specific to this scheme was found. Netherlands Coastguard states it 'has no powers to impose traffic directions' (S13). A failed search is not proof of absence.</t>
        </is>
      </c>
      <c r="Q16" s="66" t="n"/>
      <c r="R16" s="66" t="inlineStr">
        <is>
          <t>Western route of Off Friesland is strongly recommended for deep-draught tankers exempted from the southern part of the mandatory tanker route (S1).</t>
        </is>
      </c>
      <c r="S16" s="66" t="inlineStr">
        <is>
          <t>Intermediate</t>
        </is>
      </c>
      <c r="T16" s="66" t="inlineStr">
        <is>
          <t>Component of a multi-scheme routeing system with deep-water routes and tanker routeing provisions.</t>
        </is>
      </c>
      <c r="U16" s="66" t="inlineStr">
        <is>
          <t>SRC-024; SRC-025; SRC-026; SRC-028; SRC-037; SRC-038</t>
        </is>
      </c>
      <c r="V16" s="66" t="inlineStr">
        <is>
          <t>Grouping: TSS-0055, TSS-0056, TSS-0057 and TSS-0058 appear to be components of the single IMO routeing system 'Off Friesland'; consider merging.</t>
        </is>
      </c>
      <c r="W16" s="66" t="n"/>
    </row>
    <row r="17" ht="90" customHeight="1" s="63">
      <c r="A17" s="66" t="inlineStr">
        <is>
          <t>TSS-0056</t>
        </is>
      </c>
      <c r="B17" s="66" t="inlineStr">
        <is>
          <t>B12</t>
        </is>
      </c>
      <c r="C17" s="66" t="inlineStr">
        <is>
          <t>A</t>
        </is>
      </c>
      <c r="D17" s="66" t="inlineStr">
        <is>
          <t>North Friesland</t>
        </is>
      </c>
      <c r="E17" s="66" t="inlineStr">
        <is>
          <t>North Friesland scheme (part of routeing system 'Off Friesland')</t>
        </is>
      </c>
      <c r="F17" s="66" t="inlineStr">
        <is>
          <t>Netherlands</t>
        </is>
      </c>
      <c r="G17" s="66" t="inlineStr">
        <is>
          <t>Confirmed</t>
        </is>
      </c>
      <c r="H17" s="66" t="inlineStr">
        <is>
          <t>Established within 'Off Friesland' by COLREG.2/Circ.66 (implemented 1 June 2015), with separation zones around 54° 00' to 54° 05' N, 004° 40' to 005° 06' E (S2, S3). Dutch offshore scheme, not the German North Frisian coast. Lead (search summary) says it replaced the Friesland Junction precautionary area; not verified in retrieved text.</t>
        </is>
      </c>
      <c r="I17" s="66" t="inlineStr">
        <is>
          <t>In force</t>
        </is>
      </c>
      <c r="J17" s="66" t="inlineStr">
        <is>
          <t>West Friesland; North Friesland; East Friesland</t>
        </is>
      </c>
      <c r="K17" s="66" t="inlineStr">
        <is>
          <t>Unresolved</t>
        </is>
      </c>
      <c r="L17" s="66" t="n"/>
      <c r="M17" s="66" t="inlineStr">
        <is>
          <t>No Dutch VTS was found whose defined area covers this offshore scheme. The Netherlands Coastguard performs Vessel Traffic Monitoring (VTMon) and distinguishes VTS as provided by traffic centres (S14, S15); VTMon is recorded as a lead only, not as a VTS.</t>
        </is>
      </c>
      <c r="N17" s="66" t="inlineStr">
        <is>
          <t>Unresolved</t>
        </is>
      </c>
      <c r="O17" s="66" t="n"/>
      <c r="P17" s="66" t="inlineStr">
        <is>
          <t>No IMO-adopted mandatory ship reporting system or national mandatory reporting specific to this scheme was found. Netherlands Coastguard states it 'has no powers to impose traffic directions' (S13). A failed search is not proof of absence.</t>
        </is>
      </c>
      <c r="Q17" s="66" t="n"/>
      <c r="R17" s="66" t="n"/>
      <c r="S17" s="66" t="inlineStr">
        <is>
          <t>Intermediate</t>
        </is>
      </c>
      <c r="T17" s="66" t="inlineStr">
        <is>
          <t>Component of multi-scheme routeing system.</t>
        </is>
      </c>
      <c r="U17" s="66" t="inlineStr">
        <is>
          <t>SRC-025; SRC-026; SRC-037; SRC-038</t>
        </is>
      </c>
      <c r="V17" s="66" t="inlineStr">
        <is>
          <t>Merge with TSS-0055/0057. Confirm fate of Friesland Junction precautionary area.</t>
        </is>
      </c>
      <c r="W17" s="66" t="n"/>
    </row>
    <row r="18" ht="90" customHeight="1" s="63">
      <c r="A18" s="66" t="inlineStr">
        <is>
          <t>TSS-0057</t>
        </is>
      </c>
      <c r="B18" s="66" t="inlineStr">
        <is>
          <t>B12</t>
        </is>
      </c>
      <c r="C18" s="66" t="inlineStr">
        <is>
          <t>A</t>
        </is>
      </c>
      <c r="D18" s="66" t="inlineStr">
        <is>
          <t>East Friesland</t>
        </is>
      </c>
      <c r="E18" s="66" t="inlineStr">
        <is>
          <t>East Friesland scheme (part of routeing system 'Off Friesland')</t>
        </is>
      </c>
      <c r="F18" s="66" t="inlineStr">
        <is>
          <t>Netherlands</t>
        </is>
      </c>
      <c r="G18" s="66" t="inlineStr">
        <is>
          <t>Confirmed</t>
        </is>
      </c>
      <c r="H18" s="66" t="inlineStr">
        <is>
          <t>Amended within 'Off Friesland' by COLREG.2/Circ.66 (implemented 1 June 2015) and Corr.1 (2016) (S2, S3). Dutch offshore scheme around 54° 02' to 54° 06' N, 005° 08' to 005° 10' E at its western boundary; not the German East Frisian coast.</t>
        </is>
      </c>
      <c r="I18" s="66" t="inlineStr">
        <is>
          <t>In force</t>
        </is>
      </c>
      <c r="J18" s="66" t="inlineStr">
        <is>
          <t>West Friesland; North Friesland; East Friesland</t>
        </is>
      </c>
      <c r="K18" s="66" t="inlineStr">
        <is>
          <t>Unresolved</t>
        </is>
      </c>
      <c r="L18" s="66" t="n"/>
      <c r="M18" s="66" t="inlineStr">
        <is>
          <t>No Dutch VTS was found whose defined area covers this offshore scheme. The Netherlands Coastguard performs Vessel Traffic Monitoring (VTMon) and distinguishes VTS as provided by traffic centres (S14, S15); VTMon is recorded as a lead only, not as a VTS.</t>
        </is>
      </c>
      <c r="N18" s="66" t="inlineStr">
        <is>
          <t>Unresolved</t>
        </is>
      </c>
      <c r="O18" s="66" t="n"/>
      <c r="P18" s="66" t="inlineStr">
        <is>
          <t>No IMO-adopted mandatory ship reporting system or national mandatory reporting specific to this scheme was found. Netherlands Coastguard states it 'has no powers to impose traffic directions' (S13). A failed search is not proof of absence.</t>
        </is>
      </c>
      <c r="Q18" s="66" t="n"/>
      <c r="R18" s="66" t="n"/>
      <c r="S18" s="66" t="inlineStr">
        <is>
          <t>Intermediate</t>
        </is>
      </c>
      <c r="T18" s="66" t="inlineStr">
        <is>
          <t>Component of multi-scheme routeing system.</t>
        </is>
      </c>
      <c r="U18" s="66" t="inlineStr">
        <is>
          <t>SRC-025; SRC-026; SRC-037; SRC-038</t>
        </is>
      </c>
      <c r="V18" s="66" t="inlineStr">
        <is>
          <t>Merge with TSS-0055/0056. Eastern extent (toward German EEZ) not verified.</t>
        </is>
      </c>
      <c r="W18" s="66" t="n"/>
    </row>
    <row r="19" ht="90" customHeight="1" s="63">
      <c r="A19" s="66" t="inlineStr">
        <is>
          <t>TSS-0058</t>
        </is>
      </c>
      <c r="B19" s="66" t="inlineStr">
        <is>
          <t>B12</t>
        </is>
      </c>
      <c r="C19" s="66" t="inlineStr">
        <is>
          <t>A</t>
        </is>
      </c>
      <c r="D19" s="66" t="inlineStr">
        <is>
          <t>Off Botney Ground</t>
        </is>
      </c>
      <c r="E19" s="66" t="inlineStr">
        <is>
          <t>Off Botney Ground (part of western route of routeing system 'Off Friesland')</t>
        </is>
      </c>
      <c r="F19" s="66" t="inlineStr">
        <is>
          <t>Netherlands (presumed; UK/NL boundary area not verified)</t>
        </is>
      </c>
      <c r="G19" s="66" t="inlineStr">
        <is>
          <t>Confirmed</t>
        </is>
      </c>
      <c r="H19" s="66" t="inlineStr">
        <is>
          <t>COLREG.2/Circ.59 names 'TSS Off Botney Ground' as part of the alternative western route of the routeing system 'Off Friesland' for deep-draught tankers (S1). Not a separate entry in Ships' Routeing 2008 contents (S27). Currency after 2015 not separately verified.</t>
        </is>
      </c>
      <c r="I19" s="66" t="inlineStr">
        <is>
          <t>In force</t>
        </is>
      </c>
      <c r="J19" s="66" t="n"/>
      <c r="K19" s="66" t="inlineStr">
        <is>
          <t>Unresolved</t>
        </is>
      </c>
      <c r="L19" s="66" t="n"/>
      <c r="M19" s="66" t="inlineStr">
        <is>
          <t>No Dutch VTS was found whose defined area covers this offshore scheme. The Netherlands Coastguard performs Vessel Traffic Monitoring (VTMon) and distinguishes VTS as provided by traffic centres (S14, S15); VTMon is recorded as a lead only, not as a VTS.</t>
        </is>
      </c>
      <c r="N19" s="66" t="inlineStr">
        <is>
          <t>Unresolved</t>
        </is>
      </c>
      <c r="O19" s="66" t="n"/>
      <c r="P19" s="66" t="inlineStr">
        <is>
          <t>No IMO-adopted mandatory ship reporting system or national mandatory reporting specific to this scheme was found. Netherlands Coastguard states it 'has no powers to impose traffic directions' (S13). A failed search is not proof of absence.</t>
        </is>
      </c>
      <c r="Q19" s="66" t="n"/>
      <c r="R19" s="66" t="inlineStr">
        <is>
          <t>Deep-draught tankers exempted from the southern part of the mandatory tanker route are 'strongly recommended' to use this western route and log the deviation (S1).</t>
        </is>
      </c>
      <c r="S19" s="66" t="inlineStr">
        <is>
          <t>Intermediate</t>
        </is>
      </c>
      <c r="T19" s="66" t="inlineStr">
        <is>
          <t>Offshore component linked to tanker routeing provisions; State responsibility to confirm.</t>
        </is>
      </c>
      <c r="U19" s="66" t="inlineStr">
        <is>
          <t>SRC-024; SRC-050; SRC-053</t>
        </is>
      </c>
      <c r="V19" s="66" t="inlineStr">
        <is>
          <t>Confirm coordinates and responsible State; confirm whether still in force after the 2015 Off Friesland amendments. Consider grouping with Off Friesland records.</t>
        </is>
      </c>
      <c r="W19" s="66" t="n"/>
    </row>
    <row r="20" ht="90" customHeight="1" s="63">
      <c r="A20" s="66" t="inlineStr">
        <is>
          <t>TSS-0059</t>
        </is>
      </c>
      <c r="B20" s="66" t="inlineStr">
        <is>
          <t>B12</t>
        </is>
      </c>
      <c r="C20" s="66" t="inlineStr">
        <is>
          <t>A</t>
        </is>
      </c>
      <c r="D20" s="66" t="inlineStr">
        <is>
          <t>Off Ushant (Île d'Ouessant)</t>
        </is>
      </c>
      <c r="E20" s="66" t="inlineStr">
        <is>
          <t>Off Ushant</t>
        </is>
      </c>
      <c r="F20" s="66" t="inlineStr">
        <is>
          <t>France</t>
        </is>
      </c>
      <c r="G20" s="66" t="inlineStr">
        <is>
          <t>Confirmed</t>
        </is>
      </c>
      <c r="H20" s="66" t="inlineStr">
        <is>
          <t>Amended by COLREG.2/Circ.51 (MSC 75), implemented 1 May 2003 (S18); further amended by COLREG.2/Circ.64 (MSC 91), implemented 1 June 2013 per search result (Circ.64 text not retrieved). French ministry 2024 confirms DST Ouessant under CROSS Corsen (S19).</t>
        </is>
      </c>
      <c r="I20" s="66" t="inlineStr">
        <is>
          <t>In force</t>
        </is>
      </c>
      <c r="J20" s="66" t="n"/>
      <c r="K20" s="66" t="inlineStr">
        <is>
          <t>Confirmed present</t>
        </is>
      </c>
      <c r="L20" s="66" t="inlineStr">
        <is>
          <t>VTS-021</t>
        </is>
      </c>
      <c r="M20" s="66" t="inlineStr">
        <is>
          <t>IMO MSC.52(66): OUESSREP area 'covers a circular area 35 miles in radius centred on the Ile d'Ouessant' and 'The TSS covers the entire area'; shore authority is the Corsen/Ouessant VTS 'Ushant Traffic' at CROSS Corsen, VHF 13 (S16). French ministry 2024: 'DST Ouessant : zone de compétences CROSS Corsen' (S19).</t>
        </is>
      </c>
      <c r="N20" s="66" t="inlineStr">
        <is>
          <t>Confirmed present</t>
        </is>
      </c>
      <c r="O20" s="66" t="inlineStr">
        <is>
          <t>SRS-009</t>
        </is>
      </c>
      <c r="P20" s="66" t="inlineStr">
        <is>
          <t>OUESSREP, IMO-adopted SOLAS mandatory ship reporting system (MSC.52(66), amended MSC.251(83) in force 1 May 2008) covering the TSS (S16, S17); French 2024 publication confirms Channel CROSS monitor ships over 300 UMS 'soumis à un compte rendu obligatoire' (S19).</t>
        </is>
      </c>
      <c r="Q20" s="66" t="n"/>
      <c r="R20" s="66" t="inlineStr">
        <is>
          <t>Ships of more than 300 GRT (S16). Report content amended 2008 to include bunker quantity for ships carrying over 5,000 t bunkers (S17).</t>
        </is>
      </c>
      <c r="S20" s="66" t="inlineStr">
        <is>
          <t>Intermediate</t>
        </is>
      </c>
      <c r="T20" s="66" t="inlineStr">
        <is>
          <t>Single VTS with IMO mandatory reporting; well documented.</t>
        </is>
      </c>
      <c r="U20" s="66" t="inlineStr">
        <is>
          <t>SRC-039; SRC-040; SRC-041; SRC-042</t>
        </is>
      </c>
      <c r="V20" s="66" t="inlineStr">
        <is>
          <t>A current CROSS Corsen or Premar Atlantique page with VHF channels was not retrieved; channels are from the 1996 IMO text.</t>
        </is>
      </c>
      <c r="W20" s="66" t="n"/>
    </row>
    <row r="21" ht="90" customHeight="1" s="63">
      <c r="A21" s="66" t="inlineStr">
        <is>
          <t>TSS-0060</t>
        </is>
      </c>
      <c r="B21" s="66" t="inlineStr">
        <is>
          <t>B12</t>
        </is>
      </c>
      <c r="C21" s="66" t="inlineStr">
        <is>
          <t>A</t>
        </is>
      </c>
      <c r="D21" s="66" t="inlineStr">
        <is>
          <t>Off Finisterre</t>
        </is>
      </c>
      <c r="E21" s="66" t="inlineStr">
        <is>
          <t>Off Finisterre</t>
        </is>
      </c>
      <c r="F21" s="66" t="inlineStr">
        <is>
          <t>Spain</t>
        </is>
      </c>
      <c r="G21" s="66" t="inlineStr">
        <is>
          <t>Confirmed</t>
        </is>
      </c>
      <c r="H21" s="66" t="inlineStr">
        <is>
          <t>Originally adopted by A.767(18) (cited in S20); amended by A.957(23), implemented 1 June 2004, adding lanes for ships carrying dangerous or pollutant cargoes in bulk (S21). Listed in Ships' Routeing 2008 (S27).</t>
        </is>
      </c>
      <c r="I21" s="66" t="inlineStr">
        <is>
          <t>In force</t>
        </is>
      </c>
      <c r="J21" s="66" t="n"/>
      <c r="K21" s="66" t="inlineStr">
        <is>
          <t>Confirmed present</t>
        </is>
      </c>
      <c r="L21" s="66" t="inlineStr">
        <is>
          <t>VTS-022</t>
        </is>
      </c>
      <c r="M21" s="66" t="inlineStr">
        <is>
          <t>MSC.63(67): FINREP area 'includes the traffic separation scheme "off Finisterre"' and ships 'shall report to the Finisterre Traffic VTS' (S20). The amended 2004 outer southbound lane reaches 010° 13.7' W (S21), slightly west of the 1996 FINREP limit (010° 10' W), so coverage of the outermost lane is not evidenced.</t>
        </is>
      </c>
      <c r="N21" s="66" t="inlineStr">
        <is>
          <t>Confirmed present</t>
        </is>
      </c>
      <c r="O21" s="66" t="inlineStr">
        <is>
          <t>SRS-010</t>
        </is>
      </c>
      <c r="P21" s="66" t="inlineStr">
        <is>
          <t>FINREP, IMO-adopted mandatory SRS in force 3 June 1997 (S20).</t>
        </is>
      </c>
      <c r="Q21" s="66" t="n"/>
      <c r="R21" s="66" t="inlineStr">
        <is>
          <t>FINREP: ships of 50 m LOA or more; ships carrying hazardous or potentially polluting cargo; tows over 50 m; smaller vessels fishing in or using lanes in emergency (S20). Dangerous cargo ships use designated outer lanes (S21).</t>
        </is>
      </c>
      <c r="S21" s="66" t="inlineStr">
        <is>
          <t>Intermediate</t>
        </is>
      </c>
      <c r="T21" s="66" t="inlineStr">
        <is>
          <t>VTS with IMO mandatory reporting; cargo-based lane allocation; possible mismatch of FINREP limit with amended TSS.</t>
        </is>
      </c>
      <c r="U21" s="66" t="inlineStr">
        <is>
          <t>SRC-043; SRC-044; SRC-045; SRC-050</t>
        </is>
      </c>
      <c r="V21" s="66" t="inlineStr">
        <is>
          <t>Salvamento Marítimo website returned HTTP 503/TLS failure, so current VTS name and VHF channel not confirmed from operator; only a 2025 news lead (S22). Check whether FINREP geographical limits were amended after 2004.</t>
        </is>
      </c>
      <c r="W21" s="66" t="n"/>
    </row>
    <row r="22" ht="90" customHeight="1" s="63">
      <c r="A22" s="66" t="inlineStr">
        <is>
          <t>TSS-0061</t>
        </is>
      </c>
      <c r="B22" s="66" t="inlineStr">
        <is>
          <t>B13</t>
        </is>
      </c>
      <c r="C22" s="66" t="inlineStr">
        <is>
          <t>A</t>
        </is>
      </c>
      <c r="D22" s="66" t="inlineStr">
        <is>
          <t>Off Cape Roca (Cabo da Roca)</t>
        </is>
      </c>
      <c r="E22" s="66" t="inlineStr">
        <is>
          <t>Off Cape Roca</t>
        </is>
      </c>
      <c r="F22" s="66" t="inlineStr">
        <is>
          <t>Portugal</t>
        </is>
      </c>
      <c r="G22" s="66" t="inlineStr">
        <is>
          <t>Confirmed</t>
        </is>
      </c>
      <c r="H22" s="66" t="inlineStr">
        <is>
          <t>Amended by MSC 79 (December 2004) with entry into force 1 July 2005 (S23 preamble) and again by COLREG.2/Circ.61 (MSC 87), implemented 1 December 2010 (S26). Established in Portuguese law as 'EST do cabo da Roca' (S23 art. 4).</t>
        </is>
      </c>
      <c r="I22" s="66" t="inlineStr">
        <is>
          <t>In force</t>
        </is>
      </c>
      <c r="J22" s="66" t="n"/>
      <c r="K22" s="66" t="inlineStr">
        <is>
          <t>Confirmed present</t>
        </is>
      </c>
      <c r="L22" s="66" t="inlineStr">
        <is>
          <t>VTS-023</t>
        </is>
      </c>
      <c r="M22" s="66" t="inlineStr">
        <is>
          <t>DL 263/2009 art. 6 defines the coastal VTS area (west limit 10° 14' W north of 38° 41' N) and art. 10(4) gives the CCTMC supervision of 'regras aplicáveis aos esquemas de separação de tráfego' (S24); DL 198/2006 art. 9 assigns TSS enforcement to the national VTS authority (S23). All Circ.61 positions of the scheme (westmost 010° 13.78' W) fall inside the statutory VTS area on coordinate comparison (S26).</t>
        </is>
      </c>
      <c r="N22" s="66" t="inlineStr">
        <is>
          <t>Confirmed present</t>
        </is>
      </c>
      <c r="O22" s="66" t="inlineStr">
        <is>
          <t>SRS-011</t>
        </is>
      </c>
      <c r="P22" s="66" t="inlineStr">
        <is>
          <t>COPREP (MSC.278(85), in force 1 June 2009) area bounded west by 010° 14' W and to the south-west by the line 38° 41' N 010° 14' W to 36° 30' N 009° 35' W (S25); the scheme lies inside on coordinate comparison. Reports to Roca Control.</t>
        </is>
      </c>
      <c r="Q22" s="66" t="inlineStr">
        <is>
          <t>COPREP invites any other vessel type to participate voluntarily (S25).</t>
        </is>
      </c>
      <c r="R22" s="66" t="inlineStr">
        <is>
          <t>COPREP and VTS: ships of 300 GT or above, dangerous/polluting cargo, passenger ships, tows over 100 m, fishing vessels 24 m or more (S24, S25). Separate lanes for ships carrying dangerous or pollutant cargoes in bulk (S26).</t>
        </is>
      </c>
      <c r="S22" s="66" t="inlineStr">
        <is>
          <t>Intermediate</t>
        </is>
      </c>
      <c r="T22" s="66" t="inlineStr">
        <is>
          <t>Single national coastal VTS with IMO mandatory reporting and cargo-based lanes.</t>
        </is>
      </c>
      <c r="U22" s="66" t="inlineStr">
        <is>
          <t>SRC-046; SRC-047; SRC-048; SRC-049</t>
        </is>
      </c>
      <c r="V22" s="66" t="inlineStr">
        <is>
          <t>DL 263/2009 cites IPTM; current operating authority (DGRM) not confirmed from a DGRM page. Coverage relies on coordinate comparison.</t>
        </is>
      </c>
      <c r="W22" s="66" t="n"/>
    </row>
    <row r="23" ht="90" customHeight="1" s="63">
      <c r="A23" s="66" t="inlineStr">
        <is>
          <t>TSS-0062</t>
        </is>
      </c>
      <c r="B23" s="66" t="inlineStr">
        <is>
          <t>B13</t>
        </is>
      </c>
      <c r="C23" s="66" t="inlineStr">
        <is>
          <t>A</t>
        </is>
      </c>
      <c r="D23" s="66" t="inlineStr">
        <is>
          <t>Off Cape St. Vicente (Cabo de São Vicente)</t>
        </is>
      </c>
      <c r="E23" s="66" t="inlineStr">
        <is>
          <t>Off Cape S. Vicente</t>
        </is>
      </c>
      <c r="F23" s="66" t="inlineStr">
        <is>
          <t>Portugal</t>
        </is>
      </c>
      <c r="G23" s="66" t="inlineStr">
        <is>
          <t>Confirmed</t>
        </is>
      </c>
      <c r="H23" s="66" t="inlineStr">
        <is>
          <t>Amended by MSC 79 (in force 1 July 2005) (S23 preamble) and COLREG.2/Circ.61, implemented 1 December 2010 (S26). 'EST do cabo de São Vicente' in Portuguese law (S23 art. 4).</t>
        </is>
      </c>
      <c r="I23" s="66" t="inlineStr">
        <is>
          <t>In force</t>
        </is>
      </c>
      <c r="J23" s="66" t="n"/>
      <c r="K23" s="66" t="inlineStr">
        <is>
          <t>Confirmed present</t>
        </is>
      </c>
      <c r="L23" s="66" t="inlineStr">
        <is>
          <t>VTS-023</t>
        </is>
      </c>
      <c r="M23" s="66" t="inlineStr">
        <is>
          <t>As TSS-0061: statutory VTS area and CCTMC duty to supervise TSS rules (S24 art. 6, 10(4)); DL 198/2006 art. 9 (S23). Circ.61 positions (around 36° 36' to 37° 02' N, 008° 58' to 009° 34' W for retrieved points) lie inside the VTS area line 38° 41' N 10° 14' W to 36° 30' N 9° 35' W on coordinate comparison (S26).</t>
        </is>
      </c>
      <c r="N23" s="66" t="inlineStr">
        <is>
          <t>Confirmed present</t>
        </is>
      </c>
      <c r="O23" s="66" t="inlineStr">
        <is>
          <t>SRS-011</t>
        </is>
      </c>
      <c r="P23" s="66" t="inlineStr">
        <is>
          <t>COPREP area (S25) encloses the scheme on coordinate comparison; reports to Roca Control.</t>
        </is>
      </c>
      <c r="Q23" s="66" t="inlineStr">
        <is>
          <t>COPREP voluntary participation for other vessel types (S25).</t>
        </is>
      </c>
      <c r="R23" s="66" t="inlineStr">
        <is>
          <t>As TSS-0061.</t>
        </is>
      </c>
      <c r="S23" s="66" t="inlineStr">
        <is>
          <t>Intermediate</t>
        </is>
      </c>
      <c r="T23" s="66" t="inlineStr">
        <is>
          <t>As TSS-0061.</t>
        </is>
      </c>
      <c r="U23" s="66" t="inlineStr">
        <is>
          <t>SRC-046; SRC-047; SRC-048; SRC-049</t>
        </is>
      </c>
      <c r="V23" s="66" t="inlineStr">
        <is>
          <t>Outermost southbound dangerous-cargo lane coordinates not all extracted; verify it lies east of the COPREP/VTS boundary.</t>
        </is>
      </c>
      <c r="W23" s="66" t="n"/>
    </row>
    <row r="24" ht="90" customHeight="1" s="63">
      <c r="A24" s="66" t="inlineStr">
        <is>
          <t>TSS-0063</t>
        </is>
      </c>
      <c r="B24" s="66" t="inlineStr">
        <is>
          <t>B13</t>
        </is>
      </c>
      <c r="C24" s="66" t="inlineStr">
        <is>
          <t>A</t>
        </is>
      </c>
      <c r="D24" s="66" t="inlineStr">
        <is>
          <t>At Banco del Hoyo</t>
        </is>
      </c>
      <c r="E24" s="66" t="inlineStr">
        <is>
          <t>At Banco del Hoyo</t>
        </is>
      </c>
      <c r="F24" s="66" t="inlineStr">
        <is>
          <t>Spain (presumed)</t>
        </is>
      </c>
      <c r="G24" s="66" t="inlineStr">
        <is>
          <t>Provisional</t>
        </is>
      </c>
      <c r="H24" s="66" t="inlineStr">
        <is>
          <t>Listed in IMO Ships' Routeing 2008 contents, Section II Western European waters, page II/32, after Off Cape S. Vicente (S27), and in Transportstyrelsen 2017 list as adopted by A.284(VIII) 1973 with no later amendment (S4). Location, coordinates and responsible State not retrieved.</t>
        </is>
      </c>
      <c r="I24" s="66" t="inlineStr">
        <is>
          <t>In force</t>
        </is>
      </c>
      <c r="J24" s="66" t="n"/>
      <c r="K24" s="66" t="inlineStr">
        <is>
          <t>Unresolved</t>
        </is>
      </c>
      <c r="L24" s="66" t="n"/>
      <c r="M24" s="66" t="inlineStr">
        <is>
          <t>Location not established, so no VTS coverage could be tested. Possible leads (not evidenced): Tarifa VTS / GIBREP if the scheme lies in the western approach to the Strait of Gibraltar, but GIBREP area is 005° 58' W to 005° 15' W only (MSC.63(67) annex 2, S20).</t>
        </is>
      </c>
      <c r="N24" s="66" t="inlineStr">
        <is>
          <t>Unresolved</t>
        </is>
      </c>
      <c r="O24" s="66" t="n"/>
      <c r="P24" s="66" t="inlineStr">
        <is>
          <t>No reporting system linked; location not established.</t>
        </is>
      </c>
      <c r="Q24" s="66" t="n"/>
      <c r="R24" s="66" t="n"/>
      <c r="S24" s="66" t="inlineStr">
        <is>
          <t>Not assessed</t>
        </is>
      </c>
      <c r="T24" s="66" t="inlineStr">
        <is>
          <t>Identity and location unresolved.</t>
        </is>
      </c>
      <c r="U24" s="66" t="inlineStr">
        <is>
          <t>SRC-027; SRC-043; SRC-050; SRC-053</t>
        </is>
      </c>
      <c r="V24" s="66" t="inlineStr">
        <is>
          <t>Retrieve Ships' Routeing Part B II/32 or resolution A.284(VIII) to fix location; confirm whether still in force in 2026.</t>
        </is>
      </c>
      <c r="W24" s="66" t="n"/>
    </row>
    <row r="25" ht="90" customHeight="1" s="63">
      <c r="A25" s="66" t="inlineStr">
        <is>
          <t>TSS-0064</t>
        </is>
      </c>
      <c r="B25" s="66" t="inlineStr">
        <is>
          <t>B13</t>
        </is>
      </c>
      <c r="C25" s="66" t="inlineStr">
        <is>
          <t>A</t>
        </is>
      </c>
      <c r="D25" s="66" t="inlineStr">
        <is>
          <t>Between Grand Canary and Tenerife</t>
        </is>
      </c>
      <c r="E25" s="66" t="inlineStr">
        <is>
          <t>Western Traffic Separation Scheme (between Grand Canary and Tenerife), part of the Canary Islands schemes</t>
        </is>
      </c>
      <c r="F25" s="66" t="inlineStr">
        <is>
          <t>Spain</t>
        </is>
      </c>
      <c r="G25" s="66" t="inlineStr">
        <is>
          <t>Confirmed</t>
        </is>
      </c>
      <c r="H25" s="66" t="inlineStr">
        <is>
          <t>New scheme adopted by MSC 81 in COLREG.2/Circ.57 (26 May 2006), implemented 1 December 2006 (S28). Listed as 'Between Grand Canary and Tenerife' in Ships' Routeing 2008 (S27).</t>
        </is>
      </c>
      <c r="I25" s="66" t="inlineStr">
        <is>
          <t>In force</t>
        </is>
      </c>
      <c r="J25" s="66" t="n"/>
      <c r="K25" s="66" t="inlineStr">
        <is>
          <t>Unresolved</t>
        </is>
      </c>
      <c r="L25" s="66" t="n"/>
      <c r="M25" s="66" t="inlineStr">
        <is>
          <t>No designated VTS found. Primary sources name MRCC Tenerife as recipient of voluntary TSS notifications and CANREP reports (S28, S29), but describe it as an MRCC, not a VTS. MRCC recorded as lead (SVC-es-canarias-mrcc).</t>
        </is>
      </c>
      <c r="N25" s="66" t="inlineStr">
        <is>
          <t>Confirmed present</t>
        </is>
      </c>
      <c r="O25" s="66" t="inlineStr">
        <is>
          <t>SRS-012</t>
        </is>
      </c>
      <c r="P25" s="66" t="inlineStr">
        <is>
          <t>CANREP area is a polygon along the outer limit of the territorial sea enclosing the archipelago, so inter-island waters including this scheme lie inside (S29, section 2.1). Applies only to specified heavy-oil tankers.</t>
        </is>
      </c>
      <c r="Q25" s="66" t="inlineStr">
        <is>
          <t>Ships may notify entry to and departure from the TSS via MRCC Tenerife on VHF 16 (S28).</t>
        </is>
      </c>
      <c r="R25" s="66" t="inlineStr">
        <is>
          <t>CANREP: tankers of 600 dwt and above carrying heavy crude, heavy fuel oil, bitumen or tar, transiting or trading inter-island (S29).</t>
        </is>
      </c>
      <c r="S25" s="66" t="inlineStr">
        <is>
          <t>Intermediate</t>
        </is>
      </c>
      <c r="T25" s="66" t="inlineStr">
        <is>
          <t>Narrow-scope IMO mandatory reporting plus voluntary TSS notification; no VTS.</t>
        </is>
      </c>
      <c r="U25" s="66" t="inlineStr">
        <is>
          <t>SRC-050; SRC-051; SRC-052</t>
        </is>
      </c>
      <c r="V25" s="66" t="inlineStr">
        <is>
          <t>Check whether Salvamento Marítimo operates a VTS function for the Canary TSS (website unavailable). CANREP coverage of the TSS rests on the polygon description; the chartlet was not inspected.</t>
        </is>
      </c>
      <c r="W25" s="66" t="n"/>
    </row>
    <row r="26" ht="90" customHeight="1" s="63">
      <c r="A26" s="66" t="inlineStr">
        <is>
          <t>TSS-0065</t>
        </is>
      </c>
      <c r="B26" s="66" t="inlineStr">
        <is>
          <t>B13</t>
        </is>
      </c>
      <c r="C26" s="66" t="inlineStr">
        <is>
          <t>A</t>
        </is>
      </c>
      <c r="D26" s="66" t="inlineStr">
        <is>
          <t>Between Grand Canary and Fuerteventura</t>
        </is>
      </c>
      <c r="E26" s="66" t="inlineStr">
        <is>
          <t>Eastern Traffic Separation Scheme (between Grand Canary and Fuerteventura), part of the Canary Islands schemes</t>
        </is>
      </c>
      <c r="F26" s="66" t="inlineStr">
        <is>
          <t>Spain</t>
        </is>
      </c>
      <c r="G26" s="66" t="inlineStr">
        <is>
          <t>Confirmed</t>
        </is>
      </c>
      <c r="H26" s="66" t="inlineStr">
        <is>
          <t>New scheme in COLREG.2/Circ.57, implemented 1 December 2006 (S28); includes a precautionary area and inshore traffic zone. Listed in Ships' Routeing 2008 (S27).</t>
        </is>
      </c>
      <c r="I26" s="66" t="inlineStr">
        <is>
          <t>In force</t>
        </is>
      </c>
      <c r="J26" s="66" t="n"/>
      <c r="K26" s="66" t="inlineStr">
        <is>
          <t>Unresolved</t>
        </is>
      </c>
      <c r="L26" s="66" t="n"/>
      <c r="M26" s="66" t="inlineStr">
        <is>
          <t>As TSS-0064; MRCC Las Palmas receives voluntary notifications (S28); no VTS designation found.</t>
        </is>
      </c>
      <c r="N26" s="66" t="inlineStr">
        <is>
          <t>Confirmed present</t>
        </is>
      </c>
      <c r="O26" s="66" t="inlineStr">
        <is>
          <t>SRS-012</t>
        </is>
      </c>
      <c r="P26" s="66" t="inlineStr">
        <is>
          <t>Inside the CANREP polygon (S29); ships entering east of 015° 30' W report to MRCC Las Palmas.</t>
        </is>
      </c>
      <c r="Q26" s="66" t="inlineStr">
        <is>
          <t>Ships may notify entry to and departure from the TSS via MRCC Las Palmas on VHF 16 (S28).</t>
        </is>
      </c>
      <c r="R26" s="66" t="inlineStr">
        <is>
          <t>CANREP: as TSS-0064.</t>
        </is>
      </c>
      <c r="S26" s="66" t="inlineStr">
        <is>
          <t>Intermediate</t>
        </is>
      </c>
      <c r="T26" s="66" t="inlineStr">
        <is>
          <t>As TSS-0064.</t>
        </is>
      </c>
      <c r="U26" s="66" t="inlineStr">
        <is>
          <t>SRC-050; SRC-051; SRC-052</t>
        </is>
      </c>
      <c r="V26" s="66" t="inlineStr">
        <is>
          <t>As TSS-0064.</t>
        </is>
      </c>
      <c r="W26" s="66" t="n"/>
    </row>
    <row r="27" ht="90" customHeight="1" s="63">
      <c r="A27" s="66" t="inlineStr">
        <is>
          <t>TSS-0066</t>
        </is>
      </c>
      <c r="B27" s="66" t="inlineStr">
        <is>
          <t>B14</t>
        </is>
      </c>
      <c r="C27" s="66" t="inlineStr">
        <is>
          <t>B</t>
        </is>
      </c>
      <c r="D27" s="66" t="inlineStr">
        <is>
          <t>In the Strait of Gibraltar</t>
        </is>
      </c>
      <c r="E27" s="66" t="inlineStr">
        <is>
          <t>In the Strait of Gibraltar</t>
        </is>
      </c>
      <c r="F27" s="66" t="inlineStr">
        <is>
          <t>Spain, Morocco</t>
        </is>
      </c>
      <c r="G27" s="66" t="inlineStr">
        <is>
          <t>Confirmed</t>
        </is>
      </c>
      <c r="H27" s="66" t="inlineStr">
        <is>
          <t>Listed as amended scheme in COLREG.2/Circ.40 (implemented 24 Nov 1994) and COLREG.2/Circ.58 (MSC 82, implemented 1 July 2007); MSC.300(87) (2010) refers to the amended TSS within the GIBREP area. Earlier original adoption not traced.</t>
        </is>
      </c>
      <c r="I27" s="66" t="inlineStr">
        <is>
          <t>In force</t>
        </is>
      </c>
      <c r="J27" s="66" t="n"/>
      <c r="K27" s="66" t="inlineStr">
        <is>
          <t>Confirmed present</t>
        </is>
      </c>
      <c r="L27" s="66" t="inlineStr">
        <is>
          <t>VTS-025; VTS-026</t>
        </is>
      </c>
      <c r="M27" s="66" t="inlineStr">
        <is>
          <t>MSC.300(87) annex 3.5.1: both Tarifa and Tangier centres monitor navigation in the TSS using radar and AIS; S11 confirms CCS Tarifa ('Tarifa Tráfico') provides the maritime traffic service in the Strait.</t>
        </is>
      </c>
      <c r="N27" s="66" t="inlineStr">
        <is>
          <t>Confirmed present</t>
        </is>
      </c>
      <c r="O27" s="66" t="inlineStr">
        <is>
          <t>SRS-015</t>
        </is>
      </c>
      <c r="P27" s="66" t="inlineStr">
        <is>
          <t>GIBREP area (005°58'W to 005°15'W) includes the amended TSS (MSC.300(87) annex 2.1).</t>
        </is>
      </c>
      <c r="Q27" s="66" t="n"/>
      <c r="R27" s="66" t="inlineStr">
        <is>
          <t>GIBREP: all ships of 300 GT and over; all ships carrying hazardous or potentially polluting cargo; towing/pushing; vessels under 300 GT using lanes to fish or the separation zone in emergency. Cross-Strait scheduled ferries may have special arrangements.</t>
        </is>
      </c>
      <c r="S27" s="66" t="inlineStr">
        <is>
          <t>Complex</t>
        </is>
      </c>
      <c r="T27" s="66" t="inlineStr">
        <is>
          <t>Two-State shared VTS and mandatory SOLAS V/11 reporting with direction-dependent reporting centres.</t>
        </is>
      </c>
      <c r="U27" s="66" t="inlineStr">
        <is>
          <t>SRC-054; SRC-055; SRC-056; SRC-059</t>
        </is>
      </c>
      <c r="V27" s="66" t="inlineStr">
        <is>
          <t>Lead (news/petition, not primary) that Tarifa Tráfico functions were moved provisionally to CCS Algeciras; not verified because salvamentomaritimo.es returned HTTP 503. Current VHF channels should be rechecked against the latest ALRS/Spanish NtM.</t>
        </is>
      </c>
      <c r="W27" s="66" t="n"/>
    </row>
    <row r="28" ht="90" customHeight="1" s="63">
      <c r="A28" s="66" t="inlineStr">
        <is>
          <t>TSS-0067</t>
        </is>
      </c>
      <c r="B28" s="66" t="inlineStr">
        <is>
          <t>B14</t>
        </is>
      </c>
      <c r="C28" s="66" t="inlineStr">
        <is>
          <t>B</t>
        </is>
      </c>
      <c r="D28" s="66" t="inlineStr">
        <is>
          <t>Off Cabo de Gata</t>
        </is>
      </c>
      <c r="E28" s="66" t="inlineStr">
        <is>
          <t>Off Cabo de Gata</t>
        </is>
      </c>
      <c r="F28" s="66" t="inlineStr">
        <is>
          <t>Spain</t>
        </is>
      </c>
      <c r="G28" s="66" t="inlineStr">
        <is>
          <t>Confirmed</t>
        </is>
      </c>
      <c r="H28" s="66" t="inlineStr">
        <is>
          <t>New scheme in COLREG.2/Circ.44 (MSC 69, implemented 1 Dec 1998); amended by COLREG.2/Circ.57 (MSC 81, implemented 1 Dec 2006). Amended scheme includes an inshore traffic zone.</t>
        </is>
      </c>
      <c r="I28" s="66" t="inlineStr">
        <is>
          <t>In force</t>
        </is>
      </c>
      <c r="J28" s="66" t="n"/>
      <c r="K28" s="66" t="inlineStr">
        <is>
          <t>Confirmed present</t>
        </is>
      </c>
      <c r="L28" s="66" t="inlineStr">
        <is>
          <t>VTS-027</t>
        </is>
      </c>
      <c r="M28" s="66" t="inlineStr">
        <is>
          <t>S11 (Ministry of Transport, Feb 2025): Salvamento Marítimo is responsible for controlling traffic safety in the DST of Cabo de Gata; S12 (2015) counts vessels identified passing the Cabo de Gata DST. Controlling centre (CCS Almería) is lead only.</t>
        </is>
      </c>
      <c r="N28" s="66" t="inlineStr">
        <is>
          <t>Unresolved</t>
        </is>
      </c>
      <c r="O28" s="66" t="n"/>
      <c r="P28" s="66" t="inlineStr">
        <is>
          <t>S11 states Spain's mandatory reporting systems are at Fisterra and the Strait of Gibraltar (plus Canarias PSSA) 'mientras que en el cabo de Gata existe un sistema de notificación voluntaria'. Absence of mandatory reporting positively stated by an official source.</t>
        </is>
      </c>
      <c r="Q28" s="66" t="inlineStr">
        <is>
          <t>Voluntary reporting system at Cabo de Gata (RPT-cabo-de-gata-voluntary); details not retrieved.</t>
        </is>
      </c>
      <c r="R28" s="66" t="n"/>
      <c r="S28" s="66" t="inlineStr">
        <is>
          <t>Intermediate</t>
        </is>
      </c>
      <c r="T28" s="66" t="inlineStr">
        <is>
          <t>Single-State VTS monitoring with voluntary reporting only.</t>
        </is>
      </c>
      <c r="U28" s="66" t="inlineStr">
        <is>
          <t>SRC-054; SRC-056; SRC-057</t>
        </is>
      </c>
      <c r="V28" s="66" t="inlineStr">
        <is>
          <t>Confirm centre name (CCS Almería), call sign and VHF channel from Salvamento Marítimo (site returned HTTP 503) or ALRS Vol 6.</t>
        </is>
      </c>
      <c r="W28" s="66" t="inlineStr">
        <is>
          <t>reporting_finding: Confirmed absent -&gt; Unresolved. Absence rests on a Ministry of Transport magazine article, not a formal complete list. Record the voluntary Cabo de Gata system; confirm absence of mandatory reporting against ALRS Vol 6 or IMO SN.1/Circ.</t>
        </is>
      </c>
    </row>
    <row r="29" ht="90" customHeight="1" s="63">
      <c r="A29" s="66" t="inlineStr">
        <is>
          <t>TSS-0068</t>
        </is>
      </c>
      <c r="B29" s="66" t="inlineStr">
        <is>
          <t>B14</t>
        </is>
      </c>
      <c r="C29" s="66" t="inlineStr">
        <is>
          <t>B</t>
        </is>
      </c>
      <c r="D29" s="66" t="inlineStr">
        <is>
          <t>Off Cape Palos (Cabo de Palos)</t>
        </is>
      </c>
      <c r="E29" s="66" t="inlineStr">
        <is>
          <t>Off Cape Palos</t>
        </is>
      </c>
      <c r="F29" s="66" t="inlineStr">
        <is>
          <t>Spain</t>
        </is>
      </c>
      <c r="G29" s="66" t="inlineStr">
        <is>
          <t>Confirmed</t>
        </is>
      </c>
      <c r="H29" s="66" t="inlineStr">
        <is>
          <t>New scheme in COLREG.2/Circ.52 (MSC 76, implemented 1 July 2003). S11 (2025) lists cabo de Palos among Spain's existing DSTs.</t>
        </is>
      </c>
      <c r="I29" s="66" t="inlineStr">
        <is>
          <t>In force</t>
        </is>
      </c>
      <c r="J29" s="66" t="n"/>
      <c r="K29" s="66" t="inlineStr">
        <is>
          <t>Unresolved</t>
        </is>
      </c>
      <c r="L29" s="66" t="inlineStr">
        <is>
          <t>VTS-028</t>
        </is>
      </c>
      <c r="M29" s="66" t="inlineStr">
        <is>
          <t>S11 lists the DSTs Salvamento Marítimo controls as Fisterra, Tarifa, Cabo de Gata and Canarias, omitting Cabo de Palos, but the same article also states generally that DSTs are controlled by VTS assigned to Salvamento Marítimo. No source establishes CCS Cartagena coverage of the TSS.</t>
        </is>
      </c>
      <c r="N29" s="66" t="inlineStr">
        <is>
          <t>Unresolved</t>
        </is>
      </c>
      <c r="O29" s="66" t="n"/>
      <c r="P29" s="66" t="inlineStr">
        <is>
          <t>S11: 'En España existen sistemas de notificación obligatoria en Fisterra y en el estrecho de Gibraltar' (plus Canarias PSSA); Cabo de Palos not included. Moderate confidence: enumerative statement in an official publication rather than a formal complete list.</t>
        </is>
      </c>
      <c r="Q29" s="66" t="n"/>
      <c r="R29" s="66" t="n"/>
      <c r="S29" s="66" t="inlineStr">
        <is>
          <t>Simple</t>
        </is>
      </c>
      <c r="T29" s="66" t="inlineStr">
        <is>
          <t>Single-State TSS, no mandatory reporting, VTS coverage unclear.</t>
        </is>
      </c>
      <c r="U29" s="66" t="inlineStr">
        <is>
          <t>SRC-054; SRC-056</t>
        </is>
      </c>
      <c r="V29" s="66" t="inlineStr">
        <is>
          <t>Does CCS Cartagena monitor the Palos TSS? salvamentomaritimo.es (HTTP 503) and ALRS not accessible.</t>
        </is>
      </c>
      <c r="W29" s="66" t="inlineStr">
        <is>
          <t>reporting_finding: Confirmed absent -&gt; Unresolved. Absence rests on an enumerative magazine statement (researcher rated moderate confidence). Not sufficient for Confirmed absent.</t>
        </is>
      </c>
    </row>
    <row r="30" ht="90" customHeight="1" s="63">
      <c r="A30" s="66" t="inlineStr">
        <is>
          <t>TSS-0069</t>
        </is>
      </c>
      <c r="B30" s="66" t="inlineStr">
        <is>
          <t>B14</t>
        </is>
      </c>
      <c r="C30" s="66" t="inlineStr">
        <is>
          <t>B</t>
        </is>
      </c>
      <c r="D30" s="66" t="inlineStr">
        <is>
          <t>Off Cape la Nao (Cabo de la Nao)</t>
        </is>
      </c>
      <c r="E30" s="66" t="inlineStr">
        <is>
          <t>Off Cape La Nao</t>
        </is>
      </c>
      <c r="F30" s="66" t="inlineStr">
        <is>
          <t>Spain</t>
        </is>
      </c>
      <c r="G30" s="66" t="inlineStr">
        <is>
          <t>Confirmed</t>
        </is>
      </c>
      <c r="H30" s="66" t="inlineStr">
        <is>
          <t>New scheme in COLREG.2/Circ.52 (MSC 76, implemented 1 July 2003); reference chart Spanish IHM chart 47. S11 (2025) lists cabo de la Nao among Spain's DSTs.</t>
        </is>
      </c>
      <c r="I30" s="66" t="inlineStr">
        <is>
          <t>In force</t>
        </is>
      </c>
      <c r="J30" s="66" t="n"/>
      <c r="K30" s="66" t="inlineStr">
        <is>
          <t>Unresolved</t>
        </is>
      </c>
      <c r="L30" s="66" t="inlineStr">
        <is>
          <t>VTS-029</t>
        </is>
      </c>
      <c r="M30" s="66" t="inlineStr">
        <is>
          <t>As for Cabo de Palos: S11 omits La Nao from the DSTs Salvamento Marítimo controls; no source establishes CCS Valencia coverage.</t>
        </is>
      </c>
      <c r="N30" s="66" t="inlineStr">
        <is>
          <t>Unresolved</t>
        </is>
      </c>
      <c r="O30" s="66" t="n"/>
      <c r="P30" s="66" t="inlineStr">
        <is>
          <t>S11 enumerates Spain's mandatory reporting systems (Fisterra, Gibraltar, Canarias PSSA); La Nao not included. Moderate confidence.</t>
        </is>
      </c>
      <c r="Q30" s="66" t="n"/>
      <c r="R30" s="66" t="n"/>
      <c r="S30" s="66" t="inlineStr">
        <is>
          <t>Simple</t>
        </is>
      </c>
      <c r="T30" s="66" t="inlineStr">
        <is>
          <t>Single-State TSS, no mandatory reporting, VTS coverage unclear.</t>
        </is>
      </c>
      <c r="U30" s="66" t="inlineStr">
        <is>
          <t>SRC-054; SRC-056</t>
        </is>
      </c>
      <c r="V30" s="66" t="inlineStr">
        <is>
          <t>Does CCS Valencia monitor the La Nao TSS? Primary Salvamento Marítimo pages not accessible (HTTP 503).</t>
        </is>
      </c>
      <c r="W30" s="66" t="inlineStr">
        <is>
          <t>reporting_finding: Confirmed absent -&gt; Unresolved. Absence rests on an enumerative magazine statement (researcher rated moderate confidence). Not sufficient for Confirmed absent.</t>
        </is>
      </c>
    </row>
    <row r="31" ht="90" customHeight="1" s="63">
      <c r="A31" s="66" t="inlineStr">
        <is>
          <t>TSS-0070</t>
        </is>
      </c>
      <c r="B31" s="66" t="inlineStr">
        <is>
          <t>B14</t>
        </is>
      </c>
      <c r="C31" s="66" t="inlineStr">
        <is>
          <t>B</t>
        </is>
      </c>
      <c r="D31" s="66" t="inlineStr">
        <is>
          <t>Off Cani Island (Îles Cani)</t>
        </is>
      </c>
      <c r="E31" s="66" t="inlineStr">
        <is>
          <t>North of Cani Island (Off Cani Island)</t>
        </is>
      </c>
      <c r="F31" s="66" t="inlineStr">
        <is>
          <t>Tunisia</t>
        </is>
      </c>
      <c r="G31" s="66" t="inlineStr">
        <is>
          <t>Confirmed</t>
        </is>
      </c>
      <c r="H31" s="66" t="inlineStr">
        <is>
          <t>Tunisian scheme (Îles Cani, off Bizerte coast), not the Bonifacio Strait. Amended by COLREG.2/Circ.58 (MSC 82, implemented 1 July 2007) together with Off Cape Bon; reference chart 150-DST of the Tunisian Hydrographic and Oceanographic Service. Original scheme reported operating since 1 Aug 1970 (search snippet from NOAA document, lead only).</t>
        </is>
      </c>
      <c r="I31" s="66" t="inlineStr">
        <is>
          <t>In force</t>
        </is>
      </c>
      <c r="J31" s="66" t="n"/>
      <c r="K31" s="66" t="inlineStr">
        <is>
          <t>Unresolved</t>
        </is>
      </c>
      <c r="L31" s="66" t="n"/>
      <c r="M31" s="66" t="inlineStr">
        <is>
          <t>No Tunisian VTS or traffic monitoring centre covering the scheme found; searches returned only general coastal surveillance (RMAC) news.</t>
        </is>
      </c>
      <c r="N31" s="66" t="inlineStr">
        <is>
          <t>Unresolved</t>
        </is>
      </c>
      <c r="O31" s="66" t="n"/>
      <c r="P31" s="66" t="inlineStr">
        <is>
          <t>No IMO-adopted SRS for the area in S14 list; national reporting not researched to a primary source.</t>
        </is>
      </c>
      <c r="Q31" s="66" t="n"/>
      <c r="R31" s="66" t="n"/>
      <c r="S31" s="66" t="inlineStr">
        <is>
          <t>Simple</t>
        </is>
      </c>
      <c r="T31" s="66" t="inlineStr">
        <is>
          <t>Single-State TSS with no identified VTS or reporting.</t>
        </is>
      </c>
      <c r="U31" s="66" t="inlineStr">
        <is>
          <t>SRC-054; SRC-059</t>
        </is>
      </c>
      <c r="V31" s="66" t="inlineStr">
        <is>
          <t>Tunisian Marine Marchande / SHOM Tunisie sources not found online. Region hint linking Cani Island to BONIFREP is wrong: BONIFREP (MSC.73(69)) is Corsica/Sardinia and not relevant here.</t>
        </is>
      </c>
      <c r="W31" s="66" t="n"/>
    </row>
    <row r="32" ht="90" customHeight="1" s="63">
      <c r="A32" s="66" t="inlineStr">
        <is>
          <t>TSS-0071</t>
        </is>
      </c>
      <c r="B32" s="66" t="inlineStr">
        <is>
          <t>B15</t>
        </is>
      </c>
      <c r="C32" s="66" t="inlineStr">
        <is>
          <t>B</t>
        </is>
      </c>
      <c r="D32" s="66" t="inlineStr">
        <is>
          <t>Off Cape Bon (Cap Bon)</t>
        </is>
      </c>
      <c r="E32" s="66" t="inlineStr">
        <is>
          <t>North of Cape Bon (Off Cape Bon)</t>
        </is>
      </c>
      <c r="F32" s="66" t="inlineStr">
        <is>
          <t>Tunisia</t>
        </is>
      </c>
      <c r="G32" s="66" t="inlineStr">
        <is>
          <t>Confirmed</t>
        </is>
      </c>
      <c r="H32" s="66" t="inlineStr">
        <is>
          <t>Amended by COLREG.2/Circ.58 (MSC 82, implemented 1 July 2007) with Off Cani Island; reference chart 150-DST (Tunisia). Original scheme reported operating since 1 Aug 1970 (lead only).</t>
        </is>
      </c>
      <c r="I32" s="66" t="inlineStr">
        <is>
          <t>In force</t>
        </is>
      </c>
      <c r="J32" s="66" t="n"/>
      <c r="K32" s="66" t="inlineStr">
        <is>
          <t>Unresolved</t>
        </is>
      </c>
      <c r="L32" s="66" t="n"/>
      <c r="M32" s="66" t="inlineStr">
        <is>
          <t>No Tunisian VTS covering the scheme found.</t>
        </is>
      </c>
      <c r="N32" s="66" t="inlineStr">
        <is>
          <t>Unresolved</t>
        </is>
      </c>
      <c r="O32" s="66" t="n"/>
      <c r="P32" s="66" t="inlineStr">
        <is>
          <t>No IMO-adopted SRS listed for the area (S14); national reporting not established.</t>
        </is>
      </c>
      <c r="Q32" s="66" t="n"/>
      <c r="R32" s="66" t="n"/>
      <c r="S32" s="66" t="inlineStr">
        <is>
          <t>Simple</t>
        </is>
      </c>
      <c r="T32" s="66" t="inlineStr">
        <is>
          <t>Single-State TSS with no identified VTS or reporting.</t>
        </is>
      </c>
      <c r="U32" s="66" t="inlineStr">
        <is>
          <t>SRC-054; SRC-059</t>
        </is>
      </c>
      <c r="V32" s="66" t="inlineStr">
        <is>
          <t>As for TSS-0070; Italian VTS/Pantelleria-Sicily Channel arrangements not researched (outside scheme).</t>
        </is>
      </c>
      <c r="W32" s="66" t="n"/>
    </row>
    <row r="33" ht="90" customHeight="1" s="63">
      <c r="A33" s="66" t="inlineStr">
        <is>
          <t>TSS-0072</t>
        </is>
      </c>
      <c r="B33" s="66" t="inlineStr">
        <is>
          <t>B15</t>
        </is>
      </c>
      <c r="C33" s="66" t="inlineStr">
        <is>
          <t>B</t>
        </is>
      </c>
      <c r="D33" s="66" t="inlineStr">
        <is>
          <t>In the Corsica Channel</t>
        </is>
      </c>
      <c r="E33" s="66" t="inlineStr">
        <is>
          <t>In the Corsica Channel</t>
        </is>
      </c>
      <c r="F33" s="66" t="inlineStr">
        <is>
          <t>France, Italy</t>
        </is>
      </c>
      <c r="G33" s="66" t="inlineStr">
        <is>
          <t>Confirmed</t>
        </is>
      </c>
      <c r="H33" s="66" t="inlineStr">
        <is>
          <t>New scheme in COLREG.2/Circ.67 (MSC 96, implemented 1 Dec 2016), between Cap Corse and Isola Capraia, with ITZ along the Corsican coast; reference charts SHOM 7013 and IIM 40.</t>
        </is>
      </c>
      <c r="I33" s="66" t="inlineStr">
        <is>
          <t>In force</t>
        </is>
      </c>
      <c r="J33" s="66" t="n"/>
      <c r="K33" s="66" t="inlineStr">
        <is>
          <t>Unresolved</t>
        </is>
      </c>
      <c r="L33" s="66" t="n"/>
      <c r="M33" s="66" t="inlineStr">
        <is>
          <t>Italian Guardia Costiera lists 11 VTS centres (S18, S19); none (Livorno not among them) is shown to cover the Corsica Channel. French coverage (CROSS MED) not researched to primary; CROSS is not a VTS.</t>
        </is>
      </c>
      <c r="N33" s="66" t="inlineStr">
        <is>
          <t>Unresolved</t>
        </is>
      </c>
      <c r="O33" s="66" t="n"/>
      <c r="P33" s="66" t="inlineStr">
        <is>
          <t>No IMO SRS for the Corsica Channel in S14 (2017 list); any later measure or national reporting not found.</t>
        </is>
      </c>
      <c r="Q33" s="66" t="n"/>
      <c r="R33" s="66" t="n"/>
      <c r="S33" s="66" t="inlineStr">
        <is>
          <t>Intermediate</t>
        </is>
      </c>
      <c r="T33" s="66" t="inlineStr">
        <is>
          <t>Bi-national scheme; no identified VTS, possible national arrangements.</t>
        </is>
      </c>
      <c r="U33" s="66" t="inlineStr">
        <is>
          <t>SRC-054; SRC-063; SRC-064; SRC-059</t>
        </is>
      </c>
      <c r="V33" s="66" t="inlineStr">
        <is>
          <t>Italian MIT page on the 2015 Italy-France agreement (mit.gov.it/node/298) returned HTTP 503. Check whether a Livorno VTS has since been activated and whether France/Italy require reporting.</t>
        </is>
      </c>
      <c r="W33" s="66" t="n"/>
    </row>
    <row r="34" ht="90" customHeight="1" s="63">
      <c r="A34" s="66" t="inlineStr">
        <is>
          <t>TSS-0073</t>
        </is>
      </c>
      <c r="B34" s="66" t="inlineStr">
        <is>
          <t>B15</t>
        </is>
      </c>
      <c r="C34" s="66" t="inlineStr">
        <is>
          <t>B</t>
        </is>
      </c>
      <c r="D34" s="66" t="inlineStr">
        <is>
          <t>In the Adriatic Sea: In the North Adriatic Sea</t>
        </is>
      </c>
      <c r="E34" s="66" t="inlineStr">
        <is>
          <t>In the North Adriatic Sea (eastern part and western part), part of 'In the Adriatic Sea'</t>
        </is>
      </c>
      <c r="F34" s="66" t="inlineStr">
        <is>
          <t>Italy, Croatia (with Slovenia in the wider system)</t>
        </is>
      </c>
      <c r="G34" s="66" t="inlineStr">
        <is>
          <t>Confirmed</t>
        </is>
      </c>
      <c r="H34" s="66" t="inlineStr">
        <is>
          <t>Adopted in COLREG.2/Circ.54 annex 3 (MSC 78, implemented 1 Dec 2004); western part amended by COLREG.2/Circ.58 (implemented 1 July 2007). Includes precautionary area at southern limits.</t>
        </is>
      </c>
      <c r="I34" s="66" t="inlineStr">
        <is>
          <t>In force</t>
        </is>
      </c>
      <c r="J34" s="66" t="inlineStr">
        <is>
          <t>In the North Adriatic Sea - Eastern part; In the North Adriatic Sea - Western part; Precautionary area at the southern limits</t>
        </is>
      </c>
      <c r="K34" s="66" t="inlineStr">
        <is>
          <t>Unresolved</t>
        </is>
      </c>
      <c r="L34" s="66" t="inlineStr">
        <is>
          <t>VTS-033</t>
        </is>
      </c>
      <c r="M34" s="66" t="inlineStr">
        <is>
          <t>S20: VTS Croatia supervises application of the Adriatic TSS of COLREG.2/Circ.54 and 58 'u VTS području' (area incl. territorial sea and ZERP). Whether each component lies within the Croatian VTS area was not verified; no Italian VTS area covers this offshore scheme.</t>
        </is>
      </c>
      <c r="N34" s="66" t="inlineStr">
        <is>
          <t>Confirmed present</t>
        </is>
      </c>
      <c r="O34" s="66" t="inlineStr">
        <is>
          <t>SRS-016</t>
        </is>
      </c>
      <c r="P34" s="66" t="inlineStr">
        <is>
          <t>ADRIREP covers the whole Adriatic north of 40°25'N (S13), which includes this scheme.</t>
        </is>
      </c>
      <c r="Q34" s="66" t="n"/>
      <c r="R34" s="66" t="inlineStr">
        <is>
          <t>ADRIREP (revised, from 1 Dec 2026): oil tankers 150 GT and above, ships 10,000 GT and above, any ship carrying hazardous cargo.</t>
        </is>
      </c>
      <c r="S34" s="66" t="inlineStr">
        <is>
          <t>Complex</t>
        </is>
      </c>
      <c r="T34" s="66" t="inlineStr">
        <is>
          <t>Multi-State offshore scheme under a multi-authority mandatory reporting system.</t>
        </is>
      </c>
      <c r="U34" s="66" t="inlineStr">
        <is>
          <t>SRC-054; SRC-058; SRC-065</t>
        </is>
      </c>
      <c r="V34" s="66" t="inlineStr">
        <is>
          <t>Plot components against Croatian ZERP/VTS chart 950 VTS to confirm coverage; confirm whether 2015 Croatian VTS description remains current. Later Adriatic TSS amendments after 2016 not checked (compilation ends c. Circ.68).</t>
        </is>
      </c>
      <c r="W34" s="66" t="n"/>
    </row>
    <row r="35" ht="90" customHeight="1" s="63">
      <c r="A35" s="66" t="inlineStr">
        <is>
          <t>TSS-0074</t>
        </is>
      </c>
      <c r="B35" s="66" t="inlineStr">
        <is>
          <t>B15</t>
        </is>
      </c>
      <c r="C35" s="66" t="inlineStr">
        <is>
          <t>B</t>
        </is>
      </c>
      <c r="D35" s="66" t="inlineStr">
        <is>
          <t>In the Adriatic Sea: Approaches to the Gulf of Trieste</t>
        </is>
      </c>
      <c r="E35" s="66" t="inlineStr">
        <is>
          <t>Approaches to Gulf of Trieste</t>
        </is>
      </c>
      <c r="F35" s="66" t="inlineStr">
        <is>
          <t>Italy, Slovenia, Croatia</t>
        </is>
      </c>
      <c r="G35" s="66" t="inlineStr">
        <is>
          <t>Confirmed</t>
        </is>
      </c>
      <c r="H35" s="66" t="inlineStr">
        <is>
          <t>Component of 'In the Adriatic Sea', COLREG.2/Circ.54 annex 3 (implemented 1 Dec 2004); separation line 45°07'.50N 013°00'.37E to 45°19'.00N 012°56'.87E.</t>
        </is>
      </c>
      <c r="I35" s="66" t="inlineStr">
        <is>
          <t>In force</t>
        </is>
      </c>
      <c r="J35" s="66" t="n"/>
      <c r="K35" s="66" t="inlineStr">
        <is>
          <t>Unresolved</t>
        </is>
      </c>
      <c r="L35" s="66" t="inlineStr">
        <is>
          <t>VTS-033</t>
        </is>
      </c>
      <c r="M35" s="66" t="inlineStr">
        <is>
          <t>Scheme lies offshore south-west of Istria, outside the VTS Trieste and Koper areas (S15, S16). VTS Croatia supervises Circ.54 schemes within its area (S20) but location of this component relative to that area not verified.</t>
        </is>
      </c>
      <c r="N35" s="66" t="inlineStr">
        <is>
          <t>Confirmed present</t>
        </is>
      </c>
      <c r="O35" s="66" t="inlineStr">
        <is>
          <t>SRS-016</t>
        </is>
      </c>
      <c r="P35" s="66" t="inlineStr">
        <is>
          <t>Within ADRIREP area (whole Adriatic north of 40°25'N).</t>
        </is>
      </c>
      <c r="Q35" s="66" t="n"/>
      <c r="R35" s="66" t="inlineStr">
        <is>
          <t>ADRIREP categories as in RPT-adrirep.</t>
        </is>
      </c>
      <c r="S35" s="66" t="inlineStr">
        <is>
          <t>Complex</t>
        </is>
      </c>
      <c r="T35" s="66" t="inlineStr">
        <is>
          <t>Multi-State approach scheme; VTS responsibility unclear; mandatory ADRIREP.</t>
        </is>
      </c>
      <c r="U35" s="66" t="inlineStr">
        <is>
          <t>SRC-054; SRC-058; SRC-065</t>
        </is>
      </c>
      <c r="V35" s="66" t="inlineStr">
        <is>
          <t>Confirm which State's waters and VTS area contain this component.</t>
        </is>
      </c>
      <c r="W35" s="66" t="n"/>
    </row>
    <row r="36" ht="90" customHeight="1" s="63">
      <c r="A36" s="66" t="inlineStr">
        <is>
          <t>TSS-0075</t>
        </is>
      </c>
      <c r="B36" s="66" t="inlineStr">
        <is>
          <t>B15</t>
        </is>
      </c>
      <c r="C36" s="66" t="inlineStr">
        <is>
          <t>B</t>
        </is>
      </c>
      <c r="D36" s="66" t="inlineStr">
        <is>
          <t>In the Adriatic Sea: Approaches to the Gulf of Venice</t>
        </is>
      </c>
      <c r="E36" s="66" t="inlineStr">
        <is>
          <t>Approaches to Gulf of Venice</t>
        </is>
      </c>
      <c r="F36" s="66" t="inlineStr">
        <is>
          <t>Italy</t>
        </is>
      </c>
      <c r="G36" s="66" t="inlineStr">
        <is>
          <t>Confirmed</t>
        </is>
      </c>
      <c r="H36" s="66" t="inlineStr">
        <is>
          <t>Component of 'In the Adriatic Sea', COLREG.2/Circ.54 annex 3 (implemented 1 Dec 2004); separation zone amended by COLREG.2/Circ.58 (implemented 1 July 2007).</t>
        </is>
      </c>
      <c r="I36" s="66" t="inlineStr">
        <is>
          <t>In force</t>
        </is>
      </c>
      <c r="J36" s="66" t="n"/>
      <c r="K36" s="66" t="inlineStr">
        <is>
          <t>Confirmed present</t>
        </is>
      </c>
      <c r="L36" s="66" t="inlineStr">
        <is>
          <t>VTS-032</t>
        </is>
      </c>
      <c r="M36" s="66" t="inlineStr">
        <is>
          <t>Direct approach: TSS northern terminus (c. 45°10'-45°14'N, 012°29'-012°39'E, S4) adjoins the Venice VTS area outer limit B-C (45°08.4'N 012°25.7'E to 45°16.0'N 012°35.0'E, S17), and participating vessels must call Venice VTS 5 NM outside that limit, i.e. while in the TSS. Coverage inferred by comparing coordinates from two primary sources; the manual does not say in words that the VTS covers the TSS.</t>
        </is>
      </c>
      <c r="N36" s="66" t="inlineStr">
        <is>
          <t>Confirmed present</t>
        </is>
      </c>
      <c r="O36" s="66" t="inlineStr">
        <is>
          <t>SRS-016</t>
        </is>
      </c>
      <c r="P36" s="66" t="inlineStr">
        <is>
          <t>Within ADRIREP area; Venice MRSC and VTS Venezia are ADRIREP authorities (S13, S17).</t>
        </is>
      </c>
      <c r="Q36" s="66" t="n"/>
      <c r="R36" s="66" t="inlineStr">
        <is>
          <t>Venice VTS participation mandatory for vessels of 300 GT and upwards (S17); ADRIREP categories as in RPT-adrirep.</t>
        </is>
      </c>
      <c r="S36" s="66" t="inlineStr">
        <is>
          <t>Intermediate</t>
        </is>
      </c>
      <c r="T36" s="66" t="inlineStr">
        <is>
          <t>Single-State approach scheme leading to a mandatory VTS, plus ADRIREP.</t>
        </is>
      </c>
      <c r="U36" s="66" t="inlineStr">
        <is>
          <t>SRC-054; SRC-058; SRC-062; SRC-063</t>
        </is>
      </c>
      <c r="V36" s="66" t="inlineStr">
        <is>
          <t>Venice manual dated 2017; check current edition. Reviewer to confirm the direct-approach judgement.</t>
        </is>
      </c>
      <c r="W36" s="66" t="n"/>
    </row>
    <row r="37" ht="90" customHeight="1" s="63">
      <c r="A37" s="66" t="inlineStr">
        <is>
          <t>TSS-0076</t>
        </is>
      </c>
      <c r="B37" s="66" t="inlineStr">
        <is>
          <t>B16</t>
        </is>
      </c>
      <c r="C37" s="66" t="inlineStr">
        <is>
          <t>B</t>
        </is>
      </c>
      <c r="D37" s="66" t="inlineStr">
        <is>
          <t>In the Adriatic Sea: In the Gulf of Trieste and approaches to/from Koper</t>
        </is>
      </c>
      <c r="E37" s="66" t="inlineStr">
        <is>
          <t>In the Gulf of Trieste; Approaches to/from Koper (with precautionary area in the Gulf of Trieste)</t>
        </is>
      </c>
      <c r="F37" s="66" t="inlineStr">
        <is>
          <t>Slovenia, Italy (Croatia party to trilateral scheme)</t>
        </is>
      </c>
      <c r="G37" s="66" t="inlineStr">
        <is>
          <t>Confirmed</t>
        </is>
      </c>
      <c r="H37" s="66" t="inlineStr">
        <is>
          <t>Components of 'In the Adriatic Sea', COLREG.2/Circ.54 annex 3 (implemented 1 Dec 2004). Label groups two schemes plus a precautionary area.</t>
        </is>
      </c>
      <c r="I37" s="66" t="inlineStr">
        <is>
          <t>In force</t>
        </is>
      </c>
      <c r="J37" s="66" t="inlineStr">
        <is>
          <t>In the Gulf of Trieste; Approaches to/from Koper; Precautionary area in the Gulf of Trieste</t>
        </is>
      </c>
      <c r="K37" s="66" t="inlineStr">
        <is>
          <t>Confirmed present</t>
        </is>
      </c>
      <c r="L37" s="66" t="inlineStr">
        <is>
          <t>VTS-030; VTS-031</t>
        </is>
      </c>
      <c r="M37" s="66" t="inlineStr">
        <is>
          <t>Koper VTS manual section 7.1 describes both TSS and requires vessels in its area to use the lanes (S15). VTS Trieste manual: 'Nell'Area VTS di Trieste è ricompreso lo schema obbligatorio di separazione del traffico ... Golfo di Trieste' (S16). Each covers the part within its national waters.</t>
        </is>
      </c>
      <c r="N37" s="66" t="inlineStr">
        <is>
          <t>Confirmed present</t>
        </is>
      </c>
      <c r="O37" s="66" t="inlineStr">
        <is>
          <t>SRS-016</t>
        </is>
      </c>
      <c r="P37" s="66" t="inlineStr">
        <is>
          <t>Within ADRIREP area; MRCC Koper and VTS Trieste are ADRIREP authorities (S13). Separate mandatory VTS reports to Koper VTS (entry/exit, 1 h before entry) and VTS Trieste are VTS duties, not separate schemes.</t>
        </is>
      </c>
      <c r="Q37" s="66" t="n"/>
      <c r="R37" s="66" t="inlineStr">
        <is>
          <t>Koper VTS: ships of 300 GT and upwards; fishing, traditional and recreational craft of 45 m and upwards; warships and government vessels exempt. VTS Trieste: 300 GT and over; pleasure/traditional craft 45 m and over.</t>
        </is>
      </c>
      <c r="S37" s="66" t="inlineStr">
        <is>
          <t>Complex</t>
        </is>
      </c>
      <c r="T37" s="66" t="inlineStr">
        <is>
          <t>Three-State area with two national VTS and ADRIREP.</t>
        </is>
      </c>
      <c r="U37" s="66" t="inlineStr">
        <is>
          <t>SRC-054; SRC-058; SRC-060; SRC-061</t>
        </is>
      </c>
      <c r="V37" s="66" t="inlineStr">
        <is>
          <t>Croatian role (VTS Croatia/Umag) in the Gulf of Trieste not checked.</t>
        </is>
      </c>
      <c r="W37" s="66" t="n"/>
    </row>
    <row r="38" ht="90" customHeight="1" s="63">
      <c r="A38" s="66" t="inlineStr">
        <is>
          <t>TSS-0077</t>
        </is>
      </c>
      <c r="B38" s="66" t="inlineStr">
        <is>
          <t>B16</t>
        </is>
      </c>
      <c r="C38" s="66" t="inlineStr">
        <is>
          <t>B</t>
        </is>
      </c>
      <c r="D38" s="66" t="inlineStr">
        <is>
          <t>In the Adriatic Sea: Approaches to/from Monfalcone</t>
        </is>
      </c>
      <c r="E38" s="66" t="inlineStr">
        <is>
          <t>Approaches to/from Monfalcone</t>
        </is>
      </c>
      <c r="F38" s="66" t="inlineStr">
        <is>
          <t>Italy</t>
        </is>
      </c>
      <c r="G38" s="66" t="inlineStr">
        <is>
          <t>Confirmed</t>
        </is>
      </c>
      <c r="H38" s="66" t="inlineStr">
        <is>
          <t>Component of 'In the Adriatic Sea', COLREG.2/Circ.54 annex 3 (implemented 1 Dec 2004); amended scheme per COLREG.2/Circ.58 referenced in VTS Trieste manual.</t>
        </is>
      </c>
      <c r="I38" s="66" t="inlineStr">
        <is>
          <t>In force</t>
        </is>
      </c>
      <c r="J38" s="66" t="n"/>
      <c r="K38" s="66" t="inlineStr">
        <is>
          <t>Confirmed present</t>
        </is>
      </c>
      <c r="L38" s="66" t="inlineStr">
        <is>
          <t>VTS-031</t>
        </is>
      </c>
      <c r="M38" s="66" t="inlineStr">
        <is>
          <t>VTS Trieste area limits were set taking account of the TSS 'nella parte finale di ingresso/uscita dal porto di Monfalcone', and the manual states the Monfalcone TSS is included within the VTS area (S16).</t>
        </is>
      </c>
      <c r="N38" s="66" t="inlineStr">
        <is>
          <t>Confirmed present</t>
        </is>
      </c>
      <c r="O38" s="66" t="inlineStr">
        <is>
          <t>SRS-016</t>
        </is>
      </c>
      <c r="P38" s="66" t="inlineStr">
        <is>
          <t>Within ADRIREP area; VTS Trieste is an ADRIREP authority (S13).</t>
        </is>
      </c>
      <c r="Q38" s="66" t="n"/>
      <c r="R38" s="66" t="inlineStr">
        <is>
          <t>VTS Trieste participation mandatory for ships of 300 GT and over etc.</t>
        </is>
      </c>
      <c r="S38" s="66" t="inlineStr">
        <is>
          <t>Intermediate</t>
        </is>
      </c>
      <c r="T38" s="66" t="inlineStr">
        <is>
          <t>Single VTS plus ADRIREP.</t>
        </is>
      </c>
      <c r="U38" s="66" t="inlineStr">
        <is>
          <t>SRC-054; SRC-058; SRC-061</t>
        </is>
      </c>
      <c r="V38" s="66" t="inlineStr">
        <is>
          <t>Confirm whether all of the Monfalcone TSS or only its final part lies in the VTS area.</t>
        </is>
      </c>
      <c r="W38" s="66" t="n"/>
    </row>
    <row r="39" ht="90" customHeight="1" s="63">
      <c r="A39" s="66" t="inlineStr">
        <is>
          <t>TSS-0078</t>
        </is>
      </c>
      <c r="B39" s="66" t="inlineStr">
        <is>
          <t>B16</t>
        </is>
      </c>
      <c r="C39" s="66" t="inlineStr">
        <is>
          <t>B</t>
        </is>
      </c>
      <c r="D39" s="66" t="inlineStr">
        <is>
          <t>Saronicos Gulf (Saronikós Kólpos, in the Approaches to Piraiévs)</t>
        </is>
      </c>
      <c r="E39" s="66" t="inlineStr">
        <is>
          <t>Saronicos Gulf</t>
        </is>
      </c>
      <c r="F39" s="66" t="inlineStr">
        <is>
          <t>Greece</t>
        </is>
      </c>
      <c r="G39" s="66" t="inlineStr">
        <is>
          <t>Provisional</t>
        </is>
      </c>
      <c r="H39" s="66" t="inlineStr">
        <is>
          <t>Existence as an IMO-adopted TSS evidenced by the 1991 COLREG.2 circular cancelling its inshore traffic zone (implemented 19 April 1991); original adoption instrument and current status not verified.</t>
        </is>
      </c>
      <c r="I39" s="66" t="inlineStr">
        <is>
          <t>In force</t>
        </is>
      </c>
      <c r="J39" s="66" t="n"/>
      <c r="K39" s="66" t="inlineStr">
        <is>
          <t>Unresolved</t>
        </is>
      </c>
      <c r="L39" s="66" t="inlineStr">
        <is>
          <t>VTS-035</t>
        </is>
      </c>
      <c r="M39" s="66" t="inlineStr">
        <is>
          <t>Lead only (S24): VTS in Piraeus linked to national VTMIS covering the wider Piraeus sea area. No primary source on VTS area or TSS coverage (hcg.gr HTTP 403).</t>
        </is>
      </c>
      <c r="N39" s="66" t="inlineStr">
        <is>
          <t>Unresolved</t>
        </is>
      </c>
      <c r="O39" s="66" t="n"/>
      <c r="P39" s="66" t="inlineStr">
        <is>
          <t>No IMO SRS for Greece in S14; Greek national VTS participation rules seen only in search snippets (lead).</t>
        </is>
      </c>
      <c r="Q39" s="66" t="n"/>
      <c r="R39" s="66" t="n"/>
      <c r="S39" s="66" t="inlineStr">
        <is>
          <t>Intermediate</t>
        </is>
      </c>
      <c r="T39" s="66" t="inlineStr">
        <is>
          <t>Busy port approach likely with VTS; evidence incomplete.</t>
        </is>
      </c>
      <c r="U39" s="66" t="inlineStr">
        <is>
          <t>SRC-054; SRC-068; SRC-069</t>
        </is>
      </c>
      <c r="V39" s="66" t="inlineStr">
        <is>
          <t>Obtain Hellenic Coast Guard VTS Piraeus regulation/ALRS entry; confirm TSS still current in Ships' Routeing (operational status provisional).</t>
        </is>
      </c>
      <c r="W39" s="66" t="n"/>
    </row>
    <row r="40" ht="90" customHeight="1" s="63">
      <c r="A40" s="66" t="inlineStr">
        <is>
          <t>TSS-0079</t>
        </is>
      </c>
      <c r="B40" s="66" t="inlineStr">
        <is>
          <t>B16</t>
        </is>
      </c>
      <c r="C40" s="66" t="inlineStr">
        <is>
          <t>B</t>
        </is>
      </c>
      <c r="D40" s="66" t="inlineStr">
        <is>
          <t>In the approaches to the port of Thessaloníki</t>
        </is>
      </c>
      <c r="E40" s="66" t="inlineStr">
        <is>
          <t>In the approaches to the Port of Thessaloniki</t>
        </is>
      </c>
      <c r="F40" s="66" t="inlineStr">
        <is>
          <t>Greece</t>
        </is>
      </c>
      <c r="G40" s="66" t="inlineStr">
        <is>
          <t>Confirmed</t>
        </is>
      </c>
      <c r="H40" s="66" t="inlineStr">
        <is>
          <t>New scheme in COLREG.2/Circ.60 (MSC 85, implemented 1 June 2009).</t>
        </is>
      </c>
      <c r="I40" s="66" t="inlineStr">
        <is>
          <t>In force</t>
        </is>
      </c>
      <c r="J40" s="66" t="n"/>
      <c r="K40" s="66" t="inlineStr">
        <is>
          <t>Unresolved</t>
        </is>
      </c>
      <c r="L40" s="66" t="n"/>
      <c r="M40" s="66" t="inlineStr">
        <is>
          <t>No source found for a Thessaloniki VTS; lead S24 lists Greek VTS at Piraeus, Patras, Igoumenitsa and Kerkyra only (undated, not primary).</t>
        </is>
      </c>
      <c r="N40" s="66" t="inlineStr">
        <is>
          <t>Unresolved</t>
        </is>
      </c>
      <c r="O40" s="66" t="n"/>
      <c r="P40" s="66" t="inlineStr">
        <is>
          <t>No IMO SRS; national reporting not established.</t>
        </is>
      </c>
      <c r="Q40" s="66" t="n"/>
      <c r="R40" s="66" t="n"/>
      <c r="S40" s="66" t="inlineStr">
        <is>
          <t>Simple</t>
        </is>
      </c>
      <c r="T40" s="66" t="inlineStr">
        <is>
          <t>Single-State port approach TSS; VTS status unknown.</t>
        </is>
      </c>
      <c r="U40" s="66" t="inlineStr">
        <is>
          <t>SRC-054; SRC-068; SRC-069</t>
        </is>
      </c>
      <c r="V40" s="66" t="inlineStr">
        <is>
          <t>Check Hellenic Coast Guard for any Thessaloniki VTS (planned or operational) and port reporting duties.</t>
        </is>
      </c>
      <c r="W40" s="66" t="n"/>
    </row>
    <row r="41" ht="90" customHeight="1" s="63">
      <c r="A41" s="66" t="inlineStr">
        <is>
          <t>TSS-0080</t>
        </is>
      </c>
      <c r="B41" s="66" t="inlineStr">
        <is>
          <t>B16</t>
        </is>
      </c>
      <c r="C41" s="66" t="inlineStr">
        <is>
          <t>B</t>
        </is>
      </c>
      <c r="D41" s="66" t="inlineStr">
        <is>
          <t>Strait of Istanbul - North Approach</t>
        </is>
      </c>
      <c r="E41" s="66" t="inlineStr">
        <is>
          <t>Strait of Istanbul - North Approach</t>
        </is>
      </c>
      <c r="F41" s="66" t="inlineStr">
        <is>
          <t>Turkey</t>
        </is>
      </c>
      <c r="G41" s="66" t="inlineStr">
        <is>
          <t>Confirmed</t>
        </is>
      </c>
      <c r="H41" s="66" t="inlineStr">
        <is>
          <t>Adopted by MSC 63, COLREG.2/Circ.40 (implemented 24 Nov 1994), together with 'Strait of Istanbul', 'Strait of Istanbul - South Approach and Sea of Marmara', 'Strait of Canakkale' and its South-West Approach. National regulation (2019) Art. 4 sets the TSS limits in the north at 41°20'.944 N. This record covers the North Approach only; linked components to be resolved in their own records.</t>
        </is>
      </c>
      <c r="I41" s="66" t="inlineStr">
        <is>
          <t>In force</t>
        </is>
      </c>
      <c r="J41" s="66" t="n"/>
      <c r="K41" s="66" t="inlineStr">
        <is>
          <t>Confirmed present</t>
        </is>
      </c>
      <c r="L41" s="66" t="inlineStr">
        <is>
          <t>VTS-034</t>
        </is>
      </c>
      <c r="M41" s="66" t="inlineStr">
        <is>
          <t>Turkish Straits Maritime Traffic Regulation 2019, Art. 4-5: TSS in the Turkish Straits and their approaches (northern limit 41°20'.944 N) with TBGTH established for application and supervision of the TSS and reporting system; S21 confirms TSVTS operational since 2003 with İstanbul centre.</t>
        </is>
      </c>
      <c r="N41" s="66" t="inlineStr">
        <is>
          <t>Confirmed present</t>
        </is>
      </c>
      <c r="O41" s="66" t="inlineStr">
        <is>
          <t>SRS-017</t>
        </is>
      </c>
      <c r="P41" s="66" t="inlineStr">
        <is>
          <t>Regulation Art. 7: SP-2 2 h or 20 NM before entering the Istanbul Strait and position report 5 NM before the entrance, i.e. in the North Approach. National mandatory system, not IMO-adopted.</t>
        </is>
      </c>
      <c r="Q41" s="66" t="n"/>
      <c r="R41" s="66" t="inlineStr">
        <is>
          <t>SP-1: ships carrying dangerous cargo and ships of 500 GT and over (24 h before entry); position and calling-in point reports: ships of 20 m and over.</t>
        </is>
      </c>
      <c r="S41" s="66" t="inlineStr">
        <is>
          <t>Complex</t>
        </is>
      </c>
      <c r="T41" s="66" t="inlineStr">
        <is>
          <t>Linked multi-segment strait regime with national VTS, mandatory national reporting and Montreux Convention context.</t>
        </is>
      </c>
      <c r="U41" s="66" t="inlineStr">
        <is>
          <t>SRC-054; SRC-066; SRC-067; SRC-059</t>
        </is>
      </c>
      <c r="V41" s="66" t="inlineStr">
        <is>
          <t>Sector names/channels (Türkeli etc.) not confirmed from a primary source; Regulation read from scanned Resmî Gazete images (pages 2, 3, 5 only); 2020 amendments not checked.</t>
        </is>
      </c>
      <c r="W41" s="66" t="n"/>
    </row>
    <row r="42" ht="90" customHeight="1" s="63">
      <c r="A42" s="66" t="inlineStr">
        <is>
          <t>TSS-0081</t>
        </is>
      </c>
      <c r="B42" s="66" t="inlineStr">
        <is>
          <t>B17</t>
        </is>
      </c>
      <c r="C42" s="66" t="inlineStr">
        <is>
          <t>C</t>
        </is>
      </c>
      <c r="D42" s="66" t="inlineStr">
        <is>
          <t>Strait of Istanbul</t>
        </is>
      </c>
      <c r="E42" s="66" t="inlineStr">
        <is>
          <t>Strait of Istanbul</t>
        </is>
      </c>
      <c r="F42" s="66" t="inlineStr">
        <is>
          <t>Türkiye</t>
        </is>
      </c>
      <c r="G42" s="66" t="inlineStr">
        <is>
          <t>Confirmed</t>
        </is>
      </c>
      <c r="H42" s="66" t="inlineStr">
        <is>
          <t>Adopted by MSC 63 (May 1994), COLREG.2/Circ.40 item .3, implemented 0000 UTC 24 November 1994; companion schemes 'Strait of Istanbul - North Approach' (item .2) and 'South Approach and Sea of Marmara' (item .4) are separate IMO entries. Associated Rules and Recommendations confirmed by A.827(19). Nationally reproduced in 2019 Turkish Straits Maritime Traffic Regulation Annex 1 (English text lead only).</t>
        </is>
      </c>
      <c r="I42" s="66" t="inlineStr">
        <is>
          <t>In force</t>
        </is>
      </c>
      <c r="J42" s="66" t="inlineStr">
        <is>
          <t>Strait of Istanbul (COLREG.2/Circ.40 item .3); Possible overlap with Strait of Istanbul - North Approach (item .2), not listed separately in this group</t>
        </is>
      </c>
      <c r="K42" s="66" t="inlineStr">
        <is>
          <t>Confirmed present</t>
        </is>
      </c>
      <c r="L42" s="66" t="inlineStr">
        <is>
          <t>VTS-034</t>
        </is>
      </c>
      <c r="M42" s="66" t="inlineStr">
        <is>
          <t>KEGM states the TSVTS serves the Istanbul Strait, Marmara Sea and Çanakkale Strait, and was extended in 2008 to cover the Marmara TSS.</t>
        </is>
      </c>
      <c r="N42" s="66" t="inlineStr">
        <is>
          <t>Confirmed present</t>
        </is>
      </c>
      <c r="O42" s="66" t="inlineStr">
        <is>
          <t>SRS-017</t>
        </is>
      </c>
      <c r="P42" s="66" t="inlineStr">
        <is>
          <t>Implementing Directive Art. 12: ships wishing to transit the Straits must submit SP-1 via the Administration's system; non-compliance leads to administrative action and loss of transit turn. IMO A.827(19) strongly recommends TUBRAP participation.</t>
        </is>
      </c>
      <c r="Q42" s="66" t="inlineStr">
        <is>
          <t>At IMO level TUBRAP participation is 'strongly recommended' (A.827(19)); nationally mandatory.</t>
        </is>
      </c>
      <c r="R42" s="66" t="inlineStr">
        <is>
          <t>Per unofficial English translation (lead only): SP-1 for ships with dangerous cargo or 500 GRT and over at least 24 h before arrival; SP-2 2 h or 20 NM before entrance; position report 5 NM before entrance and calling point reports for LOA 20 m and over; MARRAP for Marmara traffic. Daylight transit advised for draught 15 m+ or LOA over 200 m (A.827(19)).</t>
        </is>
      </c>
      <c r="S42" s="66" t="inlineStr">
        <is>
          <t>Complex</t>
        </is>
      </c>
      <c r="T42" s="66" t="inlineStr">
        <is>
          <t>Montreux Convention regime, national mandatory reporting layered on IMO recommendatory rules, one-way traffic and pilotage rules, multiple linked schemes.</t>
        </is>
      </c>
      <c r="U42" s="66" t="inlineStr">
        <is>
          <t>SRC-066; SRC-070; SRC-071; SRC-072; SRC-073; SRC-054</t>
        </is>
      </c>
      <c r="V42" s="66" t="inlineStr">
        <is>
          <t>Official Gazette PDF (resmigazete.gov.tr) and mevzuat.gov.tr timed out, so the official Turkish regulation text was not read; English text is an unofficial copy. Confirm whether the source label also covers the North Approach scheme. VTS sector VHF channels not confirmed from a primary page.</t>
        </is>
      </c>
      <c r="W42" s="66" t="n"/>
    </row>
    <row r="43" ht="90" customHeight="1" s="63">
      <c r="A43" s="66" t="inlineStr">
        <is>
          <t>TSS-0082</t>
        </is>
      </c>
      <c r="B43" s="66" t="inlineStr">
        <is>
          <t>B17</t>
        </is>
      </c>
      <c r="C43" s="66" t="inlineStr">
        <is>
          <t>C</t>
        </is>
      </c>
      <c r="D43" s="66" t="inlineStr">
        <is>
          <t>Strait of Istanbul - South Approach and Sea of Marmara</t>
        </is>
      </c>
      <c r="E43" s="66" t="inlineStr">
        <is>
          <t>Strait of Istanbul - South Approach and Sea of Marmara</t>
        </is>
      </c>
      <c r="F43" s="66" t="inlineStr">
        <is>
          <t>Türkiye</t>
        </is>
      </c>
      <c r="G43" s="66" t="inlineStr">
        <is>
          <t>Confirmed</t>
        </is>
      </c>
      <c r="H43" s="66" t="inlineStr">
        <is>
          <t>COLREG.2/Circ.40 item .4, implemented 0000 UTC 24 November 1994. 2019 national regulation Annex 1.3 'Istanbul Strait Southern Approach and Marmara Sea' (English text lead only).</t>
        </is>
      </c>
      <c r="I43" s="66" t="inlineStr">
        <is>
          <t>In force</t>
        </is>
      </c>
      <c r="J43" s="66" t="inlineStr">
        <is>
          <t>Istanbul Strait southern approach; Marmara Sea TSS</t>
        </is>
      </c>
      <c r="K43" s="66" t="inlineStr">
        <is>
          <t>Confirmed present</t>
        </is>
      </c>
      <c r="L43" s="66" t="inlineStr">
        <is>
          <t>VTS-034</t>
        </is>
      </c>
      <c r="M43" s="66" t="inlineStr">
        <is>
          <t>KEGM (Turkish page) states TBGTH was extended in 2008 to include the Marmara Sea 'Trafik Ayırım Düzeni'; Implementing Directive Art. 18 addresses ships in the Marmara TSS under TBGTH coordination.</t>
        </is>
      </c>
      <c r="N43" s="66" t="inlineStr">
        <is>
          <t>Confirmed present</t>
        </is>
      </c>
      <c r="O43" s="66" t="inlineStr">
        <is>
          <t>SRS-017</t>
        </is>
      </c>
      <c r="P43" s="66" t="inlineStr">
        <is>
          <t>Implementing Directive Art. 12: ships wishing to transit the Straits must submit SP-1 via the Administration's system; non-compliance leads to administrative action and loss of transit turn. IMO A.827(19) strongly recommends TUBRAP participation. Marmara-specific MARRAP and 6 h pre-departure SP-1 for Marmara ports appear only in the unofficial translation.</t>
        </is>
      </c>
      <c r="Q43" s="66" t="inlineStr">
        <is>
          <t>IMO level: strongly recommended (A.827(19)).</t>
        </is>
      </c>
      <c r="R43" s="66" t="inlineStr">
        <is>
          <t>Per unofficial English translation (lead only): SP-1 for ships with dangerous cargo or 500 GRT and over at least 24 h before arrival; SP-2 2 h or 20 NM before entrance; position report 5 NM before entrance and calling point reports for LOA 20 m and over; MARRAP for Marmara traffic. Daylight transit advised for draught 15 m+ or LOA over 200 m (A.827(19)).</t>
        </is>
      </c>
      <c r="S43" s="66" t="inlineStr">
        <is>
          <t>Complex</t>
        </is>
      </c>
      <c r="T43" s="66" t="inlineStr">
        <is>
          <t>Long TSS through Marmara linking both straits, national rules on breakdowns in TSS, MARRAP sub-reporting.</t>
        </is>
      </c>
      <c r="U43" s="66" t="inlineStr">
        <is>
          <t>SRC-066; SRC-070; SRC-071; SRC-072; SRC-073; SRC-054</t>
        </is>
      </c>
      <c r="V43" s="66" t="inlineStr">
        <is>
          <t>Official Turkish regulation text not retrieved (site timeout).</t>
        </is>
      </c>
      <c r="W43" s="66" t="n"/>
    </row>
    <row r="44" ht="90" customHeight="1" s="63">
      <c r="A44" s="66" t="inlineStr">
        <is>
          <t>TSS-0083</t>
        </is>
      </c>
      <c r="B44" s="66" t="inlineStr">
        <is>
          <t>B17</t>
        </is>
      </c>
      <c r="C44" s="66" t="inlineStr">
        <is>
          <t>C</t>
        </is>
      </c>
      <c r="D44" s="66" t="inlineStr">
        <is>
          <t>Strait of Canakkale</t>
        </is>
      </c>
      <c r="E44" s="66" t="inlineStr">
        <is>
          <t>Strait of Canakkale</t>
        </is>
      </c>
      <c r="F44" s="66" t="inlineStr">
        <is>
          <t>Türkiye</t>
        </is>
      </c>
      <c r="G44" s="66" t="inlineStr">
        <is>
          <t>Confirmed</t>
        </is>
      </c>
      <c r="H44" s="66" t="inlineStr">
        <is>
          <t>COLREG.2/Circ.40 item .5, implemented 0000 UTC 24 November 1994; national Annex 1.4 (English text lead only).</t>
        </is>
      </c>
      <c r="I44" s="66" t="inlineStr">
        <is>
          <t>In force</t>
        </is>
      </c>
      <c r="J44" s="66" t="n"/>
      <c r="K44" s="66" t="inlineStr">
        <is>
          <t>Confirmed present</t>
        </is>
      </c>
      <c r="L44" s="66" t="inlineStr">
        <is>
          <t>VTS-034</t>
        </is>
      </c>
      <c r="M44" s="66" t="inlineStr">
        <is>
          <t>KEGM states the TSVTS serves the Istanbul Strait, Marmara Sea and Çanakkale Strait, and was extended in 2008 to cover the Marmara TSS. Akbaş (Çanakkale) VTS centre.</t>
        </is>
      </c>
      <c r="N44" s="66" t="inlineStr">
        <is>
          <t>Confirmed present</t>
        </is>
      </c>
      <c r="O44" s="66" t="inlineStr">
        <is>
          <t>SRS-017</t>
        </is>
      </c>
      <c r="P44" s="66" t="inlineStr">
        <is>
          <t>Implementing Directive Art. 12: ships wishing to transit the Straits must submit SP-1 via the Administration's system; non-compliance leads to administrative action and loss of transit turn. IMO A.827(19) strongly recommends TUBRAP participation.</t>
        </is>
      </c>
      <c r="Q44" s="66" t="inlineStr">
        <is>
          <t>IMO level: strongly recommended (A.827(19)).</t>
        </is>
      </c>
      <c r="R44" s="66" t="inlineStr">
        <is>
          <t>Per unofficial English translation (lead only): SP-1 for ships with dangerous cargo or 500 GRT and over at least 24 h before arrival; SP-2 2 h or 20 NM before entrance; position report 5 NM before entrance and calling point reports for LOA 20 m and over; MARRAP for Marmara traffic. Daylight transit advised for draught 15 m+ or LOA over 200 m (A.827(19)).</t>
        </is>
      </c>
      <c r="S44" s="66" t="inlineStr">
        <is>
          <t>Complex</t>
        </is>
      </c>
      <c r="T44" s="66" t="inlineStr">
        <is>
          <t>As for Istanbul Strait: national mandatory reporting, pilotage and transit rules.</t>
        </is>
      </c>
      <c r="U44" s="66" t="inlineStr">
        <is>
          <t>SRC-066; SRC-071; SRC-072; SRC-073; SRC-054</t>
        </is>
      </c>
      <c r="V44" s="66" t="inlineStr">
        <is>
          <t>VHF sector channels (Gelibolu, Nara, Kumkale) only from search snippets.</t>
        </is>
      </c>
      <c r="W44" s="66" t="n"/>
    </row>
    <row r="45" ht="90" customHeight="1" s="63">
      <c r="A45" s="66" t="inlineStr">
        <is>
          <t>TSS-0084</t>
        </is>
      </c>
      <c r="B45" s="66" t="inlineStr">
        <is>
          <t>B17</t>
        </is>
      </c>
      <c r="C45" s="66" t="inlineStr">
        <is>
          <t>C</t>
        </is>
      </c>
      <c r="D45" s="66" t="inlineStr">
        <is>
          <t>Strait of Canakkale - South-west Approach</t>
        </is>
      </c>
      <c r="E45" s="66" t="inlineStr">
        <is>
          <t>Strait of Canakkale - South-West Approach</t>
        </is>
      </c>
      <c r="F45" s="66" t="inlineStr">
        <is>
          <t>Türkiye</t>
        </is>
      </c>
      <c r="G45" s="66" t="inlineStr">
        <is>
          <t>Confirmed</t>
        </is>
      </c>
      <c r="H45" s="66" t="inlineStr">
        <is>
          <t>COLREG.2/Circ.40 item .6, implemented 0000 UTC 24 November 1994; national Annex 1.5 'Canakkale Strait Southwestern Approaches' (English text lead only).</t>
        </is>
      </c>
      <c r="I45" s="66" t="inlineStr">
        <is>
          <t>In force</t>
        </is>
      </c>
      <c r="J45" s="66" t="n"/>
      <c r="K45" s="66" t="inlineStr">
        <is>
          <t>Unresolved</t>
        </is>
      </c>
      <c r="L45" s="66" t="inlineStr">
        <is>
          <t>VTS-034</t>
        </is>
      </c>
      <c r="M45" s="66" t="inlineStr">
        <is>
          <t>TSVTS confirmed for the Çanakkale Strait, but no primary source retrieved defines the VTS area as extending over the south-west approach. Unofficial translation places the regulation's southern boundary at about 39°44'N, beyond the approach scheme (lead only).</t>
        </is>
      </c>
      <c r="N45" s="66" t="inlineStr">
        <is>
          <t>Unresolved</t>
        </is>
      </c>
      <c r="O45" s="66" t="inlineStr">
        <is>
          <t>SRS-017</t>
        </is>
      </c>
      <c r="P45" s="66" t="inlineStr">
        <is>
          <t>TUBRAP applies to ships transiting the Straits (primary). That SP-2 is given 20 NM before the entrance, i.e. in the approach, comes only from the unofficial translation.</t>
        </is>
      </c>
      <c r="Q45" s="66" t="n"/>
      <c r="R45" s="66" t="inlineStr">
        <is>
          <t>Per unofficial English translation (lead only): SP-1 for ships with dangerous cargo or 500 GRT and over at least 24 h before arrival; SP-2 2 h or 20 NM before entrance; position report 5 NM before entrance and calling point reports for LOA 20 m and over; MARRAP for Marmara traffic. Daylight transit advised for draught 15 m+ or LOA over 200 m (A.827(19)).</t>
        </is>
      </c>
      <c r="S45" s="66" t="inlineStr">
        <is>
          <t>Intermediate</t>
        </is>
      </c>
      <c r="T45" s="66" t="inlineStr">
        <is>
          <t>Approach scheme; VTS and TUBRAP coverage very likely but not evidenced by a primary spatial definition.</t>
        </is>
      </c>
      <c r="U45" s="66" t="inlineStr">
        <is>
          <t>SRC-066; SRC-071; SRC-073; SRC-054</t>
        </is>
      </c>
      <c r="V45" s="66" t="inlineStr">
        <is>
          <t>Obtain official regulation text or Turkish NtM chartlet showing TBGTH area limits and reporting points in the SW approach.</t>
        </is>
      </c>
      <c r="W45" s="66" t="n"/>
    </row>
    <row r="46" ht="90" customHeight="1" s="63">
      <c r="A46" s="66" t="inlineStr">
        <is>
          <t>TSS-0085</t>
        </is>
      </c>
      <c r="B46" s="66" t="inlineStr">
        <is>
          <t>B17</t>
        </is>
      </c>
      <c r="C46" s="66" t="inlineStr">
        <is>
          <t>C</t>
        </is>
      </c>
      <c r="D46" s="66" t="inlineStr">
        <is>
          <t>In the Approaches to the Ports of Odessa and Ilichevsk</t>
        </is>
      </c>
      <c r="E46" s="66" t="inlineStr">
        <is>
          <t>In the approaches to the ports of Odessa and Ilichevsk (historical); now part of 'Approaches to the Chornomorsk, Odesa and Pivdennyi ports'</t>
        </is>
      </c>
      <c r="F46" s="66" t="inlineStr">
        <is>
          <t>Ukraine</t>
        </is>
      </c>
      <c r="G46" s="66" t="inlineStr">
        <is>
          <t>Confirmed</t>
        </is>
      </c>
      <c r="H46" s="66" t="inlineStr">
        <is>
          <t>Adopted by IMCO/IMO, COLREG.2/Circ.14 of 22 April 1981 (Marad and scanned circular). Ilichevsk renamed Chornomorsk. Per secondary summary of COLREG.2/Circ.78 (MSC 106, issued 13 December 2022), replaced by the amended scheme 'Approaches to the Chornomorsk, Odesa and Pivdennyi ports', implemented 0000 UTC 1 June 2023. Marad primary confirms Ukraine's proposal to merge the two schemes; IMO circular text not itself retrieved.</t>
        </is>
      </c>
      <c r="I46" s="66" t="inlineStr">
        <is>
          <t>Withdrawn/superseded</t>
        </is>
      </c>
      <c r="J46" s="66" t="n"/>
      <c r="K46" s="66" t="inlineStr">
        <is>
          <t>Unresolved</t>
        </is>
      </c>
      <c r="L46" s="66" t="inlineStr">
        <is>
          <t>VTS-036</t>
        </is>
      </c>
      <c r="M46" s="66" t="inlineStr">
        <is>
          <t>USPA confirms a 'VTCP Odesa' operated by Delta-Lotsman; Marad refers to 'The VTS of ... Delta Pilot' in proposing TSS changes, but no source defines the VTS area as covering the scheme. Wartime corridor arrangements apply (2022 notice).</t>
        </is>
      </c>
      <c r="N46" s="66" t="inlineStr">
        <is>
          <t>Unresolved</t>
        </is>
      </c>
      <c r="O46" s="66" t="n"/>
      <c r="P46" s="66" t="inlineStr">
        <is>
          <t>No reporting system identified for the scheme in retrieved sources.</t>
        </is>
      </c>
      <c r="Q46" s="66" t="n"/>
      <c r="R46" s="66" t="n"/>
      <c r="S46" s="66" t="inlineStr">
        <is>
          <t>Complex</t>
        </is>
      </c>
      <c r="T46" s="66" t="inlineStr">
        <is>
          <t>Superseded scheme, renamed ports, successor scheme, conflict-affected area with wartime corridor procedures.</t>
        </is>
      </c>
      <c r="U46" s="66" t="inlineStr">
        <is>
          <t>SRC-075; SRC-076; SRC-077; SRC-054</t>
        </is>
      </c>
      <c r="V46" s="66" t="inlineStr">
        <is>
          <t>Retrieve COLREG.2/Circ.78 from IMO directly; recommend the guide records the successor scheme instead. Confirm VTCP Odesa area, VHF channel and any mandatory reporting under current Ukrainian port rules.</t>
        </is>
      </c>
      <c r="W46" s="66" t="n"/>
    </row>
    <row r="47" ht="90" customHeight="1" s="63">
      <c r="A47" s="66" t="inlineStr">
        <is>
          <t>TSS-0086</t>
        </is>
      </c>
      <c r="B47" s="66" t="inlineStr">
        <is>
          <t>B18</t>
        </is>
      </c>
      <c r="C47" s="66" t="inlineStr">
        <is>
          <t>C</t>
        </is>
      </c>
      <c r="D47" s="66" t="inlineStr">
        <is>
          <t>Between the Ports of Odessa and Ilichevsk</t>
        </is>
      </c>
      <c r="E47" s="66" t="inlineStr">
        <is>
          <t>Between the ports of Odessa and Ilichevsk (historical); now part of 'Approaches to the Chornomorsk, Odesa and Pivdennyi ports'</t>
        </is>
      </c>
      <c r="F47" s="66" t="inlineStr">
        <is>
          <t>Ukraine</t>
        </is>
      </c>
      <c r="G47" s="66" t="inlineStr">
        <is>
          <t>Confirmed</t>
        </is>
      </c>
      <c r="H47" s="66" t="inlineStr">
        <is>
          <t>Adopted per COLREG.2/Circ.14 (22 April 1981). Replaced with effect from 1 June 2023 by the combined amended scheme under COLREG.2/Circ.78 (secondary summary; Marad primary confirms merger proposal).</t>
        </is>
      </c>
      <c r="I47" s="66" t="inlineStr">
        <is>
          <t>Withdrawn/superseded</t>
        </is>
      </c>
      <c r="J47" s="66" t="n"/>
      <c r="K47" s="66" t="inlineStr">
        <is>
          <t>Unresolved</t>
        </is>
      </c>
      <c r="L47" s="66" t="inlineStr">
        <is>
          <t>VTS-036</t>
        </is>
      </c>
      <c r="M47" s="66" t="inlineStr">
        <is>
          <t>As TSS-0085: VTCP Odesa exists, coverage of this scheme not evidenced.</t>
        </is>
      </c>
      <c r="N47" s="66" t="inlineStr">
        <is>
          <t>Unresolved</t>
        </is>
      </c>
      <c r="O47" s="66" t="n"/>
      <c r="P47" s="66" t="inlineStr">
        <is>
          <t>No reporting system identified.</t>
        </is>
      </c>
      <c r="Q47" s="66" t="n"/>
      <c r="R47" s="66" t="n"/>
      <c r="S47" s="66" t="inlineStr">
        <is>
          <t>Complex</t>
        </is>
      </c>
      <c r="T47" s="66" t="inlineStr">
        <is>
          <t>Superseded and merged scheme in a conflict-affected area.</t>
        </is>
      </c>
      <c r="U47" s="66" t="inlineStr">
        <is>
          <t>SRC-075; SRC-076; SRC-077; SRC-054</t>
        </is>
      </c>
      <c r="V47" s="66" t="inlineStr">
        <is>
          <t>Merge with TSS-0085 as one successor record.</t>
        </is>
      </c>
      <c r="W47" s="66" t="n"/>
    </row>
    <row r="48" ht="90" customHeight="1" s="63">
      <c r="A48" s="66" t="inlineStr">
        <is>
          <t>TSS-0087</t>
        </is>
      </c>
      <c r="B48" s="66" t="inlineStr">
        <is>
          <t>B18</t>
        </is>
      </c>
      <c r="C48" s="66" t="inlineStr">
        <is>
          <t>C</t>
        </is>
      </c>
      <c r="D48" s="66" t="inlineStr">
        <is>
          <t>In the area Off the South-western Coast of the Crimea</t>
        </is>
      </c>
      <c r="E48" s="66" t="inlineStr">
        <is>
          <t>In the area off the south-western coast of the Crimea</t>
        </is>
      </c>
      <c r="F48" s="66" t="inlineStr">
        <is>
          <t>Ukraine (proposing State; reference chart by State Hydrographic Service of Ukraine). Area temporarily occupied by the Russian Federation according to Ukraine and UNGA resolution 73/263 (as cited by Ukraine); control disputed</t>
        </is>
      </c>
      <c r="G48" s="66" t="inlineStr">
        <is>
          <t>Confirmed</t>
        </is>
      </c>
      <c r="H48" s="66" t="inlineStr">
        <is>
          <t>New scheme adopted at MSC 87, COLREG.2/Circ.61 (1 June 2010), implemented 0000 UTC 1 December 2010. Two parts: Routeing System No.9 'Sevastopol Harbour Approach' and No.3 'From Cape Khersones to Cape Aitodor'. No IMO revocation found in retrieved sources.</t>
        </is>
      </c>
      <c r="I48" s="66" t="inlineStr">
        <is>
          <t>Not established</t>
        </is>
      </c>
      <c r="J48" s="66" t="inlineStr">
        <is>
          <t>Sevastopol Harbour Approach (Routeing System No.9); From Cape Khersones to Cape Aitodor (Routeing System No.3)</t>
        </is>
      </c>
      <c r="K48" s="66" t="inlineStr">
        <is>
          <t>Unresolved</t>
        </is>
      </c>
      <c r="L48" s="66" t="n"/>
      <c r="M48" s="66" t="inlineStr">
        <is>
          <t>No VTS source retrieved. Any service in this area would be operated by authorities whose jurisdiction is disputed; not assessed.</t>
        </is>
      </c>
      <c r="N48" s="66" t="inlineStr">
        <is>
          <t>Unresolved</t>
        </is>
      </c>
      <c r="O48" s="66" t="n"/>
      <c r="P48" s="66" t="inlineStr">
        <is>
          <t>No reporting system identified.</t>
        </is>
      </c>
      <c r="Q48" s="66" t="n"/>
      <c r="R48" s="66" t="inlineStr">
        <is>
          <t>Ukraine told IMO (CL 4508, Feb 2022) and IHO (2021) that the Russian Federation interfered with or disabled use of these IMO schemes through closures of areas. The scheme remains an IMO-adopted measure on the evidence found; this record does not assert that it can currently be used safely.</t>
        </is>
      </c>
      <c r="S48" s="66" t="inlineStr">
        <is>
          <t>Complex</t>
        </is>
      </c>
      <c r="T48" s="66" t="inlineStr">
        <is>
          <t>Disputed, conflict-affected area; IMO measure whose practical functioning is reported as disrupted; competing claims of authority.</t>
        </is>
      </c>
      <c r="U48" s="66" t="inlineStr">
        <is>
          <t>SRC-049; SRC-078; SRC-079</t>
        </is>
      </c>
      <c r="V48" s="66" t="inlineStr">
        <is>
          <t>Check latest IMO Ships' Routeing edition and any MSC decisions for current status; check navigational warnings (NAVAREA III) for closures. Editorial neutrality review required.</t>
        </is>
      </c>
      <c r="W48" s="66" t="n"/>
    </row>
    <row r="49" ht="90" customHeight="1" s="63">
      <c r="A49" s="66" t="inlineStr">
        <is>
          <t>TSS-0088</t>
        </is>
      </c>
      <c r="B49" s="66" t="inlineStr">
        <is>
          <t>B18</t>
        </is>
      </c>
      <c r="C49" s="66" t="inlineStr">
        <is>
          <t>C</t>
        </is>
      </c>
      <c r="D49" s="66" t="inlineStr">
        <is>
          <t>In the Southern Approaches to the Kerch Strait</t>
        </is>
      </c>
      <c r="E49" s="66" t="inlineStr">
        <is>
          <t>In the southern approaches to the Kerch Strait</t>
        </is>
      </c>
      <c r="F49" s="66" t="inlineStr">
        <is>
          <t>Originally adopted on USSR chart basis; coastal States Ukraine and the Russian Federation; Crimean coast control disputed (Ukraine regards it as temporarily occupied)</t>
        </is>
      </c>
      <c r="G49" s="66" t="inlineStr">
        <is>
          <t>Confirmed</t>
        </is>
      </c>
      <c r="H49" s="66" t="inlineStr">
        <is>
          <t>New scheme adopted by resolution A.374(X), 14 November 1977 (reference chart USSR No.514). Implementation date 15 May 1978 is a search-snippet lead only. Ukraine's IMO Circular Letter 4508 calls it 'Approaches to the Kerch Strait from the South', approved by IMO. No revocation found.</t>
        </is>
      </c>
      <c r="I49" s="66" t="inlineStr">
        <is>
          <t>Not established</t>
        </is>
      </c>
      <c r="J49" s="66" t="n"/>
      <c r="K49" s="66" t="inlineStr">
        <is>
          <t>Unresolved</t>
        </is>
      </c>
      <c r="L49" s="66" t="n"/>
      <c r="M49" s="66" t="inlineStr">
        <is>
          <t>No VTS source retrieved for the southern approaches; any service would be subject to the jurisdictional dispute. Not assessed.</t>
        </is>
      </c>
      <c r="N49" s="66" t="inlineStr">
        <is>
          <t>Unresolved</t>
        </is>
      </c>
      <c r="O49" s="66" t="n"/>
      <c r="P49" s="66" t="inlineStr">
        <is>
          <t>No reporting system identified.</t>
        </is>
      </c>
      <c r="Q49" s="66" t="n"/>
      <c r="R49" s="66" t="inlineStr">
        <is>
          <t>Ukraine reports (CL 4508) that the Russian Federation interfered with the functioning of this IMO scheme and closed parts of the Kerch Strait area. This record does not assert current safe operation.</t>
        </is>
      </c>
      <c r="S49" s="66" t="inlineStr">
        <is>
          <t>Complex</t>
        </is>
      </c>
      <c r="T49" s="66" t="inlineStr">
        <is>
          <t>Disputed and conflict-affected; access restrictions reported; competing authorities.</t>
        </is>
      </c>
      <c r="U49" s="66" t="inlineStr">
        <is>
          <t>SRC-074; SRC-078; SRC-079</t>
        </is>
      </c>
      <c r="V49" s="66" t="inlineStr">
        <is>
          <t>Confirm implementation date and any later amendment; review IMO and NAVAREA III status. Editorial neutrality review required.</t>
        </is>
      </c>
      <c r="W49" s="66" t="n"/>
    </row>
    <row r="50" ht="90" customHeight="1" s="63">
      <c r="A50" s="66" t="inlineStr">
        <is>
          <t>TSS-0089</t>
        </is>
      </c>
      <c r="B50" s="66" t="inlineStr">
        <is>
          <t>B18</t>
        </is>
      </c>
      <c r="C50" s="66" t="inlineStr">
        <is>
          <t>C</t>
        </is>
      </c>
      <c r="D50" s="66" t="inlineStr">
        <is>
          <t>Off the Mediterranean Coast of Egypt</t>
        </is>
      </c>
      <c r="E50" s="66" t="inlineStr">
        <is>
          <t>Off the Mediterranean coast of Egypt</t>
        </is>
      </c>
      <c r="F50" s="66" t="inlineStr">
        <is>
          <t>Egypt</t>
        </is>
      </c>
      <c r="G50" s="66" t="inlineStr">
        <is>
          <t>Confirmed</t>
        </is>
      </c>
      <c r="H50" s="66" t="inlineStr">
        <is>
          <t>New scheme adopted at MSC 75, COLREG.2/Circ.51 (31 May 2002), implemented 0000 UTC 1 December 2002. Comprises approach schemes to Damietta (Mina Dumyat) and Port Said (Bur Said) with two precautionary areas.</t>
        </is>
      </c>
      <c r="I50" s="66" t="inlineStr">
        <is>
          <t>In force</t>
        </is>
      </c>
      <c r="J50" s="66" t="inlineStr">
        <is>
          <t>Western Approach to Mina Dumyat; Precautionary area north Dumyat; Eastern Approaches to Mina Dumyat; Western Approaches to Bur Said; Eastern Approach to Bur Said; Precautionary area north west Bur Said</t>
        </is>
      </c>
      <c r="K50" s="66" t="inlineStr">
        <is>
          <t>Unresolved</t>
        </is>
      </c>
      <c r="L50" s="66" t="n"/>
      <c r="M50" s="66" t="inlineStr">
        <is>
          <t>No primary source retrieved. Leads (search snippets only): Port Said port control on VHF 12; Damietta Port VTMS. Suez Canal Authority navigation pages fetched had no VTMS content.</t>
        </is>
      </c>
      <c r="N50" s="66" t="inlineStr">
        <is>
          <t>Unresolved</t>
        </is>
      </c>
      <c r="O50" s="66" t="n"/>
      <c r="P50" s="66" t="inlineStr">
        <is>
          <t>No reporting system identified.</t>
        </is>
      </c>
      <c r="Q50" s="66" t="n"/>
      <c r="R50" s="66" t="n"/>
      <c r="S50" s="66" t="inlineStr">
        <is>
          <t>Intermediate</t>
        </is>
      </c>
      <c r="T50" s="66" t="inlineStr">
        <is>
          <t>Grouped scheme serving two major ports and Suez Canal northern approach; several possible port and canal services.</t>
        </is>
      </c>
      <c r="U50" s="66" t="inlineStr">
        <is>
          <t>SRC-041</t>
        </is>
      </c>
      <c r="V50" s="66" t="inlineStr">
        <is>
          <t>Obtain Suez Canal Authority Rules of Navigation (Port Said approach reporting) and Damietta Port Authority VTS details.</t>
        </is>
      </c>
      <c r="W50" s="66" t="n"/>
    </row>
    <row r="51" ht="90" customHeight="1" s="63">
      <c r="A51" s="66" t="inlineStr">
        <is>
          <t>TSS-0090</t>
        </is>
      </c>
      <c r="B51" s="66" t="inlineStr">
        <is>
          <t>B18</t>
        </is>
      </c>
      <c r="C51" s="66" t="inlineStr">
        <is>
          <t>C</t>
        </is>
      </c>
      <c r="D51" s="66" t="inlineStr">
        <is>
          <t>Off Alphard Banks, 34 miles south of Cape Infanta</t>
        </is>
      </c>
      <c r="E51" s="66" t="inlineStr">
        <is>
          <t>Off Alphard Banks 34 miles south of Cape Infanta</t>
        </is>
      </c>
      <c r="F51" s="66" t="inlineStr">
        <is>
          <t>South Africa</t>
        </is>
      </c>
      <c r="G51" s="66" t="inlineStr">
        <is>
          <t>Confirmed</t>
        </is>
      </c>
      <c r="H51" s="66" t="inlineStr">
        <is>
          <t>New scheme adopted at MSC 69, COLREG.2/Circ.44 (May 1998) Annex 9 'Off the south coast of South Africa', implemented 0000 UTC 1 December 1998. Charts on Cape Datum.</t>
        </is>
      </c>
      <c r="I51" s="66" t="inlineStr">
        <is>
          <t>In force</t>
        </is>
      </c>
      <c r="J51" s="66" t="n"/>
      <c r="K51" s="66" t="inlineStr">
        <is>
          <t>Unresolved</t>
        </is>
      </c>
      <c r="L51" s="66" t="n"/>
      <c r="M51" s="66" t="inlineStr">
        <is>
          <t>No VTS evidenced for this offshore area; port VTS services not shown to extend here.</t>
        </is>
      </c>
      <c r="N51" s="66" t="inlineStr">
        <is>
          <t>Unresolved</t>
        </is>
      </c>
      <c r="O51" s="66" t="n"/>
      <c r="P51" s="66" t="inlineStr">
        <is>
          <t>SASAR Regulations 2016 reg. 30 require a ship reporting system to be established (general SAR reporting, not TSS-specific); SAMSA MN 13/2017 imposes reporting for compromised vessels in SA waters. Neither is a TSS reporting system.</t>
        </is>
      </c>
      <c r="Q51" s="66" t="inlineStr">
        <is>
          <t>Lead: South African ship reporting for SAR purposes (name and participation not confirmed).</t>
        </is>
      </c>
      <c r="R51" s="66" t="n"/>
      <c r="S51" s="66" t="inlineStr">
        <is>
          <t>Simple</t>
        </is>
      </c>
      <c r="T51" s="66" t="inlineStr">
        <is>
          <t>Single offshore scheme around an offshore hazard; no evidenced VTS or reporting.</t>
        </is>
      </c>
      <c r="U51" s="66" t="inlineStr">
        <is>
          <t>SRC-054; SRC-081; SRC-082</t>
        </is>
      </c>
      <c r="V51" s="66" t="inlineStr">
        <is>
          <t>Confirm whether any SAMSA/Transnet VTS or coastal surveillance covers the area; confirm current name and status of the SA ship reporting system (SAFREP lead).</t>
        </is>
      </c>
      <c r="W51" s="66" t="n"/>
    </row>
    <row r="52" ht="90" customHeight="1" s="63">
      <c r="A52" s="66" t="inlineStr">
        <is>
          <t>TSS-0091</t>
        </is>
      </c>
      <c r="B52" s="66" t="inlineStr">
        <is>
          <t>B19</t>
        </is>
      </c>
      <c r="C52" s="66" t="inlineStr">
        <is>
          <t>C</t>
        </is>
      </c>
      <c r="D52" s="66" t="inlineStr">
        <is>
          <t>Off the FA Platform, 47 miles south of Mossel Bay</t>
        </is>
      </c>
      <c r="E52" s="66" t="inlineStr">
        <is>
          <t>Off the FA Platform 47 miles south of Mossel Bay</t>
        </is>
      </c>
      <c r="F52" s="66" t="inlineStr">
        <is>
          <t>South Africa</t>
        </is>
      </c>
      <c r="G52" s="66" t="inlineStr">
        <is>
          <t>Confirmed</t>
        </is>
      </c>
      <c r="H52" s="66" t="inlineStr">
        <is>
          <t>New scheme adopted at MSC 69, COLREG.2/Circ.44 Annex 9, implemented 0000 UTC 1 December 1998.</t>
        </is>
      </c>
      <c r="I52" s="66" t="inlineStr">
        <is>
          <t>In force</t>
        </is>
      </c>
      <c r="J52" s="66" t="n"/>
      <c r="K52" s="66" t="inlineStr">
        <is>
          <t>Unresolved</t>
        </is>
      </c>
      <c r="L52" s="66" t="n"/>
      <c r="M52" s="66" t="inlineStr">
        <is>
          <t>No VTS evidenced; Mossel Bay port services not shown to cover a scheme 47 NM offshore.</t>
        </is>
      </c>
      <c r="N52" s="66" t="inlineStr">
        <is>
          <t>Unresolved</t>
        </is>
      </c>
      <c r="O52" s="66" t="n"/>
      <c r="P52" s="66" t="inlineStr">
        <is>
          <t>As TSS-0090.</t>
        </is>
      </c>
      <c r="Q52" s="66" t="n"/>
      <c r="R52" s="66" t="n"/>
      <c r="S52" s="66" t="inlineStr">
        <is>
          <t>Simple</t>
        </is>
      </c>
      <c r="T52" s="66" t="inlineStr">
        <is>
          <t>Single offshore platform scheme.</t>
        </is>
      </c>
      <c r="U52" s="66" t="inlineStr">
        <is>
          <t>SRC-054; SRC-081; SRC-082</t>
        </is>
      </c>
      <c r="V52" s="66" t="inlineStr">
        <is>
          <t>Check whether the FA platform remains in place (scheme purpose) and whether South Africa has proposed amendment or revocation.</t>
        </is>
      </c>
      <c r="W52" s="66" t="n"/>
    </row>
    <row r="53" ht="90" customHeight="1" s="63">
      <c r="A53" s="66" t="inlineStr">
        <is>
          <t>TSS-0092</t>
        </is>
      </c>
      <c r="B53" s="66" t="inlineStr">
        <is>
          <t>B19</t>
        </is>
      </c>
      <c r="C53" s="66" t="inlineStr">
        <is>
          <t>C</t>
        </is>
      </c>
      <c r="D53" s="66" t="inlineStr">
        <is>
          <t>In the Gulf of Suez</t>
        </is>
      </c>
      <c r="E53" s="66" t="inlineStr">
        <is>
          <t>In the Gulf of Suez</t>
        </is>
      </c>
      <c r="F53" s="66" t="inlineStr">
        <is>
          <t>Egypt</t>
        </is>
      </c>
      <c r="G53" s="66" t="inlineStr">
        <is>
          <t>Confirmed</t>
        </is>
      </c>
      <c r="H53" s="66" t="inlineStr">
        <is>
          <t>New scheme adopted by resolution A.374(X) (14 November 1977); amended scheme adopted at MSC 67, COLREG.2/Circ.42 (2 January 1997), implemented 1 July 1997. Compilation notes associated 'Rules for ships navigating in the Gulf of Suez' (MSC 46/19). Earlier amendments also appear in the compilation.</t>
        </is>
      </c>
      <c r="I53" s="66" t="inlineStr">
        <is>
          <t>In force</t>
        </is>
      </c>
      <c r="J53" s="66" t="n"/>
      <c r="K53" s="66" t="inlineStr">
        <is>
          <t>Unresolved</t>
        </is>
      </c>
      <c r="L53" s="66" t="inlineStr">
        <is>
          <t>VTS-037</t>
        </is>
      </c>
      <c r="M53" s="66" t="inlineStr">
        <is>
          <t>Only trade press (2002) describes a Gulf of Suez VTIMS with two centres on the Gulf; no current Egyptian primary source retrieved.</t>
        </is>
      </c>
      <c r="N53" s="66" t="inlineStr">
        <is>
          <t>Unresolved</t>
        </is>
      </c>
      <c r="O53" s="66" t="n"/>
      <c r="P53" s="66" t="inlineStr">
        <is>
          <t>No reporting system identified; Suez Canal Authority rules not retrieved.</t>
        </is>
      </c>
      <c r="Q53" s="66" t="n"/>
      <c r="R53" s="66" t="n"/>
      <c r="S53" s="66" t="inlineStr">
        <is>
          <t>Intermediate</t>
        </is>
      </c>
      <c r="T53" s="66" t="inlineStr">
        <is>
          <t>Long TSS with associated rules, oil field traffic, adjoining Suez Canal southern approach.</t>
        </is>
      </c>
      <c r="U53" s="66" t="inlineStr">
        <is>
          <t>SRC-054; SRC-074; SRC-080</t>
        </is>
      </c>
      <c r="V53" s="66" t="inlineStr">
        <is>
          <t>Identify the current Egyptian authority and VTS (Egyptian Authority for Maritime Safety or Ports and Lighthouses successor) and any Gulf of Suez reporting requirement.</t>
        </is>
      </c>
      <c r="W53" s="66" t="n"/>
    </row>
    <row r="54" ht="90" customHeight="1" s="63">
      <c r="A54" s="66" t="inlineStr">
        <is>
          <t>TSS-0093</t>
        </is>
      </c>
      <c r="B54" s="66" t="inlineStr">
        <is>
          <t>B19</t>
        </is>
      </c>
      <c r="C54" s="66" t="inlineStr">
        <is>
          <t>C</t>
        </is>
      </c>
      <c r="D54" s="66" t="inlineStr">
        <is>
          <t>In the Entrance to the Gulf of Aqaba</t>
        </is>
      </c>
      <c r="E54" s="66" t="inlineStr">
        <is>
          <t>In the entrance to the Gulf of Aqaba</t>
        </is>
      </c>
      <c r="F54" s="66" t="inlineStr">
        <is>
          <t>Egypt (implementing Government per IMO); adjoining Saudi Arabia</t>
        </is>
      </c>
      <c r="G54" s="66" t="inlineStr">
        <is>
          <t>Confirmed</t>
        </is>
      </c>
      <c r="H54" s="66" t="inlineStr">
        <is>
          <t>New scheme adopted at MSC 61 (December 1992), COLREG.2/Circ.39; implemented 0000 UTC 1 October 1993 after Egypt confirmed survey of Grafton Passage and aids (Circ.39/Add.1). Nearby areas to be avoided north of the Strait of Tiran and at Ras Mohammed adopted by A.827(19).</t>
        </is>
      </c>
      <c r="I54" s="66" t="inlineStr">
        <is>
          <t>In force</t>
        </is>
      </c>
      <c r="J54" s="66" t="n"/>
      <c r="K54" s="66" t="inlineStr">
        <is>
          <t>Unresolved</t>
        </is>
      </c>
      <c r="L54" s="66" t="n"/>
      <c r="M54" s="66" t="inlineStr">
        <is>
          <t>No VTS source retrieved for the Strait of Tiran entrance.</t>
        </is>
      </c>
      <c r="N54" s="66" t="inlineStr">
        <is>
          <t>Unresolved</t>
        </is>
      </c>
      <c r="O54" s="66" t="n"/>
      <c r="P54" s="66" t="inlineStr">
        <is>
          <t>No reporting system identified.</t>
        </is>
      </c>
      <c r="Q54" s="66" t="n"/>
      <c r="R54" s="66" t="inlineStr">
        <is>
          <t>Associated ATBAs (A.827(19)): ships carrying dangerous or toxic cargoes or exceeding 500 GT should avoid specified areas north of Tiran and at Sharm El Sheikh / Ras Mohammed.</t>
        </is>
      </c>
      <c r="S54" s="66" t="inlineStr">
        <is>
          <t>Intermediate</t>
        </is>
      </c>
      <c r="T54" s="66" t="inlineStr">
        <is>
          <t>Multi-State approaches (Egypt, Saudi Arabia, Jordan and Israel ports in the Gulf) and associated ATBAs.</t>
        </is>
      </c>
      <c r="U54" s="66" t="inlineStr">
        <is>
          <t>SRC-054; SRC-072</t>
        </is>
      </c>
      <c r="V54" s="66" t="inlineStr">
        <is>
          <t>Check for any Egyptian or Saudi VTS coverage at Tiran and any reporting requirement for Gulf of Aqaba traffic.</t>
        </is>
      </c>
      <c r="W54" s="66" t="n"/>
    </row>
    <row r="55" ht="90" customHeight="1" s="63">
      <c r="A55" s="66" t="inlineStr">
        <is>
          <t>TSS-0094</t>
        </is>
      </c>
      <c r="B55" s="66" t="inlineStr">
        <is>
          <t>B19</t>
        </is>
      </c>
      <c r="C55" s="66" t="inlineStr">
        <is>
          <t>C</t>
        </is>
      </c>
      <c r="D55" s="66" t="inlineStr">
        <is>
          <t>In the Southern Red Sea - West and South of Hanish al Kubra</t>
        </is>
      </c>
      <c r="E55" s="66" t="inlineStr">
        <is>
          <t>In the Southern Red Sea: west and south of Hanish al Kubra Island</t>
        </is>
      </c>
      <c r="F55" s="66" t="inlineStr">
        <is>
          <t>Yemen (Hanish islands; proposing Government not stated in the retrieved circular)</t>
        </is>
      </c>
      <c r="G55" s="66" t="inlineStr">
        <is>
          <t>Confirmed</t>
        </is>
      </c>
      <c r="H55" s="66" t="inlineStr">
        <is>
          <t>New scheme adopted at MSC 76, COLREG.2/Circ.52 (6 January 2003) Annex 1, implemented 0000 UTC 1 July 2003. Annex 1 contains two schemes (this and east of Jabal Zuqar, TSS-0095).</t>
        </is>
      </c>
      <c r="I55" s="66" t="inlineStr">
        <is>
          <t>In force</t>
        </is>
      </c>
      <c r="J55" s="66" t="n"/>
      <c r="K55" s="66" t="inlineStr">
        <is>
          <t>Unresolved</t>
        </is>
      </c>
      <c r="L55" s="66" t="n"/>
      <c r="M55" s="66" t="inlineStr">
        <is>
          <t>No VTS source retrieved.</t>
        </is>
      </c>
      <c r="N55" s="66" t="inlineStr">
        <is>
          <t>Unresolved</t>
        </is>
      </c>
      <c r="O55" s="66" t="n"/>
      <c r="P55" s="66" t="inlineStr">
        <is>
          <t>No reporting system identified.</t>
        </is>
      </c>
      <c r="Q55" s="66" t="n"/>
      <c r="R55" s="66" t="inlineStr">
        <is>
          <t>Area affected by Red Sea security incidents; security advisories are outside the scope of this record.</t>
        </is>
      </c>
      <c r="S55" s="66" t="inlineStr">
        <is>
          <t>Intermediate</t>
        </is>
      </c>
      <c r="T55" s="66" t="inlineStr">
        <is>
          <t>Paired schemes in a security-affected area with no identified coastal VTS.</t>
        </is>
      </c>
      <c r="U55" s="66" t="inlineStr">
        <is>
          <t>SRC-054</t>
        </is>
      </c>
      <c r="V55" s="66" t="inlineStr">
        <is>
          <t>Confirm proposing State(s) from MSC 76 report; check for any Yemeni or regional VTS; confirm no amendment since 2003.</t>
        </is>
      </c>
      <c r="W55" s="66" t="n"/>
    </row>
    <row r="56" ht="90" customHeight="1" s="63">
      <c r="A56" s="66" t="inlineStr">
        <is>
          <t>TSS-0095</t>
        </is>
      </c>
      <c r="B56" s="66" t="inlineStr">
        <is>
          <t>B19</t>
        </is>
      </c>
      <c r="C56" s="66" t="inlineStr">
        <is>
          <t>C</t>
        </is>
      </c>
      <c r="D56" s="66" t="inlineStr">
        <is>
          <t>In the Southern Red Sea - East of Jabal Zuqar Island</t>
        </is>
      </c>
      <c r="E56" s="66" t="inlineStr">
        <is>
          <t>In the Southern Red Sea: east of Jabal Zuqar Island</t>
        </is>
      </c>
      <c r="F56" s="66" t="inlineStr">
        <is>
          <t>Yemen (Jabal Zuqar; proposing Government not stated in the retrieved circular)</t>
        </is>
      </c>
      <c r="G56" s="66" t="inlineStr">
        <is>
          <t>Confirmed</t>
        </is>
      </c>
      <c r="H56" s="66" t="inlineStr">
        <is>
          <t>New scheme adopted at MSC 76, COLREG.2/Circ.52 Annex 1, implemented 0000 UTC 1 July 2003. Southbound lane 140° then 166°, northbound 346° then 320°.</t>
        </is>
      </c>
      <c r="I56" s="66" t="inlineStr">
        <is>
          <t>In force</t>
        </is>
      </c>
      <c r="J56" s="66" t="n"/>
      <c r="K56" s="66" t="inlineStr">
        <is>
          <t>Unresolved</t>
        </is>
      </c>
      <c r="L56" s="66" t="n"/>
      <c r="M56" s="66" t="inlineStr">
        <is>
          <t>No VTS source retrieved.</t>
        </is>
      </c>
      <c r="N56" s="66" t="inlineStr">
        <is>
          <t>Unresolved</t>
        </is>
      </c>
      <c r="O56" s="66" t="n"/>
      <c r="P56" s="66" t="inlineStr">
        <is>
          <t>No reporting system identified.</t>
        </is>
      </c>
      <c r="Q56" s="66" t="n"/>
      <c r="R56" s="66" t="inlineStr">
        <is>
          <t>As TSS-0094.</t>
        </is>
      </c>
      <c r="S56" s="66" t="inlineStr">
        <is>
          <t>Intermediate</t>
        </is>
      </c>
      <c r="T56" s="66" t="inlineStr">
        <is>
          <t>As TSS-0094.</t>
        </is>
      </c>
      <c r="U56" s="66" t="inlineStr">
        <is>
          <t>SRC-054</t>
        </is>
      </c>
      <c r="V56" s="66" t="inlineStr">
        <is>
          <t>As TSS-0094.</t>
        </is>
      </c>
      <c r="W56" s="66" t="n"/>
    </row>
    <row r="57" ht="90" customHeight="1" s="63">
      <c r="A57" s="66" t="inlineStr">
        <is>
          <t>TSS-0096</t>
        </is>
      </c>
      <c r="B57" s="66" t="inlineStr">
        <is>
          <t>B20</t>
        </is>
      </c>
      <c r="C57" s="66" t="inlineStr">
        <is>
          <t>D</t>
        </is>
      </c>
      <c r="D57" s="66" t="inlineStr">
        <is>
          <t>In the Strait of Bab-el-Mandeb</t>
        </is>
      </c>
      <c r="E57" s="66" t="inlineStr">
        <is>
          <t>In the Strait of Bab el Mandeb</t>
        </is>
      </c>
      <c r="F57" s="66" t="inlineStr">
        <is>
          <t>Yemen; Djibouti (coastal States by geography; not named in the instruments retrieved)</t>
        </is>
      </c>
      <c r="G57" s="66" t="inlineStr">
        <is>
          <t>Confirmed</t>
        </is>
      </c>
      <c r="H57" s="66" t="inlineStr">
        <is>
          <t>IMO-adopted by Assembly resolution A.284(VIII) (20 Nov 1973). Amended scheme adopted by MSC 76 and promulgated by COLREG.2/Circ.52, implemented 0000 UTC 1 July 2003 (southbound 155° then 120°, northbound 300° then 335°, turning line off Mayyun Island). Separate from the 'In the Southern Red Sea' TSS adopted in the same circular.</t>
        </is>
      </c>
      <c r="I57" s="66" t="inlineStr">
        <is>
          <t>In force</t>
        </is>
      </c>
      <c r="J57" s="66" t="n"/>
      <c r="K57" s="66" t="inlineStr">
        <is>
          <t>Unresolved</t>
        </is>
      </c>
      <c r="L57" s="66" t="n"/>
      <c r="M57" s="66" t="inlineStr">
        <is>
          <t>No VTS covering the strait was found in any primary source (Yemen, Djibouti). Searches returned only commentary.</t>
        </is>
      </c>
      <c r="N57" s="66" t="inlineStr">
        <is>
          <t>Unresolved</t>
        </is>
      </c>
      <c r="O57" s="66" t="n"/>
      <c r="P57" s="66" t="inlineStr">
        <is>
          <t>No IMO-adopted mandatory ship reporting system found for Bab el Mandeb. No national mandatory reporting evidenced.</t>
        </is>
      </c>
      <c r="Q57" s="66" t="inlineStr">
        <is>
          <t>UKMTO Voluntary Reporting Scheme and MSCIO registration for the Voluntary Reporting Area (VRA); the VRA extent including the Red Sea is a search-snippet lead only (UKMTO site returned HTTP 403). Security reporting, not a navigational VTS.</t>
        </is>
      </c>
      <c r="R57" s="66" t="n"/>
      <c r="S57" s="66" t="inlineStr">
        <is>
          <t>Intermediate</t>
        </is>
      </c>
      <c r="T57" s="66" t="inlineStr">
        <is>
          <t>Multi-State strait, security-affected area with military/security voluntary reporting overlays; no VTS identified.</t>
        </is>
      </c>
      <c r="U57" s="66" t="inlineStr">
        <is>
          <t>SRC-086; SRC-054; SRC-091</t>
        </is>
      </c>
      <c r="V57" s="66" t="inlineStr">
        <is>
          <t>Confirm any VTS at Perim/Djibouti; confirm VRA extent from UKMTO/MSCIO primary page (403). Current edition of IMO Ships' Routeing and UKHO ANM Section 17 not retrieved (UKHO download returned HTTP 500), so later amendments or revocations after the cited circular cannot be excluded.</t>
        </is>
      </c>
      <c r="W57" s="66" t="n"/>
    </row>
    <row r="58" ht="90" customHeight="1" s="63">
      <c r="A58" s="66" t="inlineStr">
        <is>
          <t>TSS-0097</t>
        </is>
      </c>
      <c r="B58" s="66" t="inlineStr">
        <is>
          <t>B20</t>
        </is>
      </c>
      <c r="C58" s="66" t="inlineStr">
        <is>
          <t>D</t>
        </is>
      </c>
      <c r="D58" s="66" t="inlineStr">
        <is>
          <t>Off Ras al Hadd</t>
        </is>
      </c>
      <c r="E58" s="66" t="inlineStr">
        <is>
          <t>Off Ras al Hadd</t>
        </is>
      </c>
      <c r="F58" s="66" t="inlineStr">
        <is>
          <t>Oman</t>
        </is>
      </c>
      <c r="G58" s="66" t="inlineStr">
        <is>
          <t>Confirmed</t>
        </is>
      </c>
      <c r="H58" s="66" t="inlineStr">
        <is>
          <t>New scheme adopted by MSC 41; COLREG.2/Circ.12 (19 Nov 1979), effective 15 Feb 1980. Inshore traffic zone redescribed by COLREG.2/Circ.40 (MSC 63), implemented 24 Nov 1994.</t>
        </is>
      </c>
      <c r="I58" s="66" t="inlineStr">
        <is>
          <t>In force</t>
        </is>
      </c>
      <c r="J58" s="66" t="n"/>
      <c r="K58" s="66" t="inlineStr">
        <is>
          <t>Unresolved</t>
        </is>
      </c>
      <c r="L58" s="66" t="n"/>
      <c r="M58" s="66" t="inlineStr">
        <is>
          <t>No Omani VTS covering the Ras al Hadd TSS found in a primary source. Oman port VTS (e.g. nearby Sur/Qalhat) not evidenced to cover the scheme.</t>
        </is>
      </c>
      <c r="N58" s="66" t="inlineStr">
        <is>
          <t>Unresolved</t>
        </is>
      </c>
      <c r="O58" s="66" t="n"/>
      <c r="P58" s="66" t="inlineStr">
        <is>
          <t>No IMO-adopted mandatory ship reporting system found; no Omani national mandatory reporting evidenced.</t>
        </is>
      </c>
      <c r="Q58" s="66" t="inlineStr">
        <is>
          <t>UKMTO daily position reporting, MSCIO VRA registration and IFC-IOR voluntary reporting recommended for vessels in the Gulf of Oman and North Arabian Sea (Liberia MSB 14/2026).</t>
        </is>
      </c>
      <c r="R58" s="66" t="n"/>
      <c r="S58" s="66" t="inlineStr">
        <is>
          <t>Simple</t>
        </is>
      </c>
      <c r="T58" s="66" t="inlineStr">
        <is>
          <t>Single-State coastal TSS with ITZ; no VTS or mandatory reporting identified.</t>
        </is>
      </c>
      <c r="U58" s="66" t="inlineStr">
        <is>
          <t>SRC-054; SRC-091</t>
        </is>
      </c>
      <c r="V58" s="66" t="inlineStr">
        <is>
          <t>Oman Ministry of Transport VTS list not found online. Current edition of IMO Ships' Routeing and UKHO ANM Section 17 not retrieved (UKHO download returned HTTP 500), so later amendments or revocations after the cited circular cannot be excluded.</t>
        </is>
      </c>
      <c r="W58" s="66" t="n"/>
    </row>
    <row r="59" ht="90" customHeight="1" s="63">
      <c r="A59" s="66" t="inlineStr">
        <is>
          <t>TSS-0098</t>
        </is>
      </c>
      <c r="B59" s="66" t="inlineStr">
        <is>
          <t>B20</t>
        </is>
      </c>
      <c r="C59" s="66" t="inlineStr">
        <is>
          <t>D</t>
        </is>
      </c>
      <c r="D59" s="66" t="inlineStr">
        <is>
          <t>Off Ra's al Kuh</t>
        </is>
      </c>
      <c r="E59" s="66" t="inlineStr">
        <is>
          <t>Off Ra's al Kuh</t>
        </is>
      </c>
      <c r="F59" s="66" t="inlineStr">
        <is>
          <t>Iran (Islamic Republic of) (inferred from positions c. 25°35'-25°47'N 057°03'-057°15'E; State not named in the circular)</t>
        </is>
      </c>
      <c r="G59" s="66" t="inlineStr">
        <is>
          <t>Confirmed</t>
        </is>
      </c>
      <c r="H59" s="66" t="inlineStr">
        <is>
          <t>New scheme adopted by MSC 78; COLREG.2/Circ.54 (28 May 2004), implemented 0000 UTC 1 December 2004. Two 2-mile lanes, 2-mile separation zone and an associated inshore traffic zone; lanes lead towards the Strait of Hormuz / Gulf of Oman.</t>
        </is>
      </c>
      <c r="I59" s="66" t="inlineStr">
        <is>
          <t>In force</t>
        </is>
      </c>
      <c r="J59" s="66" t="n"/>
      <c r="K59" s="66" t="inlineStr">
        <is>
          <t>Unresolved</t>
        </is>
      </c>
      <c r="L59" s="66" t="n"/>
      <c r="M59" s="66" t="inlineStr">
        <is>
          <t>No Iranian VTS evidenced as covering this scheme. Bandar Abbas VTS (Iran PMO) is a lead for the Hormuz area only and is not linked to Ra's al Kuh.</t>
        </is>
      </c>
      <c r="N59" s="66" t="inlineStr">
        <is>
          <t>Unresolved</t>
        </is>
      </c>
      <c r="O59" s="66" t="n"/>
      <c r="P59" s="66" t="inlineStr">
        <is>
          <t>No IMO-adopted mandatory reporting system found; no national requirement evidenced.</t>
        </is>
      </c>
      <c r="Q59" s="66" t="inlineStr">
        <is>
          <t>UKMTO / MSCIO VRA / IFC-IOR voluntary reporting recommended for the Gulf of Oman (Liberia MSB 14/2026).</t>
        </is>
      </c>
      <c r="R59" s="66" t="n"/>
      <c r="S59" s="66" t="inlineStr">
        <is>
          <t>Intermediate</t>
        </is>
      </c>
      <c r="T59" s="66" t="inlineStr">
        <is>
          <t>Approach to the Strait of Hormuz in a conflict-affected area; State attribution inferred from position.</t>
        </is>
      </c>
      <c r="U59" s="66" t="inlineStr">
        <is>
          <t>SRC-054; SRC-091</t>
        </is>
      </c>
      <c r="V59" s="66" t="inlineStr">
        <is>
          <t>Confirm proposing Government from MSC 78 report or Ships' Routeing. Current edition of IMO Ships' Routeing and UKHO ANM Section 17 not retrieved (UKHO download returned HTTP 500), so later amendments or revocations after the cited circular cannot be excluded.</t>
        </is>
      </c>
      <c r="W59" s="66" t="n"/>
    </row>
    <row r="60" ht="90" customHeight="1" s="63">
      <c r="A60" s="66" t="inlineStr">
        <is>
          <t>TSS-0099</t>
        </is>
      </c>
      <c r="B60" s="66" t="inlineStr">
        <is>
          <t>B20</t>
        </is>
      </c>
      <c r="C60" s="66" t="inlineStr">
        <is>
          <t>D</t>
        </is>
      </c>
      <c r="D60" s="66" t="inlineStr">
        <is>
          <t>In the Strait of Hormuz</t>
        </is>
      </c>
      <c r="E60" s="66" t="inlineStr">
        <is>
          <t>In the Strait of Hormuz</t>
        </is>
      </c>
      <c r="F60" s="66" t="inlineStr">
        <is>
          <t>Oman; Iran (Islamic Republic of) (proposing States per IMO)</t>
        </is>
      </c>
      <c r="G60" s="66" t="inlineStr">
        <is>
          <t>Confirmed</t>
        </is>
      </c>
      <c r="H60" s="66" t="inlineStr">
        <is>
          <t>Proposed by Iran and Oman and adopted by IMO in 1968 (IMO page, 2026); included in A.284(VIII) (1973); amended scheme adopted by MSC 40 (IMCO circular dated 7 June 1979); reference chart changed to BA 3172 (WGS 84) by COLREG.2/Circ.33 (25 Feb 1994); inshore traffic zone off Musandam redescribed by COLREG.2/Circ.40 (implemented 24 Nov 1994). 2026 hostilities: IMO page confirms the TSS as 'existing'; press reports of temporary Omani routes north and south of the lanes are leads only and were not verified from an Omani Notice to Mariners.</t>
        </is>
      </c>
      <c r="I60" s="66" t="inlineStr">
        <is>
          <t>In force</t>
        </is>
      </c>
      <c r="J60" s="66" t="n"/>
      <c r="K60" s="66" t="inlineStr">
        <is>
          <t>Unresolved</t>
        </is>
      </c>
      <c r="L60" s="66" t="inlineStr">
        <is>
          <t>VTS-039</t>
        </is>
      </c>
      <c r="M60" s="66" t="inlineStr">
        <is>
          <t>No primary source establishing a VTS covering the IMO Hormuz TSS. Lead: search snippet (puertos.es document, HTTP 403) says Bandar Abbas VTC requires contact on VHF 13 before entering local 'TSS (area A/B)' between Larak, Hormuz and Qeshm, which appear to be port-approach lanes rather than the IMO scheme. Omani radar monitoring from Musandam is a press lead only.</t>
        </is>
      </c>
      <c r="N60" s="66" t="inlineStr">
        <is>
          <t>Unresolved</t>
        </is>
      </c>
      <c r="O60" s="66" t="n"/>
      <c r="P60" s="66" t="inlineStr">
        <is>
          <t>No IMO-adopted mandatory ship reporting system for the Strait of Hormuz found. Flag-State guidance recommends voluntary security reporting only.</t>
        </is>
      </c>
      <c r="Q60" s="66" t="inlineStr">
        <is>
          <t>UKMTO daily reporting, MSCIO VRA registration and IFC-IOR voluntary reporting for vessels transiting the Strait of Hormuz (Liberia MSB 14/2026); IMO page also points to UKMTO, JMIC and MSCIO advisories and Oman NAVAREA IX notices.</t>
        </is>
      </c>
      <c r="R60" s="66" t="inlineStr">
        <is>
          <t>Conflict-affected (2026); security level 3 advised by at least one flag State for Liberian ships. Recorded neutrally.</t>
        </is>
      </c>
      <c r="S60" s="66" t="inlineStr">
        <is>
          <t>Complex</t>
        </is>
      </c>
      <c r="T60" s="66" t="inlineStr">
        <is>
          <t>Two-State strait, conflict-affected, temporary routeing reports, layered security reporting, possible Iranian port VTS overlap.</t>
        </is>
      </c>
      <c r="U60" s="66" t="inlineStr">
        <is>
          <t>SRC-088; SRC-086; SRC-054; SRC-091</t>
        </is>
      </c>
      <c r="V60" s="66" t="inlineStr">
        <is>
          <t>Obtain Oman NAVAREA IX notices on temporary routes and any Omani/Iranian VTS covering the TSS; puertos.es document on Bandar Abbas VTS blocked (403). Current edition of IMO Ships' Routeing and UKHO ANM Section 17 not retrieved (UKHO download returned HTTP 500), so later amendments or revocations after the cited circular cannot be excluded.</t>
        </is>
      </c>
      <c r="W60" s="66" t="n"/>
    </row>
    <row r="61" ht="90" customHeight="1" s="63">
      <c r="A61" s="66" t="inlineStr">
        <is>
          <t>TSS-0100</t>
        </is>
      </c>
      <c r="B61" s="66" t="inlineStr">
        <is>
          <t>B20</t>
        </is>
      </c>
      <c r="C61" s="66" t="inlineStr">
        <is>
          <t>D</t>
        </is>
      </c>
      <c r="D61" s="66" t="inlineStr">
        <is>
          <t>Tunb-Farur</t>
        </is>
      </c>
      <c r="E61" s="66" t="inlineStr">
        <is>
          <t>Tunb-Farur</t>
        </is>
      </c>
      <c r="F61" s="66" t="inlineStr">
        <is>
          <t>Iran (Islamic Republic of) and adjacent waters; lanes pass either side of Jaz-Tunb and Jaz-Farur (sovereignty over the Tunb islands is disputed between Iran and the United Arab Emirates; recorded neutrally)</t>
        </is>
      </c>
      <c r="G61" s="66" t="inlineStr">
        <is>
          <t>Provisional</t>
        </is>
      </c>
      <c r="H61" s="66" t="inlineStr">
        <is>
          <t>Adopted by Assembly resolution A.284(VIII) (20 Nov 1973): separate westbound (258°/278°) and eastbound (098°/078°) lanes, linking to the Strait of Hormuz scheme. No later amendment or revocation found in the COLREG.2 circular compilation, but current status not verified in the current Ships' Routeing.</t>
        </is>
      </c>
      <c r="I61" s="66" t="inlineStr">
        <is>
          <t>In force</t>
        </is>
      </c>
      <c r="J61" s="66" t="inlineStr">
        <is>
          <t>Westbound traffic lane (north of Jaz-Tunb/Jaz-Farur); Eastbound traffic lane (south of the islands)</t>
        </is>
      </c>
      <c r="K61" s="66" t="inlineStr">
        <is>
          <t>Unresolved</t>
        </is>
      </c>
      <c r="L61" s="66" t="n"/>
      <c r="M61" s="66" t="inlineStr">
        <is>
          <t>No VTS evidenced as covering the scheme.</t>
        </is>
      </c>
      <c r="N61" s="66" t="inlineStr">
        <is>
          <t>Unresolved</t>
        </is>
      </c>
      <c r="O61" s="66" t="n"/>
      <c r="P61" s="66" t="inlineStr">
        <is>
          <t>No IMO-adopted mandatory reporting found; none evidenced nationally.</t>
        </is>
      </c>
      <c r="Q61" s="66" t="inlineStr">
        <is>
          <t>UKMTO / MSCIO / IFC-IOR voluntary reporting for vessels in the Arabian Gulf (Liberia MSB 14/2026).</t>
        </is>
      </c>
      <c r="R61" s="66" t="n"/>
      <c r="S61" s="66" t="inlineStr">
        <is>
          <t>Intermediate</t>
        </is>
      </c>
      <c r="T61" s="66" t="inlineStr">
        <is>
          <t>Lanes split around disputed islands in a conflict-affected area; identity rests on a 1973 instrument.</t>
        </is>
      </c>
      <c r="U61" s="66" t="inlineStr">
        <is>
          <t>SRC-086; SRC-091</t>
        </is>
      </c>
      <c r="V61" s="66" t="inlineStr">
        <is>
          <t>Confirm current status (Ships' Routeing Part B). Current edition of IMO Ships' Routeing and UKHO ANM Section 17 not retrieved (UKHO download returned HTTP 500), so later amendments or revocations after the cited circular cannot be excluded.</t>
        </is>
      </c>
      <c r="W61" s="66" t="n"/>
    </row>
    <row r="62" ht="90" customHeight="1" s="63">
      <c r="A62" s="66" t="inlineStr">
        <is>
          <t>TSS-0101</t>
        </is>
      </c>
      <c r="B62" s="66" t="inlineStr">
        <is>
          <t>B21</t>
        </is>
      </c>
      <c r="C62" s="66" t="inlineStr">
        <is>
          <t>D</t>
        </is>
      </c>
      <c r="D62" s="66" t="inlineStr">
        <is>
          <t>Between Zaqqum and Umm Shaif</t>
        </is>
      </c>
      <c r="E62" s="66" t="inlineStr">
        <is>
          <t>Between Zaqqum and Umm Shaif oilfields</t>
        </is>
      </c>
      <c r="F62" s="66" t="inlineStr">
        <is>
          <t>United Arab Emirates (Abu Dhabi)</t>
        </is>
      </c>
      <c r="G62" s="66" t="inlineStr">
        <is>
          <t>Confirmed</t>
        </is>
      </c>
      <c r="H62" s="66" t="inlineStr">
        <is>
          <t>New scheme adopted by MSC 46; COLREG.2/Circ.15 (6 April 1982); effective not before 31 Dec 1982 and on notification by the Government concerned. ADNOC Port Marine Notice DZM/MN/019/2023 (14 Mar 2023) refers to the 'Zaqqum Traffic Separation Scheme', indicating it remains in use.</t>
        </is>
      </c>
      <c r="I62" s="66" t="inlineStr">
        <is>
          <t>In force</t>
        </is>
      </c>
      <c r="J62" s="66" t="n"/>
      <c r="K62" s="66" t="inlineStr">
        <is>
          <t>Unresolved</t>
        </is>
      </c>
      <c r="L62" s="66" t="inlineStr">
        <is>
          <t>VTS-038</t>
        </is>
      </c>
      <c r="M62" s="66" t="inlineStr">
        <is>
          <t>ADNOC Harbour Master (Port of Das, Zirku &amp; Mubarraz) notice on traffic within the Zaqqum TSS instructs vessels to maintain a listening watch on VHF 23 (Das VTIS) and to inform Das VTIS. Notice is temporary (2023 pipe-laying) so full VTS area limits are not stated.</t>
        </is>
      </c>
      <c r="N62" s="66" t="inlineStr">
        <is>
          <t>Unresolved</t>
        </is>
      </c>
      <c r="O62" s="66" t="n"/>
      <c r="P62" s="66" t="inlineStr">
        <is>
          <t>No IMO-adopted or national mandatory reporting system evidenced for the scheme; Das VTIS reporting duties are within the VTS, not a separate system.</t>
        </is>
      </c>
      <c r="Q62" s="66" t="inlineStr">
        <is>
          <t>UKMTO / MSCIO / IFC-IOR voluntary security reporting for the Arabian Gulf (Liberia MSB 14/2026).</t>
        </is>
      </c>
      <c r="R62" s="66" t="n"/>
      <c r="S62" s="66" t="inlineStr">
        <is>
          <t>Intermediate</t>
        </is>
      </c>
      <c r="T62" s="66" t="inlineStr">
        <is>
          <t>Offshore oilfield TSS with terminal-operator VTIS; coverage evidenced only via a temporary notice.</t>
        </is>
      </c>
      <c r="U62" s="66" t="inlineStr">
        <is>
          <t>SRC-054; SRC-089; SRC-091</t>
        </is>
      </c>
      <c r="V62" s="66" t="inlineStr">
        <is>
          <t>Obtain a standing ADNOC PPA document describing the Das VTIS area; confirm UAE notification date of implementation. Current edition of IMO Ships' Routeing and UKHO ANM Section 17 not retrieved (UKHO download returned HTTP 500), so later amendments or revocations after the cited circular cannot be excluded.</t>
        </is>
      </c>
      <c r="W62" s="66" t="inlineStr">
        <is>
          <t>vts_finding: Confirmed present -&gt; Unresolved. Only evidence is a temporary 2023 ADNOC notice that does not state the Das VTIS area; not sufficient for current coverage. Das VTIS retained as a lead.</t>
        </is>
      </c>
    </row>
    <row r="63" ht="90" customHeight="1" s="63">
      <c r="A63" s="66" t="inlineStr">
        <is>
          <t>TSS-0102</t>
        </is>
      </c>
      <c r="B63" s="66" t="inlineStr">
        <is>
          <t>B21</t>
        </is>
      </c>
      <c r="C63" s="66" t="inlineStr">
        <is>
          <t>D</t>
        </is>
      </c>
      <c r="D63" s="66" t="inlineStr">
        <is>
          <t>In the Approaches to Ras Tanura and Ju'aymah</t>
        </is>
      </c>
      <c r="E63" s="66" t="inlineStr">
        <is>
          <t>In the approaches to Ras Tanura and Ju'aymah</t>
        </is>
      </c>
      <c r="F63" s="66" t="inlineStr">
        <is>
          <t>Saudi Arabia</t>
        </is>
      </c>
      <c r="G63" s="66" t="inlineStr">
        <is>
          <t>Confirmed</t>
        </is>
      </c>
      <c r="H63" s="66" t="inlineStr">
        <is>
          <t>'In the approach to Ras Tanura' in A.284(VIII) (1973); amended and renamed 'In the approaches to Ras Tanura and Ju'aymah (as amended)' by A.338(IX) (12 Nov 1975), in three parts. Later amendments not checked.</t>
        </is>
      </c>
      <c r="I63" s="66" t="inlineStr">
        <is>
          <t>In force</t>
        </is>
      </c>
      <c r="J63" s="66" t="inlineStr">
        <is>
          <t>Part I: Ras Tanura Approach; Part II: Ju'aymah Approach; Part III: Ju'aymah Departure</t>
        </is>
      </c>
      <c r="K63" s="66" t="inlineStr">
        <is>
          <t>Unresolved</t>
        </is>
      </c>
      <c r="L63" s="66" t="inlineStr">
        <is>
          <t>VTS-040</t>
        </is>
      </c>
      <c r="M63" s="66" t="inlineStr">
        <is>
          <t>Lead only: Saudi Aramco Ports and Terminals documents (search snippets) mention Ras Tanura Port Control on VHF 10/16 and a Vessel Traffic Management System at Ju'aymah, but every Aramco PDF returned 404/403 so coverage of the TSS could not be verified.</t>
        </is>
      </c>
      <c r="N63" s="66" t="inlineStr">
        <is>
          <t>Unresolved</t>
        </is>
      </c>
      <c r="O63" s="66" t="n"/>
      <c r="P63" s="66" t="inlineStr">
        <is>
          <t>No IMO-adopted mandatory reporting system found; port reporting requirements not verified.</t>
        </is>
      </c>
      <c r="Q63" s="66" t="inlineStr">
        <is>
          <t>UKMTO / MSCIO / IFC-IOR voluntary security reporting for the Arabian Gulf (Liberia MSB 14/2026).</t>
        </is>
      </c>
      <c r="R63" s="66" t="n"/>
      <c r="S63" s="66" t="inlineStr">
        <is>
          <t>Intermediate</t>
        </is>
      </c>
      <c r="T63" s="66" t="inlineStr">
        <is>
          <t>Grouped three-part scheme serving oil terminals with an operator-run port control/VTMS lead.</t>
        </is>
      </c>
      <c r="U63" s="66" t="inlineStr">
        <is>
          <t>SRC-086; SRC-087; SRC-091</t>
        </is>
      </c>
      <c r="V63" s="66" t="inlineStr">
        <is>
          <t>Aramco 'Port of Ras Tanura' and Ju'aymah terminal PDFs would not load (404/403, HTTP/2 errors). Current edition of IMO Ships' Routeing and UKHO ANM Section 17 not retrieved (UKHO download returned HTTP 500), so later amendments or revocations after the cited circular cannot be excluded.</t>
        </is>
      </c>
      <c r="W63" s="66" t="n"/>
    </row>
    <row r="64" ht="90" customHeight="1" s="63">
      <c r="A64" s="66" t="inlineStr">
        <is>
          <t>TSS-0103</t>
        </is>
      </c>
      <c r="B64" s="66" t="inlineStr">
        <is>
          <t>B21</t>
        </is>
      </c>
      <c r="C64" s="66" t="inlineStr">
        <is>
          <t>D</t>
        </is>
      </c>
      <c r="D64" s="66" t="inlineStr">
        <is>
          <t>Marjan/Zuluf</t>
        </is>
      </c>
      <c r="E64" s="66" t="inlineStr">
        <is>
          <t>Marjan/Zuluf (originally 'Between the Zuluf and Marjan oil fields')</t>
        </is>
      </c>
      <c r="F64" s="66" t="inlineStr">
        <is>
          <t>Saudi Arabia (by location; not named in circulars)</t>
        </is>
      </c>
      <c r="G64" s="66" t="inlineStr">
        <is>
          <t>Confirmed</t>
        </is>
      </c>
      <c r="H64" s="66" t="inlineStr">
        <is>
          <t>New scheme adopted by MSC 59; COLREG.2/Circ.37 (19 June 1991), implemented 16 Nov 1991. Amended by MSC 70; COLREG.2/Circ.45 (8 Jan 1999), implemented 1 July 1999, superseding COLREG.2/Circ.43 (10 Feb 1997). Renamed 'Marjan/Zuluf (amended scheme)'.</t>
        </is>
      </c>
      <c r="I64" s="66" t="inlineStr">
        <is>
          <t>In force</t>
        </is>
      </c>
      <c r="J64" s="66" t="n"/>
      <c r="K64" s="66" t="inlineStr">
        <is>
          <t>Unresolved</t>
        </is>
      </c>
      <c r="L64" s="66" t="n"/>
      <c r="M64" s="66" t="inlineStr">
        <is>
          <t>No VTS evidenced as covering the scheme; Saudi Aramco documents could not be retrieved.</t>
        </is>
      </c>
      <c r="N64" s="66" t="inlineStr">
        <is>
          <t>Unresolved</t>
        </is>
      </c>
      <c r="O64" s="66" t="n"/>
      <c r="P64" s="66" t="inlineStr">
        <is>
          <t>No IMO-adopted or national mandatory reporting evidenced.</t>
        </is>
      </c>
      <c r="Q64" s="66" t="inlineStr">
        <is>
          <t>UKMTO / MSCIO / IFC-IOR voluntary security reporting for the Arabian Gulf (Liberia MSB 14/2026).</t>
        </is>
      </c>
      <c r="R64" s="66" t="n"/>
      <c r="S64" s="66" t="inlineStr">
        <is>
          <t>Simple</t>
        </is>
      </c>
      <c r="T64" s="66" t="inlineStr">
        <is>
          <t>Single-State offshore oilfield TSS; no VTS or reporting identified.</t>
        </is>
      </c>
      <c r="U64" s="66" t="inlineStr">
        <is>
          <t>SRC-054; SRC-091</t>
        </is>
      </c>
      <c r="V64" s="66" t="inlineStr">
        <is>
          <t>Current edition of IMO Ships' Routeing and UKHO ANM Section 17 not retrieved (UKHO download returned HTTP 500), so later amendments or revocations after the cited circular cannot be excluded.</t>
        </is>
      </c>
      <c r="W64" s="66" t="n"/>
    </row>
    <row r="65" ht="90" customHeight="1" s="63">
      <c r="A65" s="66" t="inlineStr">
        <is>
          <t>TSS-0104</t>
        </is>
      </c>
      <c r="B65" s="66" t="inlineStr">
        <is>
          <t>B21</t>
        </is>
      </c>
      <c r="C65" s="66" t="inlineStr">
        <is>
          <t>D</t>
        </is>
      </c>
      <c r="D65" s="66" t="inlineStr">
        <is>
          <t>Approaches to the Port of Ra's al Khafji</t>
        </is>
      </c>
      <c r="E65" s="66" t="inlineStr">
        <is>
          <t>Approaches to the Port of Ra's al Khafji</t>
        </is>
      </c>
      <c r="F65" s="66" t="inlineStr">
        <is>
          <t>Saudi Arabia (Government of Saudi Arabia notified IMO)</t>
        </is>
      </c>
      <c r="G65" s="66" t="inlineStr">
        <is>
          <t>Confirmed</t>
        </is>
      </c>
      <c r="H65" s="66" t="inlineStr">
        <is>
          <t>New scheme adopted by MSC 78; COLREG.2/Circ.54 (28 May 2004), planned 1 Dec 2004; implementation postponed to 1 June 2005 by COLREG.2/Circ.54/Add.1 (13 Sep 2004, note by Saudi Arabia).</t>
        </is>
      </c>
      <c r="I65" s="66" t="inlineStr">
        <is>
          <t>In force</t>
        </is>
      </c>
      <c r="J65" s="66" t="n"/>
      <c r="K65" s="66" t="inlineStr">
        <is>
          <t>Unresolved</t>
        </is>
      </c>
      <c r="L65" s="66" t="n"/>
      <c r="M65" s="66" t="inlineStr">
        <is>
          <t>No VTS evidenced (Al-Khafji Joint Operations port control not found in a primary source).</t>
        </is>
      </c>
      <c r="N65" s="66" t="inlineStr">
        <is>
          <t>Unresolved</t>
        </is>
      </c>
      <c r="O65" s="66" t="n"/>
      <c r="P65" s="66" t="inlineStr">
        <is>
          <t>No IMO-adopted or national mandatory reporting evidenced.</t>
        </is>
      </c>
      <c r="Q65" s="66" t="inlineStr">
        <is>
          <t>UKMTO / MSCIO / IFC-IOR voluntary security reporting for the Arabian Gulf (Liberia MSB 14/2026).</t>
        </is>
      </c>
      <c r="R65" s="66" t="n"/>
      <c r="S65" s="66" t="inlineStr">
        <is>
          <t>Simple</t>
        </is>
      </c>
      <c r="T65" s="66" t="inlineStr">
        <is>
          <t>Single port approach TSS; no VTS or reporting identified.</t>
        </is>
      </c>
      <c r="U65" s="66" t="inlineStr">
        <is>
          <t>SRC-054; SRC-085; SRC-091</t>
        </is>
      </c>
      <c r="V65" s="66" t="inlineStr">
        <is>
          <t>Khafji lies near the former Saudi-Kuwaiti Divided/Neutral Zone; operator arrangements not checked. Current edition of IMO Ships' Routeing and UKHO ANM Section 17 not retrieved (UKHO download returned HTTP 500), so later amendments or revocations after the cited circular cannot be excluded.</t>
        </is>
      </c>
      <c r="W65" s="66" t="n"/>
    </row>
    <row r="66" ht="90" customHeight="1" s="63">
      <c r="A66" s="66" t="inlineStr">
        <is>
          <t>TSS-0105</t>
        </is>
      </c>
      <c r="B66" s="66" t="inlineStr">
        <is>
          <t>B21</t>
        </is>
      </c>
      <c r="C66" s="66" t="inlineStr">
        <is>
          <t>D</t>
        </is>
      </c>
      <c r="D66" s="66" t="inlineStr">
        <is>
          <t>Off Mina'Al Ahmadi</t>
        </is>
      </c>
      <c r="E66" s="66" t="inlineStr">
        <is>
          <t>Off Mina Al-Ahmadi</t>
        </is>
      </c>
      <c r="F66" s="66" t="inlineStr">
        <is>
          <t>Kuwait (by location; not named in circular)</t>
        </is>
      </c>
      <c r="G66" s="66" t="inlineStr">
        <is>
          <t>Confirmed</t>
        </is>
      </c>
      <c r="H66" s="66" t="inlineStr">
        <is>
          <t>New scheme adopted by MSC 79; COLREG.2/Circ.55 (15 Dec 2004), implemented 0000 UTC 1 July 2005. The adopted measure comprises three schemes (North Scheme I, North Scheme II, The South Scheme); annex notes the Mina Al-Ahmadi deep departure channel remains in use.</t>
        </is>
      </c>
      <c r="I66" s="66" t="inlineStr">
        <is>
          <t>In force</t>
        </is>
      </c>
      <c r="J66" s="66" t="inlineStr">
        <is>
          <t>North Scheme I; North Scheme II; The South Scheme</t>
        </is>
      </c>
      <c r="K66" s="66" t="inlineStr">
        <is>
          <t>Unresolved</t>
        </is>
      </c>
      <c r="L66" s="66" t="n"/>
      <c r="M66" s="66" t="inlineStr">
        <is>
          <t>No VTS evidenced; port information sites (lead only) say marine operations are run by the Kuwait Oil Company harbour master, without VTS coverage details.</t>
        </is>
      </c>
      <c r="N66" s="66" t="inlineStr">
        <is>
          <t>Unresolved</t>
        </is>
      </c>
      <c r="O66" s="66" t="n"/>
      <c r="P66" s="66" t="inlineStr">
        <is>
          <t>No IMO-adopted or national mandatory reporting evidenced.</t>
        </is>
      </c>
      <c r="Q66" s="66" t="inlineStr">
        <is>
          <t>UKMTO / MSCIO / IFC-IOR voluntary security reporting for the Arabian Gulf (Liberia MSB 14/2026).</t>
        </is>
      </c>
      <c r="R66" s="66" t="n"/>
      <c r="S66" s="66" t="inlineStr">
        <is>
          <t>Intermediate</t>
        </is>
      </c>
      <c r="T66" s="66" t="inlineStr">
        <is>
          <t>Grouped label covering three schemes serving an oil port; VTS status unknown.</t>
        </is>
      </c>
      <c r="U66" s="66" t="inlineStr">
        <is>
          <t>SRC-054; SRC-091</t>
        </is>
      </c>
      <c r="V66" s="66" t="inlineStr">
        <is>
          <t>Kuwait Ports Authority / KOC port regulations not found online. Current edition of IMO Ships' Routeing and UKHO ANM Section 17 not retrieved (UKHO download returned HTTP 500), so later amendments or revocations after the cited circular cannot be excluded.</t>
        </is>
      </c>
      <c r="W66" s="66" t="n"/>
    </row>
    <row r="67" ht="90" customHeight="1" s="63">
      <c r="A67" s="66" t="inlineStr">
        <is>
          <t>TSS-0106</t>
        </is>
      </c>
      <c r="B67" s="66" t="inlineStr">
        <is>
          <t>B22</t>
        </is>
      </c>
      <c r="C67" s="66" t="inlineStr">
        <is>
          <t>D</t>
        </is>
      </c>
      <c r="D67" s="66" t="inlineStr">
        <is>
          <t>Off Dondra Head</t>
        </is>
      </c>
      <c r="E67" s="66" t="inlineStr">
        <is>
          <t>Off Dondra Head (TSS south of Dondra Head)</t>
        </is>
      </c>
      <c r="F67" s="66" t="inlineStr">
        <is>
          <t>Sri Lanka</t>
        </is>
      </c>
      <c r="G67" s="66" t="inlineStr">
        <is>
          <t>Provisional</t>
        </is>
      </c>
      <c r="H67" s="66" t="inlineStr">
        <is>
          <t>MEPC 80/16/3 (28 Apr 2023) states the existing TSS south of Dondra Head is in Ships' Routeing Section IV and was established in 1980; adoption instrument (IMO circular/resolution) not retrieved. 2023 industry/IWC proposal to move the TSS about 15 nm south was opposed by Sri Lanka (press leads); no change evidenced.</t>
        </is>
      </c>
      <c r="I67" s="66" t="inlineStr">
        <is>
          <t>In force</t>
        </is>
      </c>
      <c r="J67" s="66" t="n"/>
      <c r="K67" s="66" t="inlineStr">
        <is>
          <t>Unresolved</t>
        </is>
      </c>
      <c r="L67" s="66" t="n"/>
      <c r="M67" s="66" t="inlineStr">
        <is>
          <t>No VTS covering the TSS found. Sri Lanka Ports Authority VTMS at Colombo (supplier press releases, lead only) is a port system and not evidenced to cover Dondra Head.</t>
        </is>
      </c>
      <c r="N67" s="66" t="inlineStr">
        <is>
          <t>Unresolved</t>
        </is>
      </c>
      <c r="O67" s="66" t="n"/>
      <c r="P67" s="66" t="inlineStr">
        <is>
          <t>No IMO-adopted or national mandatory reporting system evidenced.</t>
        </is>
      </c>
      <c r="Q67" s="66" t="n"/>
      <c r="R67" s="66" t="n"/>
      <c r="S67" s="66" t="inlineStr">
        <is>
          <t>Simple</t>
        </is>
      </c>
      <c r="T67" s="66" t="inlineStr">
        <is>
          <t>Single-State coastal TSS; no VTS or reporting identified; environmental review pressure noted.</t>
        </is>
      </c>
      <c r="U67" s="66" t="inlineStr">
        <is>
          <t>SRC-090</t>
        </is>
      </c>
      <c r="V67" s="66" t="inlineStr">
        <is>
          <t>Retrieve the 1980 adoption instrument and any Sri Lanka Merchant Shipping Secretariat notice. Current edition of IMO Ships' Routeing and UKHO ANM Section 17 not retrieved (UKHO download returned HTTP 500), so later amendments or revocations after the cited circular cannot be excluded.</t>
        </is>
      </c>
      <c r="W67" s="66" t="n"/>
    </row>
    <row r="68" ht="90" customHeight="1" s="63">
      <c r="A68" s="66" t="inlineStr">
        <is>
          <t>TSS-0107</t>
        </is>
      </c>
      <c r="B68" s="66" t="inlineStr">
        <is>
          <t>B22</t>
        </is>
      </c>
      <c r="C68" s="66" t="inlineStr">
        <is>
          <t>D</t>
        </is>
      </c>
      <c r="D68" s="66" t="inlineStr">
        <is>
          <t>At One Fathom Bank</t>
        </is>
      </c>
      <c r="E68" s="66" t="inlineStr">
        <is>
          <t>At One Fathom Bank (with precautionary area 'Off Port Klang')</t>
        </is>
      </c>
      <c r="F68" s="66" t="inlineStr">
        <is>
          <t>Malaysia (Straits of Malacca; system proposed by Indonesia, Malaysia and Singapore)</t>
        </is>
      </c>
      <c r="G68" s="66" t="inlineStr">
        <is>
          <t>Confirmed</t>
        </is>
      </c>
      <c r="H68" s="66" t="inlineStr">
        <is>
          <t>Amended scheme adopted by MSC 69 (May 1998); COLREG.2/Circ.44 annex 1, implemented 0000 UTC 1 Dec 1998, with precautionary area 'Off Port Klang'. Segment of the Malacca-Singapore routeing system.</t>
        </is>
      </c>
      <c r="I68" s="66" t="inlineStr">
        <is>
          <t>In force</t>
        </is>
      </c>
      <c r="J68" s="66" t="n"/>
      <c r="K68" s="66" t="inlineStr">
        <is>
          <t>Confirmed present</t>
        </is>
      </c>
      <c r="L68" s="66" t="inlineStr">
        <is>
          <t>VTS-004</t>
        </is>
      </c>
      <c r="M68" s="66" t="inlineStr">
        <is>
          <t>Scheme spans c. 03°02'.7N to 02°41'N (Circ.44). On the STRAITREP chartlet the Sector 1 (Angsa)/Sector 2 (Jugra) boundary runs at about 02°52'N towards Port Klang, so the scheme lies in Sectors 1 and 2, both 'Klang VTS' (MSC.73(69) para 3.4); VHF 66 (Sector 1) and 88 (Sector 2).</t>
        </is>
      </c>
      <c r="N68" s="66" t="inlineStr">
        <is>
          <t>Confirmed present</t>
        </is>
      </c>
      <c r="O68" s="66" t="inlineStr">
        <is>
          <t>SRS-004</t>
        </is>
      </c>
      <c r="P68" s="66" t="inlineStr">
        <is>
          <t>STRAITREP (MSC.73(69), in force 1 Dec 1998) applies throughout the operational area, which 'includes the routeing system in the Straits of Malacca and Singapore'; reports to the VTS authority for the sector. Sectors 1-2: Klang VTS.</t>
        </is>
      </c>
      <c r="Q68" s="66" t="n"/>
      <c r="R68" s="66" t="inlineStr">
        <is>
          <t>STRAITREP participants: ships of 300 GT and above; 50 m or more in length; towing/pushing combinations of 300 GT or 50 m; any tonnage carrying hazardous cargo; all VHF-fitted passenger vessels; smaller VHF-fitted vessels using the lanes in an emergency (MSC.73(69) Annex 1 para 1.1).</t>
        </is>
      </c>
      <c r="S68" s="66" t="inlineStr">
        <is>
          <t>Intermediate</t>
        </is>
      </c>
      <c r="T68" s="66" t="inlineStr">
        <is>
          <t>One VTS but two STRAITREP sectors/channels; part of a multi-State routeing and reporting system.</t>
        </is>
      </c>
      <c r="U68" s="66" t="inlineStr">
        <is>
          <t>SRC-054; SRC-083; SRC-007; SRC-084</t>
        </is>
      </c>
      <c r="V68" s="66" t="inlineStr">
        <is>
          <t>Sector boundaries are published only as chartlets (MSC.73(69) appendices 1-2); allocation is by visual interpretation of the MPA 2026 chartlet against Circ.44 coordinates, not by stated boundary coordinates. Later amendments to the Malacca schemes after 1998 not checked. Operating authority of Klang and Johor VTS (Marine Department Malaysia) not stated in fetched sources; Malaysian sources not retrieved.</t>
        </is>
      </c>
      <c r="W68" s="66" t="n"/>
    </row>
    <row r="69" ht="90" customHeight="1" s="63">
      <c r="A69" s="66" t="inlineStr">
        <is>
          <t>TSS-0108</t>
        </is>
      </c>
      <c r="B69" s="66" t="inlineStr">
        <is>
          <t>B22</t>
        </is>
      </c>
      <c r="C69" s="66" t="inlineStr">
        <is>
          <t>D</t>
        </is>
      </c>
      <c r="D69" s="66" t="inlineStr">
        <is>
          <t>Port Klang to Port Dickson</t>
        </is>
      </c>
      <c r="E69" s="66" t="inlineStr">
        <is>
          <t>Port Klang to Port Dickson (with precautionary area 'Off Port Dickson')</t>
        </is>
      </c>
      <c r="F69" s="66" t="inlineStr">
        <is>
          <t>Malaysia</t>
        </is>
      </c>
      <c r="G69" s="66" t="inlineStr">
        <is>
          <t>Confirmed</t>
        </is>
      </c>
      <c r="H69" s="66" t="inlineStr">
        <is>
          <t>New scheme adopted by MSC 69; COLREG.2/Circ.44 annex 2, implemented 1 Dec 1998, with inshore traffic zone and precautionary area 'Off Port Dickson'.</t>
        </is>
      </c>
      <c r="I69" s="66" t="inlineStr">
        <is>
          <t>In force</t>
        </is>
      </c>
      <c r="J69" s="66" t="n"/>
      <c r="K69" s="66" t="inlineStr">
        <is>
          <t>Confirmed present</t>
        </is>
      </c>
      <c r="L69" s="66" t="inlineStr">
        <is>
          <t>VTS-004</t>
        </is>
      </c>
      <c r="M69" s="66" t="inlineStr">
        <is>
          <t>Scheme runs c. 02°44'N 101°15'E to 02°24'-02°29'N 101°35'-101°39'E. On the chartlet it lies in Sector 2 (Jugra), with its south-eastern end and the Off Port Dickson precautionary area at or just across the Sector 2/3 boundary off Port Dickson; both sectors are Klang VTS (VHF 88 Sector 2, 84 Sector 3).</t>
        </is>
      </c>
      <c r="N69" s="66" t="inlineStr">
        <is>
          <t>Confirmed present</t>
        </is>
      </c>
      <c r="O69" s="66" t="inlineStr">
        <is>
          <t>SRS-004</t>
        </is>
      </c>
      <c r="P69" s="66" t="inlineStr">
        <is>
          <t>STRAITREP (MSC.73(69), in force 1 Dec 1998) applies throughout the operational area, which 'includes the routeing system in the Straits of Malacca and Singapore'; reports to the VTS authority for the sector. Sectors 2 (mainly) and 3: Klang VTS.</t>
        </is>
      </c>
      <c r="Q69" s="66" t="n"/>
      <c r="R69" s="66" t="inlineStr">
        <is>
          <t>STRAITREP participants: ships of 300 GT and above; 50 m or more in length; towing/pushing combinations of 300 GT or 50 m; any tonnage carrying hazardous cargo; all VHF-fitted passenger vessels; smaller VHF-fitted vessels using the lanes in an emergency (MSC.73(69) Annex 1 para 1.1).</t>
        </is>
      </c>
      <c r="S69" s="66" t="inlineStr">
        <is>
          <t>Intermediate</t>
        </is>
      </c>
      <c r="T69" s="66" t="inlineStr">
        <is>
          <t>Single VTS; sector boundary near south-eastern end changes working channel.</t>
        </is>
      </c>
      <c r="U69" s="66" t="inlineStr">
        <is>
          <t>SRC-054; SRC-083; SRC-007; SRC-084</t>
        </is>
      </c>
      <c r="V69" s="66" t="inlineStr">
        <is>
          <t>Sector boundaries are published only as chartlets (MSC.73(69) appendices 1-2); allocation is by visual interpretation of the MPA 2026 chartlet against Circ.44 coordinates, not by stated boundary coordinates. Later amendments to the Malacca schemes after 1998 not checked. Operating authority of Klang and Johor VTS (Marine Department Malaysia) not stated in fetched sources; Malaysian sources not retrieved.</t>
        </is>
      </c>
      <c r="W69" s="66" t="n"/>
    </row>
    <row r="70" ht="90" customHeight="1" s="63">
      <c r="A70" s="66" t="inlineStr">
        <is>
          <t>TSS-0109</t>
        </is>
      </c>
      <c r="B70" s="66" t="inlineStr">
        <is>
          <t>B22</t>
        </is>
      </c>
      <c r="C70" s="66" t="inlineStr">
        <is>
          <t>D</t>
        </is>
      </c>
      <c r="D70" s="66" t="inlineStr">
        <is>
          <t>Port Dickson to Tanjung Keling</t>
        </is>
      </c>
      <c r="E70" s="66" t="inlineStr">
        <is>
          <t>Port Dickson to Tanjung Keling (with precautionary area 'Off Malacca/Dumai')</t>
        </is>
      </c>
      <c r="F70" s="66" t="inlineStr">
        <is>
          <t>Malaysia (Indonesia across the strait)</t>
        </is>
      </c>
      <c r="G70" s="66" t="inlineStr">
        <is>
          <t>Confirmed</t>
        </is>
      </c>
      <c r="H70" s="66" t="inlineStr">
        <is>
          <t>New scheme adopted by MSC 69; COLREG.2/Circ.44 annex 3, implemented 1 Dec 1998, with inshore traffic zone and precautionary area 'Off Malacca/Dumai'.</t>
        </is>
      </c>
      <c r="I70" s="66" t="inlineStr">
        <is>
          <t>In force</t>
        </is>
      </c>
      <c r="J70" s="66" t="n"/>
      <c r="K70" s="66" t="inlineStr">
        <is>
          <t>Confirmed present</t>
        </is>
      </c>
      <c r="L70" s="66" t="inlineStr">
        <is>
          <t>VTS-004</t>
        </is>
      </c>
      <c r="M70" s="66" t="inlineStr">
        <is>
          <t>Scheme runs c. 02°24'N 101°41'E to 02°03'-02°12'N 101°54'-102°01'E. On the chartlet it lies in Sector 3 (Cape Rachado), Klang VTS, VHF 84; the Off Malacca/Dumai precautionary area at its south-eastern end sits near the Sector 3/4 boundary (Sector 4 also Klang VTS, VHF 61).</t>
        </is>
      </c>
      <c r="N70" s="66" t="inlineStr">
        <is>
          <t>Confirmed present</t>
        </is>
      </c>
      <c r="O70" s="66" t="inlineStr">
        <is>
          <t>SRS-004</t>
        </is>
      </c>
      <c r="P70" s="66" t="inlineStr">
        <is>
          <t>STRAITREP (MSC.73(69), in force 1 Dec 1998) applies throughout the operational area, which 'includes the routeing system in the Straits of Malacca and Singapore'; reports to the VTS authority for the sector. Sector 3: Klang VTS.</t>
        </is>
      </c>
      <c r="Q70" s="66" t="n"/>
      <c r="R70" s="66" t="inlineStr">
        <is>
          <t>STRAITREP participants: ships of 300 GT and above; 50 m or more in length; towing/pushing combinations of 300 GT or 50 m; any tonnage carrying hazardous cargo; all VHF-fitted passenger vessels; smaller VHF-fitted vessels using the lanes in an emergency (MSC.73(69) Annex 1 para 1.1).</t>
        </is>
      </c>
      <c r="S70" s="66" t="inlineStr">
        <is>
          <t>Simple</t>
        </is>
      </c>
      <c r="T70" s="66" t="inlineStr">
        <is>
          <t>Single VTS and essentially a single sector.</t>
        </is>
      </c>
      <c r="U70" s="66" t="inlineStr">
        <is>
          <t>SRC-054; SRC-083; SRC-007; SRC-084</t>
        </is>
      </c>
      <c r="V70" s="66" t="inlineStr">
        <is>
          <t>Sector boundaries are published only as chartlets (MSC.73(69) appendices 1-2); allocation is by visual interpretation of the MPA 2026 chartlet against Circ.44 coordinates, not by stated boundary coordinates. Later amendments to the Malacca schemes after 1998 not checked. Operating authority of Klang and Johor VTS (Marine Department Malaysia) not stated in fetched sources; Malaysian sources not retrieved.</t>
        </is>
      </c>
      <c r="W70" s="66" t="n"/>
    </row>
    <row r="71" ht="90" customHeight="1" s="63">
      <c r="A71" s="66" t="inlineStr">
        <is>
          <t>TSS-0110</t>
        </is>
      </c>
      <c r="B71" s="66" t="inlineStr">
        <is>
          <t>B22</t>
        </is>
      </c>
      <c r="C71" s="66" t="inlineStr">
        <is>
          <t>D</t>
        </is>
      </c>
      <c r="D71" s="66" t="inlineStr">
        <is>
          <t>Malacca to Iyu Kecil</t>
        </is>
      </c>
      <c r="E71" s="66" t="inlineStr">
        <is>
          <t>Malacca to Iyu Kecil (with precautionary area 'Off Sultan Shoal Lighthouse')</t>
        </is>
      </c>
      <c r="F71" s="66" t="inlineStr">
        <is>
          <t>Malaysia; Indonesia (south side of the strait)</t>
        </is>
      </c>
      <c r="G71" s="66" t="inlineStr">
        <is>
          <t>Confirmed</t>
        </is>
      </c>
      <c r="H71" s="66" t="inlineStr">
        <is>
          <t>New scheme adopted by MSC 69; COLREG.2/Circ.44 annex 4, implemented 1 Dec 1998, with precautionary area 'Off Sultan Shoal Lighthouse'. Continues eastward into 'In the Singapore Strait' (amended 2004, COLREG.2/Circ.54 annex 5, implemented 1 Jan 2005).</t>
        </is>
      </c>
      <c r="I71" s="66" t="inlineStr">
        <is>
          <t>In force</t>
        </is>
      </c>
      <c r="J71" s="66" t="n"/>
      <c r="K71" s="66" t="inlineStr">
        <is>
          <t>Confirmed present</t>
        </is>
      </c>
      <c r="L71" s="66" t="inlineStr">
        <is>
          <t>VTS-004; VTS-005; VTS-006</t>
        </is>
      </c>
      <c r="M71" s="66" t="inlineStr">
        <is>
          <t>Scheme runs c. 02°05'N 102°04'E to 01°09'-01°14'N 103°27'-103°30'E. On the chartlets it crosses Sectors 4 (Undan) and 5 (Segenting) of Klang VTS (VHF 61, 88) and Sector 6 (Piai) of Johor VTS (VHF 88). Its eastern end meets the Tg Piai - Pulau Karimun Kecil line (reporting line, and Sector 6/7 boundary on Appendix 2); by the Circ.44 coordinates the easternmost lane ends lie marginally east of that line, in Sector 7 (Singapore VTS, VHF 73), where the associated Off Sultan Shoal precautionary area also lies. North-western end adjoins the Sector 3/4 boundary.</t>
        </is>
      </c>
      <c r="N71" s="66" t="inlineStr">
        <is>
          <t>Confirmed present</t>
        </is>
      </c>
      <c r="O71" s="66" t="inlineStr">
        <is>
          <t>SRS-004</t>
        </is>
      </c>
      <c r="P71" s="66" t="inlineStr">
        <is>
          <t>STRAITREP (MSC.73(69), in force 1 Dec 1998) applies throughout the operational area, which 'includes the routeing system in the Straits of Malacca and Singapore'; reports to the VTS authority for the sector. Sectors 4-5 Klang VTS, Sector 6 Johor VTS; ships crossing the Tg Piai - Karimun Kecil line report on entering Singapore VTS Sector 7.</t>
        </is>
      </c>
      <c r="Q71" s="66" t="n"/>
      <c r="R71" s="66" t="inlineStr">
        <is>
          <t>STRAITREP participants: ships of 300 GT and above; 50 m or more in length; towing/pushing combinations of 300 GT or 50 m; any tonnage carrying hazardous cargo; all VHF-fitted passenger vessels; smaller VHF-fitted vessels using the lanes in an emergency (MSC.73(69) Annex 1 para 1.1).</t>
        </is>
      </c>
      <c r="S71" s="66" t="inlineStr">
        <is>
          <t>Complex</t>
        </is>
      </c>
      <c r="T71" s="66" t="inlineStr">
        <is>
          <t>Crosses three or four STRAITREP sectors and two or three VTS authorities in two States, with a mandatory reporting line at its eastern end.</t>
        </is>
      </c>
      <c r="U71" s="66" t="inlineStr">
        <is>
          <t>SRC-054; SRC-083; SRC-007; SRC-084</t>
        </is>
      </c>
      <c r="V71" s="66" t="inlineStr">
        <is>
          <t>Sector boundaries are published only as chartlets (MSC.73(69) appendices 1-2); allocation is by visual interpretation of the MPA 2026 chartlet against Circ.44 coordinates, not by stated boundary coordinates. Later amendments to the Malacca schemes after 1998 not checked. Operating authority of Klang and Johor VTS (Marine Department Malaysia) not stated in fetched sources; Malaysian sources not retrieved. Whether the Singapore VTS link should be treated as scheme coverage or only its terminus is a judgement for the editor.</t>
        </is>
      </c>
      <c r="W71" s="66" t="n"/>
    </row>
    <row r="72" ht="90" customHeight="1" s="63">
      <c r="A72" s="66" t="inlineStr">
        <is>
          <t>TSS-0111</t>
        </is>
      </c>
      <c r="B72" s="66" t="inlineStr">
        <is>
          <t>B23</t>
        </is>
      </c>
      <c r="C72" s="66" t="inlineStr">
        <is>
          <t>E</t>
        </is>
      </c>
      <c r="D72" s="66" t="inlineStr">
        <is>
          <t>In the Singapore Strait (Main Strait)</t>
        </is>
      </c>
      <c r="E72" s="66" t="inlineStr">
        <is>
          <t>In the Singapore Strait (Main Strait)</t>
        </is>
      </c>
      <c r="F72" s="66" t="inlineStr">
        <is>
          <t>Indonesia, Malaysia, Singapore (tripartite routeing system)</t>
        </is>
      </c>
      <c r="G72" s="66" t="inlineStr">
        <is>
          <t>Confirmed</t>
        </is>
      </c>
      <c r="H72" s="66" t="inlineStr">
        <is>
          <t>Amended scheme adopted MSC 69 (May 1998), implemented 0000 UTC 1 December 1998 (COLREG.2/Circ.44, amended by COLREG.2/Circ.54 of 28 May 2004), with precautionary area 'Off Pulau Sebarok/Pulau Belakang Padang'. Scheme coordinates run from about 103°32.96'E to about 103°50'E (S4, Annex 5).</t>
        </is>
      </c>
      <c r="I72" s="66" t="inlineStr">
        <is>
          <t>In force</t>
        </is>
      </c>
      <c r="J72" s="66" t="n"/>
      <c r="K72" s="66" t="inlineStr">
        <is>
          <t>Confirmed present</t>
        </is>
      </c>
      <c r="L72" s="66" t="inlineStr">
        <is>
          <t>VTS-006</t>
        </is>
      </c>
      <c r="M72" s="66" t="inlineStr">
        <is>
          <t>Scheme spans roughly 103°33'E to 103°50'E. MPA defines Sector 7 as between the Tg Piai to Pulau Karimun Kecil line and 103°44.5'E, and Sector 8 as 103°44.5'E to 104°02.1'E (S3); both are Singapore VTS sectors (S1). West part in Sector 7 (VTIS West, Ch 73), east part in Sector 8 (VTIS Central, Ch 14). Not in Johor VTS Sector 6 or Klang VTS sectors.</t>
        </is>
      </c>
      <c r="N72" s="66" t="inlineStr">
        <is>
          <t>Confirmed present</t>
        </is>
      </c>
      <c r="O72" s="66" t="inlineStr">
        <is>
          <t>SRS-004</t>
        </is>
      </c>
      <c r="P72" s="66" t="inlineStr">
        <is>
          <t>STRAITREP operational area (100°40'E to 104°23'E) expressly includes the routeing system in the Straits (S5, S2); segment wholly within.</t>
        </is>
      </c>
      <c r="Q72" s="66" t="n"/>
      <c r="R72" s="66" t="inlineStr">
        <is>
          <t>STRAITREP categories: 300 GT and above; 50 m or more in length; towing/pushing with combined 300 GT or 50 m; any tonnage carrying hazardous cargo; passenger vessels fitted with VHF (S5, S2).</t>
        </is>
      </c>
      <c r="S72" s="66" t="inlineStr">
        <is>
          <t>Complex</t>
        </is>
      </c>
      <c r="T72" s="66" t="inlineStr">
        <is>
          <t>Tripartite scheme split across two Singapore VTS sectors with a mandatory IMO SRS.</t>
        </is>
      </c>
      <c r="U72" s="66" t="inlineStr">
        <is>
          <t>SRC-007; SRC-006; SRC-092; SRC-093; SRC-094</t>
        </is>
      </c>
      <c r="V72" s="66" t="inlineStr">
        <is>
          <t>Sector boundaries in MSC.73(69) appear only on chartlets; allocation relies on MPA longitudes (S3). Precise western boundary of the scheme relative to the Tg Piai line not plotted, but all scheme coordinates are east of 103°30.75'E.</t>
        </is>
      </c>
      <c r="W72" s="66" t="n"/>
    </row>
    <row r="73" ht="90" customHeight="1" s="63">
      <c r="A73" s="66" t="inlineStr">
        <is>
          <t>TSS-0112</t>
        </is>
      </c>
      <c r="B73" s="66" t="inlineStr">
        <is>
          <t>B23</t>
        </is>
      </c>
      <c r="C73" s="66" t="inlineStr">
        <is>
          <t>E</t>
        </is>
      </c>
      <c r="D73" s="66" t="inlineStr">
        <is>
          <t>Singapore Strait (Off St. John's Island)</t>
        </is>
      </c>
      <c r="E73" s="66" t="inlineStr">
        <is>
          <t>Singapore Strait (Off St. John's Island)</t>
        </is>
      </c>
      <c r="F73" s="66" t="inlineStr">
        <is>
          <t>Indonesia, Malaysia, Singapore (tripartite routeing system)</t>
        </is>
      </c>
      <c r="G73" s="66" t="inlineStr">
        <is>
          <t>Confirmed</t>
        </is>
      </c>
      <c r="H73" s="66" t="inlineStr">
        <is>
          <t>New scheme adopted MSC 69 (1998), implemented 1 December 1998, with precautionary area 'Off St. John's Island/Pulau Sambu'; coordinates about 103°50.2'E to 103°52.7'E, deep-water route within eastbound lane (S4, Annex 6).</t>
        </is>
      </c>
      <c r="I73" s="66" t="inlineStr">
        <is>
          <t>In force</t>
        </is>
      </c>
      <c r="J73" s="66" t="n"/>
      <c r="K73" s="66" t="inlineStr">
        <is>
          <t>Confirmed present</t>
        </is>
      </c>
      <c r="L73" s="66" t="inlineStr">
        <is>
          <t>VTS-006</t>
        </is>
      </c>
      <c r="M73" s="66" t="inlineStr">
        <is>
          <t>Whole scheme lies between 103°44.5'E and 104°02.1'E, i.e. STRAITREP Sector 8 (VTIS Central, Ch 14), a Singapore VTS sector (S3, S1).</t>
        </is>
      </c>
      <c r="N73" s="66" t="inlineStr">
        <is>
          <t>Confirmed present</t>
        </is>
      </c>
      <c r="O73" s="66" t="inlineStr">
        <is>
          <t>SRS-004</t>
        </is>
      </c>
      <c r="P73" s="66" t="inlineStr">
        <is>
          <t>Within STRAITREP operational area, which includes the routeing system (S5, S2).</t>
        </is>
      </c>
      <c r="Q73" s="66" t="n"/>
      <c r="R73" s="66" t="inlineStr">
        <is>
          <t>STRAITREP categories: 300 GT and above; 50 m or more in length; towing/pushing with combined 300 GT or 50 m; any tonnage carrying hazardous cargo; passenger vessels fitted with VHF (S5, S2).</t>
        </is>
      </c>
      <c r="S73" s="66" t="inlineStr">
        <is>
          <t>Complex</t>
        </is>
      </c>
      <c r="T73" s="66" t="inlineStr">
        <is>
          <t>Single VTS sector but part of tripartite system with mandatory SRS and deep-water route.</t>
        </is>
      </c>
      <c r="U73" s="66" t="inlineStr">
        <is>
          <t>SRC-007; SRC-006; SRC-092; SRC-093; SRC-094</t>
        </is>
      </c>
      <c r="V73" s="66" t="inlineStr">
        <is>
          <t>None material.</t>
        </is>
      </c>
      <c r="W73" s="66" t="n"/>
    </row>
    <row r="74" ht="90" customHeight="1" s="63">
      <c r="A74" s="66" t="inlineStr">
        <is>
          <t>TSS-0113</t>
        </is>
      </c>
      <c r="B74" s="66" t="inlineStr">
        <is>
          <t>B23</t>
        </is>
      </c>
      <c r="C74" s="66" t="inlineStr">
        <is>
          <t>E</t>
        </is>
      </c>
      <c r="D74" s="66" t="inlineStr">
        <is>
          <t>Singapore Strait (Off Changi/Pulau Batam)</t>
        </is>
      </c>
      <c r="E74" s="66" t="inlineStr">
        <is>
          <t>Singapore Strait (Off Changi/Pulau Batam)</t>
        </is>
      </c>
      <c r="F74" s="66" t="inlineStr">
        <is>
          <t>Indonesia, Malaysia, Singapore (tripartite routeing system)</t>
        </is>
      </c>
      <c r="G74" s="66" t="inlineStr">
        <is>
          <t>Confirmed</t>
        </is>
      </c>
      <c r="H74" s="66" t="inlineStr">
        <is>
          <t>New scheme adopted MSC 69 (1998), implemented 1 December 1998, with precautionary area 'Off Tanjung Setapa/Pulau Bintan'; coordinates about 103°53.75'E to 104°03.35'E (S4, Annex 7).</t>
        </is>
      </c>
      <c r="I74" s="66" t="inlineStr">
        <is>
          <t>In force</t>
        </is>
      </c>
      <c r="J74" s="66" t="n"/>
      <c r="K74" s="66" t="inlineStr">
        <is>
          <t>Confirmed present</t>
        </is>
      </c>
      <c r="L74" s="66" t="inlineStr">
        <is>
          <t>VTS-006</t>
        </is>
      </c>
      <c r="M74" s="66" t="inlineStr">
        <is>
          <t>Scheme runs from about 103°53.75'E to 104°03.35'E, crossing the Sector 8/9 boundary at 104°02.1'E (S3): mostly Sector 8 (VTIS Central, Ch 14), eastern tip in Sector 9 (VTIS East, Ch 10). Both Singapore VTS (S1).</t>
        </is>
      </c>
      <c r="N74" s="66" t="inlineStr">
        <is>
          <t>Confirmed present</t>
        </is>
      </c>
      <c r="O74" s="66" t="inlineStr">
        <is>
          <t>SRS-004</t>
        </is>
      </c>
      <c r="P74" s="66" t="inlineStr">
        <is>
          <t>Within STRAITREP operational area (S5, S2).</t>
        </is>
      </c>
      <c r="Q74" s="66" t="n"/>
      <c r="R74" s="66" t="inlineStr">
        <is>
          <t>STRAITREP categories: 300 GT and above; 50 m or more in length; towing/pushing with combined 300 GT or 50 m; any tonnage carrying hazardous cargo; passenger vessels fitted with VHF (S5, S2).</t>
        </is>
      </c>
      <c r="S74" s="66" t="inlineStr">
        <is>
          <t>Complex</t>
        </is>
      </c>
      <c r="T74" s="66" t="inlineStr">
        <is>
          <t>Straddles two Singapore VTS sectors; tripartite scheme with mandatory SRS.</t>
        </is>
      </c>
      <c r="U74" s="66" t="inlineStr">
        <is>
          <t>SRC-007; SRC-006; SRC-092; SRC-093; SRC-094</t>
        </is>
      </c>
      <c r="V74" s="66" t="inlineStr">
        <is>
          <t>Associated precautionary area 'Off Tanjung Setapa/Pulau Bintan' extends further east (to about 104°14.9'E), wholly in Sector 9.</t>
        </is>
      </c>
      <c r="W74" s="66" t="n"/>
    </row>
    <row r="75" ht="90" customHeight="1" s="63">
      <c r="A75" s="66" t="inlineStr">
        <is>
          <t>TSS-0114</t>
        </is>
      </c>
      <c r="B75" s="66" t="inlineStr">
        <is>
          <t>B23</t>
        </is>
      </c>
      <c r="C75" s="66" t="inlineStr">
        <is>
          <t>E</t>
        </is>
      </c>
      <c r="D75" s="66" t="inlineStr">
        <is>
          <t>At Horsburgh Lighthouse Area</t>
        </is>
      </c>
      <c r="E75" s="66" t="inlineStr">
        <is>
          <t>At Horsburgh Lighthouse Area</t>
        </is>
      </c>
      <c r="F75" s="66" t="inlineStr">
        <is>
          <t>Indonesia, Malaysia, Singapore (tripartite routeing system)</t>
        </is>
      </c>
      <c r="G75" s="66" t="inlineStr">
        <is>
          <t>Confirmed</t>
        </is>
      </c>
      <c r="H75" s="66" t="inlineStr">
        <is>
          <t>Amended scheme adopted MSC 69 (1998), implemented 1 December 1998; coordinates 104°14.89'E to about 104°27.84'E (S4, Annex 8).</t>
        </is>
      </c>
      <c r="I75" s="66" t="inlineStr">
        <is>
          <t>In force</t>
        </is>
      </c>
      <c r="J75" s="66" t="n"/>
      <c r="K75" s="66" t="inlineStr">
        <is>
          <t>Confirmed present</t>
        </is>
      </c>
      <c r="L75" s="66" t="inlineStr">
        <is>
          <t>VTS-006</t>
        </is>
      </c>
      <c r="M75" s="66" t="inlineStr">
        <is>
          <t>Part coverage only. Western part (104°14.89'E to 104°23.0'E) is in Sector 9 (VTIS East, Ch 10), Singapore VTS (S3, S1). The north-eastern end of the scheme (to about 104°27.8'E) lies east of the 104°23'E STRAITREP limit, where no sector is defined (S2, S3).</t>
        </is>
      </c>
      <c r="N75" s="66" t="inlineStr">
        <is>
          <t>Confirmed present</t>
        </is>
      </c>
      <c r="O75" s="66" t="inlineStr">
        <is>
          <t>SRS-004</t>
        </is>
      </c>
      <c r="P75" s="66" t="inlineStr">
        <is>
          <t>STRAITREP covers the scheme only west of 104°23'E (S2, S5). Horsburgh Lt (104°24.44'E) is itself a STRAITREP reference point just outside the limit; ships approaching from the east report on reaching Sector 9 (S5 para 3).</t>
        </is>
      </c>
      <c r="Q75" s="66" t="n"/>
      <c r="R75" s="66" t="inlineStr">
        <is>
          <t>STRAITREP categories: 300 GT and above; 50 m or more in length; towing/pushing with combined 300 GT or 50 m; any tonnage carrying hazardous cargo; passenger vessels fitted with VHF (S5, S2).</t>
        </is>
      </c>
      <c r="S75" s="66" t="inlineStr">
        <is>
          <t>Complex</t>
        </is>
      </c>
      <c r="T75" s="66" t="inlineStr">
        <is>
          <t>Scheme extends beyond the STRAITREP/Singapore VTS eastern limit; partial coverage.</t>
        </is>
      </c>
      <c r="U75" s="66" t="inlineStr">
        <is>
          <t>SRC-007; SRC-006; SRC-092; SRC-093; SRC-094</t>
        </is>
      </c>
      <c r="V75" s="66" t="inlineStr">
        <is>
          <t>No evidence found of any VTS or reporting duty for the part of the scheme east of 104°23'E (possible Malaysian or Indonesian coverage not researched).</t>
        </is>
      </c>
      <c r="W75" s="66" t="n"/>
    </row>
    <row r="76" ht="90" customHeight="1" s="63">
      <c r="A76" s="66" t="inlineStr">
        <is>
          <t>TSS-0115</t>
        </is>
      </c>
      <c r="B76" s="66" t="inlineStr">
        <is>
          <t>B23</t>
        </is>
      </c>
      <c r="C76" s="66" t="inlineStr">
        <is>
          <t>E</t>
        </is>
      </c>
      <c r="D76" s="66" t="inlineStr">
        <is>
          <t>In the Sunda Strait</t>
        </is>
      </c>
      <c r="E76" s="66" t="inlineStr">
        <is>
          <t>In the Sunda Strait</t>
        </is>
      </c>
      <c r="F76" s="66" t="inlineStr">
        <is>
          <t>Indonesia</t>
        </is>
      </c>
      <c r="G76" s="66" t="inlineStr">
        <is>
          <t>Confirmed</t>
        </is>
      </c>
      <c r="H76" s="66" t="inlineStr">
        <is>
          <t>Adopted MSC 101 (June 2019), COLREG.2/Circ.74 of 14 June 2019, implemented 1 July 2020 (S6); includes inshore traffic zone; national instrument KM 130 Tahun 2020 cited by DGST (S7). Indonesia's first TSS in an archipelagic sea lane (ALKI I).</t>
        </is>
      </c>
      <c r="I76" s="66" t="inlineStr">
        <is>
          <t>In force</t>
        </is>
      </c>
      <c r="J76" s="66" t="n"/>
      <c r="K76" s="66" t="inlineStr">
        <is>
          <t>Confirmed present</t>
        </is>
      </c>
      <c r="L76" s="66" t="inlineStr">
        <is>
          <t>VTS-041</t>
        </is>
      </c>
      <c r="M76" s="66" t="inlineStr">
        <is>
          <t>DGST states ships in the Sunda Strait TSS communicate via VHF Ch 22 or 68 with call sign 'Merak VTS' (S7).</t>
        </is>
      </c>
      <c r="N76" s="66" t="inlineStr">
        <is>
          <t>Confirmed present</t>
        </is>
      </c>
      <c r="O76" s="66" t="inlineStr">
        <is>
          <t>SRS-020</t>
        </is>
      </c>
      <c r="P76" s="66" t="inlineStr">
        <is>
          <t>SUNDAREP (Sistem Pelaporan dan Informasi Navigasi) is mandatory for all Indonesian-flagged ships transiting or crossing the TSS (S7). National scheme, not IMO-adopted SRS on evidence found.</t>
        </is>
      </c>
      <c r="Q76" s="66" t="inlineStr">
        <is>
          <t>Foreign ships entering the TSS are strongly encouraged ('sangat dianjurkan') to participate in SUNDAREP (S7).</t>
        </is>
      </c>
      <c r="R76" s="66" t="inlineStr">
        <is>
          <t>Mandatory only for Indonesian-flagged ships; voluntary for foreign ships.</t>
        </is>
      </c>
      <c r="S76" s="66" t="inlineStr">
        <is>
          <t>Intermediate</t>
        </is>
      </c>
      <c r="T76" s="66" t="inlineStr">
        <is>
          <t>Single VTS; flag-limited mandatory national reporting, voluntary for foreign ships.</t>
        </is>
      </c>
      <c r="U76" s="66" t="inlineStr">
        <is>
          <t>SRC-095; SRC-096; SRC-097</t>
        </is>
      </c>
      <c r="V76" s="66" t="inlineStr">
        <is>
          <t>Text of KM 130/2020 not retrieved; VTS area limits of Merak VTS not retrieved.</t>
        </is>
      </c>
      <c r="W76" s="66" t="n"/>
    </row>
    <row r="77" ht="90" customHeight="1" s="63">
      <c r="A77" s="66" t="inlineStr">
        <is>
          <t>TSS-0116</t>
        </is>
      </c>
      <c r="B77" s="66" t="inlineStr">
        <is>
          <t>B24</t>
        </is>
      </c>
      <c r="C77" s="66" t="inlineStr">
        <is>
          <t>E</t>
        </is>
      </c>
      <c r="D77" s="66" t="inlineStr">
        <is>
          <t>In the Lombok Strait</t>
        </is>
      </c>
      <c r="E77" s="66" t="inlineStr">
        <is>
          <t>In the Lombok Strait</t>
        </is>
      </c>
      <c r="F77" s="66" t="inlineStr">
        <is>
          <t>Indonesia</t>
        </is>
      </c>
      <c r="G77" s="66" t="inlineStr">
        <is>
          <t>Confirmed</t>
        </is>
      </c>
      <c r="H77" s="66" t="inlineStr">
        <is>
          <t>Adopted MSC 101 (June 2019), COLREG.2/Circ.74 of 14 June 2019, implemented 1 July 2020 (S6); national instrument KM 129 Tahun 2020 (S7). ALKI II.</t>
        </is>
      </c>
      <c r="I77" s="66" t="inlineStr">
        <is>
          <t>In force</t>
        </is>
      </c>
      <c r="J77" s="66" t="n"/>
      <c r="K77" s="66" t="inlineStr">
        <is>
          <t>Confirmed present</t>
        </is>
      </c>
      <c r="L77" s="66" t="inlineStr">
        <is>
          <t>VTS-042</t>
        </is>
      </c>
      <c r="M77" s="66" t="inlineStr">
        <is>
          <t>DGST states ships in the Lombok Strait TSS communicate via VHF Ch 16 or 68 with call sign 'Benoa VTS' (S7).</t>
        </is>
      </c>
      <c r="N77" s="66" t="inlineStr">
        <is>
          <t>Confirmed present</t>
        </is>
      </c>
      <c r="O77" s="66" t="inlineStr">
        <is>
          <t>SRS-021</t>
        </is>
      </c>
      <c r="P77" s="66" t="inlineStr">
        <is>
          <t>LOMBOKREP mandatory for Indonesian-flagged ships transiting or crossing the TSS (S7).</t>
        </is>
      </c>
      <c r="Q77" s="66" t="inlineStr">
        <is>
          <t>Foreign ships strongly encouraged to participate in LOMBOKREP (S7).</t>
        </is>
      </c>
      <c r="R77" s="66" t="inlineStr">
        <is>
          <t>Mandatory only for Indonesian-flagged ships; voluntary for foreign ships.</t>
        </is>
      </c>
      <c r="S77" s="66" t="inlineStr">
        <is>
          <t>Intermediate</t>
        </is>
      </c>
      <c r="T77" s="66" t="inlineStr">
        <is>
          <t>Single VTS; flag-limited national reporting.</t>
        </is>
      </c>
      <c r="U77" s="66" t="inlineStr">
        <is>
          <t>SRC-095; SRC-096; SRC-097</t>
        </is>
      </c>
      <c r="V77" s="66" t="inlineStr">
        <is>
          <t>Region hint referred to 'Lombok VTS'; the authority names the service Benoa VTS. Lombok annex of COLREG.2/Circ.74 not read in detail.</t>
        </is>
      </c>
      <c r="W77" s="66" t="n"/>
    </row>
    <row r="78" ht="90" customHeight="1" s="63">
      <c r="A78" s="66" t="inlineStr">
        <is>
          <t>TSS-0117</t>
        </is>
      </c>
      <c r="B78" s="66" t="inlineStr">
        <is>
          <t>B24</t>
        </is>
      </c>
      <c r="C78" s="66" t="inlineStr">
        <is>
          <t>E</t>
        </is>
      </c>
      <c r="D78" s="66" t="inlineStr">
        <is>
          <t>In the East Lamma Channel</t>
        </is>
      </c>
      <c r="E78" s="66" t="inlineStr">
        <is>
          <t>East Lamma Channel Traffic Separation Scheme</t>
        </is>
      </c>
      <c r="F78" s="66" t="inlineStr">
        <is>
          <t>China (Hong Kong SAR)</t>
        </is>
      </c>
      <c r="G78" s="66" t="inlineStr">
        <is>
          <t>Confirmed</t>
        </is>
      </c>
      <c r="H78" s="66" t="inlineStr">
        <is>
          <t>Marine Department states it is one of two TSS in Hong Kong waters adopted by IMO (S11); adoption circular and date not retrieved.</t>
        </is>
      </c>
      <c r="I78" s="66" t="inlineStr">
        <is>
          <t>In force</t>
        </is>
      </c>
      <c r="J78" s="66" t="n"/>
      <c r="K78" s="66" t="inlineStr">
        <is>
          <t>Confirmed present</t>
        </is>
      </c>
      <c r="L78" s="66" t="inlineStr">
        <is>
          <t>VTS-043</t>
        </is>
      </c>
      <c r="M78" s="66" t="inlineStr">
        <is>
          <t>Hong Kong VTS covers all navigable waters of Hong Kong used by sea-going vessels (S9); the TSS lies in Hong Kong waters (S11). Lamma Patch is a calling-in point of the Eastern Approaches sector, Ch 12 (S10).</t>
        </is>
      </c>
      <c r="N78" s="66" t="inlineStr">
        <is>
          <t>Unresolved</t>
        </is>
      </c>
      <c r="O78" s="66" t="n"/>
      <c r="P78" s="66" t="inlineStr">
        <is>
          <t>No separate mandatory ship reporting system found. Mandatory VTS participation (vessels over 300 GT, Cap 313A reg 4) is an ordinary VTS reporting duty recorded under the service (S10).</t>
        </is>
      </c>
      <c r="Q78" s="66" t="n"/>
      <c r="R78" s="66" t="inlineStr">
        <is>
          <t>VTS participation required for vessels over 300 GT and smaller vessels as directed (Cap 313A reg 4); local vessels under Cap 548F s57 (S10).</t>
        </is>
      </c>
      <c r="S78" s="66" t="inlineStr">
        <is>
          <t>Simple</t>
        </is>
      </c>
      <c r="T78" s="66" t="inlineStr">
        <is>
          <t>Single-authority VTS covering the whole scheme.</t>
        </is>
      </c>
      <c r="U78" s="66" t="inlineStr">
        <is>
          <t>SRC-098; SRC-099; SRC-100; SRC-101</t>
        </is>
      </c>
      <c r="V78" s="66" t="inlineStr">
        <is>
          <t>IMO adoption instrument for Hong Kong schemes not retrieved; Dangan Channel No. 2 precautionary area connects to East Lamma per S14 (lead).</t>
        </is>
      </c>
      <c r="W78" s="66" t="n"/>
    </row>
    <row r="79" ht="90" customHeight="1" s="63">
      <c r="A79" s="66" t="inlineStr">
        <is>
          <t>TSS-0118</t>
        </is>
      </c>
      <c r="B79" s="66" t="inlineStr">
        <is>
          <t>B24</t>
        </is>
      </c>
      <c r="C79" s="66" t="inlineStr">
        <is>
          <t>E</t>
        </is>
      </c>
      <c r="D79" s="66" t="inlineStr">
        <is>
          <t>In the Tathong Channel</t>
        </is>
      </c>
      <c r="E79" s="66" t="inlineStr">
        <is>
          <t>Tathong Channel Traffic Separation Scheme</t>
        </is>
      </c>
      <c r="F79" s="66" t="inlineStr">
        <is>
          <t>China (Hong Kong SAR)</t>
        </is>
      </c>
      <c r="G79" s="66" t="inlineStr">
        <is>
          <t>Confirmed</t>
        </is>
      </c>
      <c r="H79" s="66" t="inlineStr">
        <is>
          <t>IMO-adopted per Marine Department (S11); adoption circular not retrieved.</t>
        </is>
      </c>
      <c r="I79" s="66" t="inlineStr">
        <is>
          <t>In force</t>
        </is>
      </c>
      <c r="J79" s="66" t="n"/>
      <c r="K79" s="66" t="inlineStr">
        <is>
          <t>Confirmed present</t>
        </is>
      </c>
      <c r="L79" s="66" t="inlineStr">
        <is>
          <t>VTS-043</t>
        </is>
      </c>
      <c r="M79" s="66" t="inlineStr">
        <is>
          <t>Hong Kong VTS covers all navigable waters of Hong Kong (S9); Tathong Channel Separation Buoy No. 1 is an Eastern Approaches (Ch 12) calling-in point (S10).</t>
        </is>
      </c>
      <c r="N79" s="66" t="inlineStr">
        <is>
          <t>Unresolved</t>
        </is>
      </c>
      <c r="O79" s="66" t="n"/>
      <c r="P79" s="66" t="inlineStr">
        <is>
          <t>No separate mandatory SRS found; VTS participation duties recorded under the service.</t>
        </is>
      </c>
      <c r="Q79" s="66" t="n"/>
      <c r="R79" s="66" t="inlineStr">
        <is>
          <t>As TSS-0117.</t>
        </is>
      </c>
      <c r="S79" s="66" t="inlineStr">
        <is>
          <t>Simple</t>
        </is>
      </c>
      <c r="T79" s="66" t="inlineStr">
        <is>
          <t>Single VTS covering whole scheme.</t>
        </is>
      </c>
      <c r="U79" s="66" t="inlineStr">
        <is>
          <t>SRC-098; SRC-099; SRC-100; SRC-101</t>
        </is>
      </c>
      <c r="V79" s="66" t="inlineStr">
        <is>
          <t>As TSS-0117.</t>
        </is>
      </c>
      <c r="W79" s="66" t="n"/>
    </row>
    <row r="80" ht="90" customHeight="1" s="63">
      <c r="A80" s="66" t="inlineStr">
        <is>
          <t>TSS-0119</t>
        </is>
      </c>
      <c r="B80" s="66" t="inlineStr">
        <is>
          <t>B24</t>
        </is>
      </c>
      <c r="C80" s="66" t="inlineStr">
        <is>
          <t>E</t>
        </is>
      </c>
      <c r="D80" s="66" t="inlineStr">
        <is>
          <t>In the Dangan Channel</t>
        </is>
      </c>
      <c r="E80" s="66" t="inlineStr">
        <is>
          <t>In Dangan Channel (担杆水道分道通航制)</t>
        </is>
      </c>
      <c r="F80" s="66" t="inlineStr">
        <is>
          <t>China</t>
        </is>
      </c>
      <c r="G80" s="66" t="inlineStr">
        <is>
          <t>Confirmed</t>
        </is>
      </c>
      <c r="H80" s="66" t="inlineStr">
        <is>
          <t>Existence and current use confirmed by Guangzhou MSA (S13) as part of the Pearl River Estuary routeing system (珠江口水域船舶定线制), comprising two traffic lanes, two separation zones, an inshore traffic zone and two precautionary areas. IMO adoption (COLREG.2/Circ.71, 25 May 2018, implemented 1 December 2018) is lead only: circular would not load.</t>
        </is>
      </c>
      <c r="I80" s="66" t="inlineStr">
        <is>
          <t>In force</t>
        </is>
      </c>
      <c r="J80" s="66" t="n"/>
      <c r="K80" s="66" t="inlineStr">
        <is>
          <t>Confirmed present</t>
        </is>
      </c>
      <c r="L80" s="66" t="inlineStr">
        <is>
          <t>VTS-044</t>
        </is>
      </c>
      <c r="M80" s="66" t="inlineStr">
        <is>
          <t>Guangzhou MSA illustrates the TSS with a Guangzhou MSA VTS radar screenshot and directs ships in the TSS to seek assistance from 广州交管中心 on VHF 08/09 (S13). News report (lead) says a 'Dangan' monitoring station began trial operation on 8 April 2026 to bring the TSS under routine VTS control (S14).</t>
        </is>
      </c>
      <c r="N80" s="66" t="inlineStr">
        <is>
          <t>Unresolved</t>
        </is>
      </c>
      <c r="O80" s="66" t="n"/>
      <c r="P80" s="66" t="inlineStr">
        <is>
          <t>Pearl River Estuary VTS has 21 reporting lines (S15) but no source places a reporting line or separate SRS on the Dangan TSS.</t>
        </is>
      </c>
      <c r="Q80" s="66" t="n"/>
      <c r="R80" s="66" t="n"/>
      <c r="S80" s="66" t="inlineStr">
        <is>
          <t>Intermediate</t>
        </is>
      </c>
      <c r="T80" s="66" t="inlineStr">
        <is>
          <t>VTS coverage recently extended; adjoins Hong Kong VTS (East Lamma) at the second precautionary area.</t>
        </is>
      </c>
      <c r="U80" s="66" t="inlineStr">
        <is>
          <t>SRC-102; SRC-103; SRC-104</t>
        </is>
      </c>
      <c r="V80" s="66" t="inlineStr">
        <is>
          <t>COLREG.2/Circ.71 (ics.org.ir copy) failed to load; Guangdong MSA page (S15) does not name Dangan; exact VTS area limits not retrieved; whether Shenzhen VTS has any role not established.</t>
        </is>
      </c>
      <c r="W80" s="66" t="n"/>
    </row>
    <row r="81" ht="90" customHeight="1" s="63">
      <c r="A81" s="66" t="inlineStr">
        <is>
          <t>TSS-0120</t>
        </is>
      </c>
      <c r="B81" s="66" t="inlineStr">
        <is>
          <t>B24</t>
        </is>
      </c>
      <c r="C81" s="66" t="inlineStr">
        <is>
          <t>E</t>
        </is>
      </c>
      <c r="D81" s="66" t="inlineStr">
        <is>
          <t>In the waters off the Chengshan Jiao Promontory</t>
        </is>
      </c>
      <c r="E81" s="66" t="inlineStr">
        <is>
          <t>Off Chengshan Jiao Promontory</t>
        </is>
      </c>
      <c r="F81" s="66" t="inlineStr">
        <is>
          <t>China</t>
        </is>
      </c>
      <c r="G81" s="66" t="inlineStr">
        <is>
          <t>Confirmed</t>
        </is>
      </c>
      <c r="H81" s="66" t="inlineStr">
        <is>
          <t>IMO resolution MSC.389(94) refers to ships 'at anchor in the TSSs' within the Chengshan Jiao SRS area, confirming the schemes (S16). TSS adoption instrument and dates not retrieved.</t>
        </is>
      </c>
      <c r="I81" s="66" t="inlineStr">
        <is>
          <t>In force</t>
        </is>
      </c>
      <c r="J81" s="66" t="n"/>
      <c r="K81" s="66" t="inlineStr">
        <is>
          <t>Confirmed present</t>
        </is>
      </c>
      <c r="L81" s="66" t="inlineStr">
        <is>
          <t>VTS-045</t>
        </is>
      </c>
      <c r="M81" s="66" t="inlineStr">
        <is>
          <t>The SRS area is the 24 nm radius around the Chengshan Jiao VTS Centre, which is the reporting authority, and the resolution addresses ships in the TSSs (S16).</t>
        </is>
      </c>
      <c r="N81" s="66" t="inlineStr">
        <is>
          <t>Confirmed present</t>
        </is>
      </c>
      <c r="O81" s="66" t="inlineStr">
        <is>
          <t>SRS-022</t>
        </is>
      </c>
      <c r="P81" s="66" t="inlineStr">
        <is>
          <t>IMO-adopted mandatory SRS 'Off Chengshan Jiao Promontory' (SOLAS V/11), amended by MSC.389(94), in force 1 June 2015 (S16).</t>
        </is>
      </c>
      <c r="Q81" s="66" t="n"/>
      <c r="R81" s="66" t="inlineStr">
        <is>
          <t>Passenger ships; oil tankers 150 GT and above and ships with hazardous cargo; LOA &gt;200 m or draught &gt;12 m; towing/pushing vessels; ships NUC or at anchor in the TSSs, RAM or with defective navigation equipment (S16).</t>
        </is>
      </c>
      <c r="S81" s="66" t="inlineStr">
        <is>
          <t>Intermediate</t>
        </is>
      </c>
      <c r="T81" s="66" t="inlineStr">
        <is>
          <t>VTS plus IMO SRS with category thresholds.</t>
        </is>
      </c>
      <c r="U81" s="66" t="inlineStr">
        <is>
          <t>SRC-105</t>
        </is>
      </c>
      <c r="V81" s="66" t="inlineStr">
        <is>
          <t>Whether later amendments to the SRS or TSS (after 2015) exist not checked; TSS coordinates not plotted against the 24 nm circle.</t>
        </is>
      </c>
      <c r="W81" s="66" t="n"/>
    </row>
    <row r="82" ht="90" customHeight="1" s="63">
      <c r="A82" s="66" t="inlineStr">
        <is>
          <t>TSS-0121</t>
        </is>
      </c>
      <c r="B82" s="66" t="inlineStr">
        <is>
          <t>B25</t>
        </is>
      </c>
      <c r="C82" s="66" t="inlineStr">
        <is>
          <t>E</t>
        </is>
      </c>
      <c r="D82" s="66" t="inlineStr">
        <is>
          <t>In the Approaches to the Gulf of Nakhodka</t>
        </is>
      </c>
      <c r="E82" s="66" t="n"/>
      <c r="F82" s="66" t="inlineStr">
        <is>
          <t>Russian Federation</t>
        </is>
      </c>
      <c r="G82" s="66" t="inlineStr">
        <is>
          <t>Provisional</t>
        </is>
      </c>
      <c r="H82" s="66" t="inlineStr">
        <is>
          <t>Not among the schemes in Government Directive 1226-r of 2006 as originally published (S17); a search snippet (Wikipedia, not fetched) describes an IMO scheme in the approaches to Zaliv Nakhodka (to Kozmino). May have been added by a later amendment of 1226-r (redaction of 15.07.2022 exists) or relate to scheme No. 3.</t>
        </is>
      </c>
      <c r="I82" s="66" t="inlineStr">
        <is>
          <t>Not established</t>
        </is>
      </c>
      <c r="J82" s="66" t="n"/>
      <c r="K82" s="66" t="inlineStr">
        <is>
          <t>Unresolved</t>
        </is>
      </c>
      <c r="L82" s="66" t="inlineStr">
        <is>
          <t>VTS-046</t>
        </is>
      </c>
      <c r="M82" s="66" t="inlineStr">
        <is>
          <t>Nakhodka port rules establish Regional VTS Sector 1B covering the approaches to Nakhodka Gulf (132°28'E to 133°43'E, to the territorial sea boundary, Ch 9) and Sector 2 inside the gulf (S18). Without the scheme's coordinates, coverage cannot be confirmed.</t>
        </is>
      </c>
      <c r="N82" s="66" t="inlineStr">
        <is>
          <t>Unresolved</t>
        </is>
      </c>
      <c r="O82" s="66" t="n"/>
      <c r="P82" s="66" t="inlineStr">
        <is>
          <t>No mandatory reporting system identified; VTS communication duties only.</t>
        </is>
      </c>
      <c r="Q82" s="66" t="n"/>
      <c r="R82" s="66" t="n"/>
      <c r="S82" s="66" t="inlineStr">
        <is>
          <t>Not assessed</t>
        </is>
      </c>
      <c r="T82" s="66" t="inlineStr">
        <is>
          <t>Identity and position unresolved.</t>
        </is>
      </c>
      <c r="U82" s="66" t="inlineStr">
        <is>
          <t>SRC-106; SRC-107; SRC-108</t>
        </is>
      </c>
      <c r="V82" s="66" t="inlineStr">
        <is>
          <t>Need IMO circular or Russian NtM with coordinates; current Nakhodka and Vostochny port rules (Consultant/Garant paywalled, mintrans.gov.ru unreachable).</t>
        </is>
      </c>
      <c r="W82" s="66" t="n"/>
    </row>
    <row r="83" ht="90" customHeight="1" s="63">
      <c r="A83" s="66" t="inlineStr">
        <is>
          <t>TSS-0122</t>
        </is>
      </c>
      <c r="B83" s="66" t="inlineStr">
        <is>
          <t>B25</t>
        </is>
      </c>
      <c r="C83" s="66" t="inlineStr">
        <is>
          <t>E</t>
        </is>
      </c>
      <c r="D83" s="66" t="inlineStr">
        <is>
          <t>Off the Ostrovnoi Point</t>
        </is>
      </c>
      <c r="E83" s="66" t="inlineStr">
        <is>
          <t>Схема разделения движения № 3: Между мысами Поворотный и Островной (from Peter the Great Gulf to Cape Belkina)</t>
        </is>
      </c>
      <c r="F83" s="66" t="inlineStr">
        <is>
          <t>Russian Federation</t>
        </is>
      </c>
      <c r="G83" s="66" t="inlineStr">
        <is>
          <t>Confirmed</t>
        </is>
      </c>
      <c r="H83" s="66" t="inlineStr">
        <is>
          <t>Established by Russian Government Directive 1226-r of 2 September 2006 as scheme No. 3 (three parts, about 133°17.5'E to 133°46.8'E); foreign ships prohibited in the lane north-west of part II separation zone (S17). IMO adoption not verified.</t>
        </is>
      </c>
      <c r="I83" s="66" t="inlineStr">
        <is>
          <t>In force</t>
        </is>
      </c>
      <c r="J83" s="66" t="n"/>
      <c r="K83" s="66" t="inlineStr">
        <is>
          <t>Confirmed present</t>
        </is>
      </c>
      <c r="L83" s="66" t="inlineStr">
        <is>
          <t>VTS-046</t>
        </is>
      </c>
      <c r="M83" s="66" t="inlineStr">
        <is>
          <t>Partial: Regional VTS Sector 1B covers the approaches to Nakhodka Gulf between 132°28'E and 133°43'E south to the territorial sea boundary (S18). Scheme parts I and III and most of part II lie within those meridians; the eastern end of part II (to 133°46.8'E) lies outside.</t>
        </is>
      </c>
      <c r="N83" s="66" t="inlineStr">
        <is>
          <t>Unresolved</t>
        </is>
      </c>
      <c r="O83" s="66" t="n"/>
      <c r="P83" s="66" t="inlineStr">
        <is>
          <t>No mandatory SRS identified.</t>
        </is>
      </c>
      <c r="Q83" s="66" t="n"/>
      <c r="R83" s="66" t="n"/>
      <c r="S83" s="66" t="inlineStr">
        <is>
          <t>Intermediate</t>
        </is>
      </c>
      <c r="T83" s="66" t="inlineStr">
        <is>
          <t>Partial VTS coverage; national scheme with foreign-ship lane restriction.</t>
        </is>
      </c>
      <c r="U83" s="66" t="inlineStr">
        <is>
          <t>SRC-106; SRC-107; SRC-108</t>
        </is>
      </c>
      <c r="V83" s="66" t="inlineStr">
        <is>
          <t>Port rules text is the 2011 original (amended to 2017); current sector limits not confirmed. Directive 1226-r text is a third-party copy of the original 2006 version.</t>
        </is>
      </c>
      <c r="W83" s="66" t="n"/>
    </row>
    <row r="84" ht="90" customHeight="1" s="63">
      <c r="A84" s="66" t="inlineStr">
        <is>
          <t>TSS-0123</t>
        </is>
      </c>
      <c r="B84" s="66" t="inlineStr">
        <is>
          <t>B25</t>
        </is>
      </c>
      <c r="C84" s="66" t="inlineStr">
        <is>
          <t>E</t>
        </is>
      </c>
      <c r="D84" s="66" t="inlineStr">
        <is>
          <t>Off Mys Aniva (Off the Aniwa Cape)</t>
        </is>
      </c>
      <c r="E84" s="66" t="inlineStr">
        <is>
          <t>Схема разделения движения № 6: Район мыса Анива (пролив Лаперуза)</t>
        </is>
      </c>
      <c r="F84" s="66" t="inlineStr">
        <is>
          <t>Russian Federation</t>
        </is>
      </c>
      <c r="G84" s="66" t="inlineStr">
        <is>
          <t>Confirmed</t>
        </is>
      </c>
      <c r="H84" s="66" t="inlineStr">
        <is>
          <t>Scheme No. 6 in Government Directive 1226-r (2006): separation zone 4 miles wide, axis about 45°54'N 143°20'E to 45°58.8'N 143°40'E, plus inshore traffic zone (S17). IMO adoption not verified.</t>
        </is>
      </c>
      <c r="I84" s="66" t="inlineStr">
        <is>
          <t>In force</t>
        </is>
      </c>
      <c r="J84" s="66" t="n"/>
      <c r="K84" s="66" t="inlineStr">
        <is>
          <t>Unresolved</t>
        </is>
      </c>
      <c r="L84" s="66" t="inlineStr">
        <is>
          <t>VTS-047</t>
        </is>
      </c>
      <c r="M84" s="66" t="inlineStr">
        <is>
          <t>Korsakov port VTS in Aniva Bay is a lead only; no source establishes coverage of the scheme off Cape Aniva.</t>
        </is>
      </c>
      <c r="N84" s="66" t="inlineStr">
        <is>
          <t>Unresolved</t>
        </is>
      </c>
      <c r="O84" s="66" t="n"/>
      <c r="P84" s="66" t="inlineStr">
        <is>
          <t>No mandatory SRS identified.</t>
        </is>
      </c>
      <c r="Q84" s="66" t="n"/>
      <c r="R84" s="66" t="n"/>
      <c r="S84" s="66" t="inlineStr">
        <is>
          <t>Not assessed</t>
        </is>
      </c>
      <c r="T84" s="66" t="inlineStr">
        <is>
          <t>No VTS evidence.</t>
        </is>
      </c>
      <c r="U84" s="66" t="inlineStr">
        <is>
          <t>SRC-106</t>
        </is>
      </c>
      <c r="V84" s="66" t="inlineStr">
        <is>
          <t>Korsakov port mandatory regulations (mintrans.gov.ru) would not load.</t>
        </is>
      </c>
      <c r="W84" s="66" t="n"/>
    </row>
    <row r="85" ht="90" customHeight="1" s="63">
      <c r="A85" s="66" t="inlineStr">
        <is>
          <t>TSS-0124</t>
        </is>
      </c>
      <c r="B85" s="66" t="inlineStr">
        <is>
          <t>B25</t>
        </is>
      </c>
      <c r="C85" s="66" t="inlineStr">
        <is>
          <t>E</t>
        </is>
      </c>
      <c r="D85" s="66" t="inlineStr">
        <is>
          <t>In the Proliv Bussol'</t>
        </is>
      </c>
      <c r="E85" s="66" t="inlineStr">
        <is>
          <t>Схема разделения движения № 12: Пролив Буссоль (Курильские острова)</t>
        </is>
      </c>
      <c r="F85" s="66" t="inlineStr">
        <is>
          <t>Russian Federation</t>
        </is>
      </c>
      <c r="G85" s="66" t="inlineStr">
        <is>
          <t>Confirmed</t>
        </is>
      </c>
      <c r="H85" s="66" t="inlineStr">
        <is>
          <t>Scheme No. 12 in Government Directive 1226-r (2006), lanes 4 miles either side, directions 150°-330° (S17). IMO adoption not verified.</t>
        </is>
      </c>
      <c r="I85" s="66" t="inlineStr">
        <is>
          <t>In force</t>
        </is>
      </c>
      <c r="J85" s="66" t="n"/>
      <c r="K85" s="66" t="inlineStr">
        <is>
          <t>Unresolved</t>
        </is>
      </c>
      <c r="L85" s="66" t="n"/>
      <c r="M85" s="66" t="inlineStr">
        <is>
          <t>No VTS identified for the central Kuril Islands.</t>
        </is>
      </c>
      <c r="N85" s="66" t="inlineStr">
        <is>
          <t>Unresolved</t>
        </is>
      </c>
      <c r="O85" s="66" t="n"/>
      <c r="P85" s="66" t="inlineStr">
        <is>
          <t>No mandatory SRS identified.</t>
        </is>
      </c>
      <c r="Q85" s="66" t="n"/>
      <c r="R85" s="66" t="n"/>
      <c r="S85" s="66" t="inlineStr">
        <is>
          <t>Not assessed</t>
        </is>
      </c>
      <c r="T85" s="66" t="inlineStr">
        <is>
          <t>No VTS evidence.</t>
        </is>
      </c>
      <c r="U85" s="66" t="inlineStr">
        <is>
          <t>SRC-106</t>
        </is>
      </c>
      <c r="V85" s="66" t="inlineStr">
        <is>
          <t>Check Russian Notices to Mariners / Sailing Directions for any VTS or reporting.</t>
        </is>
      </c>
      <c r="W85" s="66" t="n"/>
    </row>
    <row r="86" ht="90" customHeight="1" s="63">
      <c r="A86" s="66" t="inlineStr">
        <is>
          <t>TSS-0125</t>
        </is>
      </c>
      <c r="B86" s="66" t="inlineStr">
        <is>
          <t>B25</t>
        </is>
      </c>
      <c r="C86" s="66" t="inlineStr">
        <is>
          <t>E</t>
        </is>
      </c>
      <c r="D86" s="66" t="inlineStr">
        <is>
          <t>Chetvertyy Kuril'skiy Proliv (In the Fourth Kuril Strait)</t>
        </is>
      </c>
      <c r="E86" s="66" t="inlineStr">
        <is>
          <t>Схема разделения движения № 13: Четвертый Курильский пролив</t>
        </is>
      </c>
      <c r="F86" s="66" t="inlineStr">
        <is>
          <t>Russian Federation</t>
        </is>
      </c>
      <c r="G86" s="66" t="inlineStr">
        <is>
          <t>Confirmed</t>
        </is>
      </c>
      <c r="H86" s="66" t="inlineStr">
        <is>
          <t>Scheme No. 13 in Government Directive 1226-r (2006), lanes 2 miles either side, directions 126°-306° (S17). IMO adoption not verified.</t>
        </is>
      </c>
      <c r="I86" s="66" t="inlineStr">
        <is>
          <t>In force</t>
        </is>
      </c>
      <c r="J86" s="66" t="n"/>
      <c r="K86" s="66" t="inlineStr">
        <is>
          <t>Unresolved</t>
        </is>
      </c>
      <c r="L86" s="66" t="n"/>
      <c r="M86" s="66" t="inlineStr">
        <is>
          <t>No VTS identified; a Severo-Kurilsk port VTS was not evidenced.</t>
        </is>
      </c>
      <c r="N86" s="66" t="inlineStr">
        <is>
          <t>Unresolved</t>
        </is>
      </c>
      <c r="O86" s="66" t="n"/>
      <c r="P86" s="66" t="inlineStr">
        <is>
          <t>No mandatory SRS identified.</t>
        </is>
      </c>
      <c r="Q86" s="66" t="n"/>
      <c r="R86" s="66" t="n"/>
      <c r="S86" s="66" t="inlineStr">
        <is>
          <t>Not assessed</t>
        </is>
      </c>
      <c r="T86" s="66" t="inlineStr">
        <is>
          <t>No VTS evidence.</t>
        </is>
      </c>
      <c r="U86" s="66" t="inlineStr">
        <is>
          <t>SRC-106</t>
        </is>
      </c>
      <c r="V86" s="66" t="inlineStr">
        <is>
          <t>As TSS-0124.</t>
        </is>
      </c>
      <c r="W86" s="66" t="n"/>
    </row>
    <row r="87" ht="90" customHeight="1" s="63">
      <c r="A87" s="66" t="inlineStr">
        <is>
          <t>TSS-0126</t>
        </is>
      </c>
      <c r="B87" s="66" t="inlineStr">
        <is>
          <t>B26</t>
        </is>
      </c>
      <c r="C87" s="66" t="inlineStr">
        <is>
          <t>E</t>
        </is>
      </c>
      <c r="D87" s="66" t="inlineStr">
        <is>
          <t>Off Southwest Australia</t>
        </is>
      </c>
      <c r="E87" s="66" t="inlineStr">
        <is>
          <t>Off the south-west coast of Australia (Cape Leeuwin TSS and Chatham Island TSS)</t>
        </is>
      </c>
      <c r="F87" s="66" t="inlineStr">
        <is>
          <t>Australia</t>
        </is>
      </c>
      <c r="G87" s="66" t="inlineStr">
        <is>
          <t>Confirmed</t>
        </is>
      </c>
      <c r="H87" s="66" t="inlineStr">
        <is>
          <t>AMSA lists the 'Cape Leeuwin Traffic Separation Scheme' among IMO-adopted TSS (S20). Grouped label: news/secondary leads say two schemes (off Cape Leeuwin and off Chatham Island) adopted MSC May 2016, effective 1 December 2016, use recommended; not confirmed from a primary source fetched.</t>
        </is>
      </c>
      <c r="I87" s="66" t="inlineStr">
        <is>
          <t>In force</t>
        </is>
      </c>
      <c r="J87" s="66" t="inlineStr">
        <is>
          <t>Off Cape Leeuwin; Off Chatham Island</t>
        </is>
      </c>
      <c r="K87" s="66" t="inlineStr">
        <is>
          <t>Unresolved</t>
        </is>
      </c>
      <c r="L87" s="66" t="n"/>
      <c r="M87" s="66" t="inlineStr">
        <is>
          <t>No VTS found covering the schemes; REEFVTS not relevant. Absence not established.</t>
        </is>
      </c>
      <c r="N87" s="66" t="inlineStr">
        <is>
          <t>Confirmed present</t>
        </is>
      </c>
      <c r="O87" s="66" t="inlineStr">
        <is>
          <t>SRS-023</t>
        </is>
      </c>
      <c r="P87" s="66" t="inlineStr">
        <is>
          <t>Scheme lies in Australian waters where MASTREP (national, Navigation Act 2012 and MO 63) applies to specified vessel categories (S21). Not an IMO-adopted SRS.</t>
        </is>
      </c>
      <c r="Q87" s="66" t="inlineStr">
        <is>
          <t>Other vessels encouraged to participate in MASTREP (S21).</t>
        </is>
      </c>
      <c r="R87" s="66" t="inlineStr">
        <is>
          <t>MASTREP mandatory for foreign vessels from arrival at first Australian port until departure from final Australian port, and for regulated Australian vessels in the MASTREP area; reports are automatic via AIS (S21).</t>
        </is>
      </c>
      <c r="S87" s="66" t="inlineStr">
        <is>
          <t>Simple</t>
        </is>
      </c>
      <c r="T87" s="66" t="inlineStr">
        <is>
          <t>No VTS; national AIS-based reporting only.</t>
        </is>
      </c>
      <c r="U87" s="66" t="inlineStr">
        <is>
          <t>SRC-109; SRC-110</t>
        </is>
      </c>
      <c r="V87" s="66" t="inlineStr">
        <is>
          <t>Australian Notices to Mariners (hydro.gov.au) timed out; Chatham Island component not confirmed from primary source.</t>
        </is>
      </c>
      <c r="W87" s="66" t="n"/>
    </row>
    <row r="88" ht="90" customHeight="1" s="63">
      <c r="A88" s="66" t="inlineStr">
        <is>
          <t>TSS-0127</t>
        </is>
      </c>
      <c r="B88" s="66" t="inlineStr">
        <is>
          <t>B26</t>
        </is>
      </c>
      <c r="C88" s="66" t="inlineStr">
        <is>
          <t>E</t>
        </is>
      </c>
      <c r="D88" s="66" t="inlineStr">
        <is>
          <t>South of Wilsons Promontory in the Bass Strait</t>
        </is>
      </c>
      <c r="E88" s="66" t="inlineStr">
        <is>
          <t>South of Wilsons Promontory</t>
        </is>
      </c>
      <c r="F88" s="66" t="inlineStr">
        <is>
          <t>Australia</t>
        </is>
      </c>
      <c r="G88" s="66" t="inlineStr">
        <is>
          <t>Confirmed</t>
        </is>
      </c>
      <c r="H88" s="66" t="inlineStr">
        <is>
          <t>AMSA lists 'Gippsland and Wilsons Promontory TSS' among IMO-adopted TSS (S20); adoption date not retrieved.</t>
        </is>
      </c>
      <c r="I88" s="66" t="inlineStr">
        <is>
          <t>In force</t>
        </is>
      </c>
      <c r="J88" s="66" t="n"/>
      <c r="K88" s="66" t="inlineStr">
        <is>
          <t>Unresolved</t>
        </is>
      </c>
      <c r="L88" s="66" t="n"/>
      <c r="M88" s="66" t="inlineStr">
        <is>
          <t>No VTS found; Port Phillip / Victorian port VTS not evidenced to cover it.</t>
        </is>
      </c>
      <c r="N88" s="66" t="inlineStr">
        <is>
          <t>Confirmed present</t>
        </is>
      </c>
      <c r="O88" s="66" t="inlineStr">
        <is>
          <t>SRS-023</t>
        </is>
      </c>
      <c r="P88" s="66" t="inlineStr">
        <is>
          <t>MASTREP applies to specified categories (S21).</t>
        </is>
      </c>
      <c r="Q88" s="66" t="inlineStr">
        <is>
          <t>Other vessels encouraged to participate in MASTREP (S21).</t>
        </is>
      </c>
      <c r="R88" s="66" t="inlineStr">
        <is>
          <t>MASTREP mandatory for foreign vessels from arrival at first Australian port until departure from final Australian port, and for regulated Australian vessels in the MASTREP area; reports are automatic via AIS (S21).</t>
        </is>
      </c>
      <c r="S88" s="66" t="inlineStr">
        <is>
          <t>Simple</t>
        </is>
      </c>
      <c r="T88" s="66" t="inlineStr">
        <is>
          <t>No VTS; national reporting only.</t>
        </is>
      </c>
      <c r="U88" s="66" t="inlineStr">
        <is>
          <t>SRC-109; SRC-110</t>
        </is>
      </c>
      <c r="V88" s="66" t="inlineStr">
        <is>
          <t>Australian NtM No. 16 (IMO adopted TSS) would not load.</t>
        </is>
      </c>
      <c r="W88" s="66" t="n"/>
    </row>
    <row r="89" ht="90" customHeight="1" s="63">
      <c r="A89" s="66" t="inlineStr">
        <is>
          <t>TSS-0128</t>
        </is>
      </c>
      <c r="B89" s="66" t="inlineStr">
        <is>
          <t>B26</t>
        </is>
      </c>
      <c r="C89" s="66" t="inlineStr">
        <is>
          <t>E</t>
        </is>
      </c>
      <c r="D89" s="66" t="inlineStr">
        <is>
          <t>In the Bass Strait</t>
        </is>
      </c>
      <c r="E89" s="66" t="n"/>
      <c r="F89" s="66" t="inlineStr">
        <is>
          <t>Australia</t>
        </is>
      </c>
      <c r="G89" s="66" t="inlineStr">
        <is>
          <t>Provisional</t>
        </is>
      </c>
      <c r="H89" s="66" t="inlineStr">
        <is>
          <t>AMSA refers to 'Gippsland and Wilsons Promontory TSS' and the Gippsland ATBA (S20); whether 'In the Bass Strait' denotes the Gippsland (off Gippsland oil and gas fields) scheme or another scheme could not be confirmed. Possible overlap with TSS-0127.</t>
        </is>
      </c>
      <c r="I89" s="66" t="inlineStr">
        <is>
          <t>In force</t>
        </is>
      </c>
      <c r="J89" s="66" t="n"/>
      <c r="K89" s="66" t="inlineStr">
        <is>
          <t>Unresolved</t>
        </is>
      </c>
      <c r="L89" s="66" t="n"/>
      <c r="M89" s="66" t="inlineStr">
        <is>
          <t>No VTS found.</t>
        </is>
      </c>
      <c r="N89" s="66" t="inlineStr">
        <is>
          <t>Confirmed present</t>
        </is>
      </c>
      <c r="O89" s="66" t="inlineStr">
        <is>
          <t>SRS-023</t>
        </is>
      </c>
      <c r="P89" s="66" t="inlineStr">
        <is>
          <t>MASTREP applies to specified categories (S21).</t>
        </is>
      </c>
      <c r="Q89" s="66" t="inlineStr">
        <is>
          <t>Other vessels encouraged to participate in MASTREP (S21).</t>
        </is>
      </c>
      <c r="R89" s="66" t="inlineStr">
        <is>
          <t>MASTREP mandatory for foreign vessels from arrival at first Australian port until departure from final Australian port, and for regulated Australian vessels in the MASTREP area; reports are automatic via AIS (S21).</t>
        </is>
      </c>
      <c r="S89" s="66" t="inlineStr">
        <is>
          <t>Simple</t>
        </is>
      </c>
      <c r="T89" s="66" t="inlineStr">
        <is>
          <t>No VTS; national reporting only.</t>
        </is>
      </c>
      <c r="U89" s="66" t="inlineStr">
        <is>
          <t>SRC-109; SRC-110</t>
        </is>
      </c>
      <c r="V89" s="66" t="inlineStr">
        <is>
          <t>Confirm scheme name and position from Australian NtM or IMO Ships' Routeing; check duplication with TSS-0127.</t>
        </is>
      </c>
      <c r="W89" s="66" t="n"/>
    </row>
    <row r="90" ht="90" customHeight="1" s="63">
      <c r="A90" s="66" t="inlineStr">
        <is>
          <t>TSS-0129</t>
        </is>
      </c>
      <c r="B90" s="66" t="inlineStr">
        <is>
          <t>B26</t>
        </is>
      </c>
      <c r="C90" s="66" t="inlineStr">
        <is>
          <t>E</t>
        </is>
      </c>
      <c r="D90" s="66" t="inlineStr">
        <is>
          <t>In Prince William Sound</t>
        </is>
      </c>
      <c r="E90" s="66" t="inlineStr">
        <is>
          <t>In Prince William Sound</t>
        </is>
      </c>
      <c r="F90" s="66" t="inlineStr">
        <is>
          <t>United States</t>
        </is>
      </c>
      <c r="G90" s="66" t="inlineStr">
        <is>
          <t>Confirmed</t>
        </is>
      </c>
      <c r="H90" s="66" t="inlineStr">
        <is>
          <t>33 CFR 167.1700-167.1703: four parts (Prince William Sound TSS, Valdez Arm TSS, Cape Hinchinbrook and Bligh Reef precautionary areas) (S23). IMO adoption circular not retrieved.</t>
        </is>
      </c>
      <c r="I90" s="66" t="inlineStr">
        <is>
          <t>In force</t>
        </is>
      </c>
      <c r="J90" s="66" t="inlineStr">
        <is>
          <t>Prince William Sound TSS; Valdez Arm TSS; Cape Hinchinbrook precautionary area; Bligh Reef precautionary area</t>
        </is>
      </c>
      <c r="K90" s="66" t="inlineStr">
        <is>
          <t>Confirmed present</t>
        </is>
      </c>
      <c r="L90" s="66" t="inlineStr">
        <is>
          <t>VTS-009</t>
        </is>
      </c>
      <c r="M90" s="66" t="inlineStr">
        <is>
          <t>VTS area is north of the Cape Hinchinbrook Light to Schooner Rock Light line, 146°30'W to 147°20'W (S22); the TSS lanes (60°20.6'N to 60°58.9'N, about 146°46'W to 147°04'W) lie within it, and the Valdez Arm VTS Special Area is defined by the Valdez Arm TSS (S22). The VMRS monitoring area extends south to 60°00'N (S24). The Cape Hinchinbrook precautionary area extends to 59°51.8'N and 146°00'W, partly outside both.</t>
        </is>
      </c>
      <c r="N90" s="66" t="inlineStr">
        <is>
          <t>Unresolved</t>
        </is>
      </c>
      <c r="O90" s="66" t="n"/>
      <c r="P90" s="66" t="inlineStr">
        <is>
          <t>No separate mandatory SRS; VTS reporting points (Cape Hinchinbrook, Naked Island, Bligh Reef, Rocky Point, Entrance Island) are VTS duties under 33 CFR 161 (S22).</t>
        </is>
      </c>
      <c r="Q90" s="66" t="n"/>
      <c r="R90" s="66" t="inlineStr">
        <is>
          <t>VTS Special Area rules apply to vessels of 1600 GT or more and towing vessels 8 m or more (33 CFR 161.60(d)) (S22).</t>
        </is>
      </c>
      <c r="S90" s="66" t="inlineStr">
        <is>
          <t>Intermediate</t>
        </is>
      </c>
      <c r="T90" s="66" t="inlineStr">
        <is>
          <t>VTS covers lanes fully, precautionary area partly; special area rules.</t>
        </is>
      </c>
      <c r="U90" s="66" t="inlineStr">
        <is>
          <t>SRC-111; SRC-112; SRC-113</t>
        </is>
      </c>
      <c r="V90" s="66" t="inlineStr">
        <is>
          <t>Southern part of Cape Hinchinbrook precautionary area lies outside the VTS and VMRS areas.</t>
        </is>
      </c>
      <c r="W90" s="66" t="n"/>
    </row>
    <row r="91" ht="90" customHeight="1" s="63">
      <c r="A91" s="66" t="inlineStr">
        <is>
          <t>TSS-0130</t>
        </is>
      </c>
      <c r="B91" s="66" t="inlineStr">
        <is>
          <t>B26</t>
        </is>
      </c>
      <c r="C91" s="66" t="inlineStr">
        <is>
          <t>E</t>
        </is>
      </c>
      <c r="D91" s="66" t="inlineStr">
        <is>
          <t>In the Strait of Juan de Fuca and its Approaches</t>
        </is>
      </c>
      <c r="E91" s="66" t="inlineStr">
        <is>
          <t>In the Strait of Juan de Fuca and its approaches</t>
        </is>
      </c>
      <c r="F91" s="66" t="inlineStr">
        <is>
          <t>United States, Canada</t>
        </is>
      </c>
      <c r="G91" s="66" t="inlineStr">
        <is>
          <t>Confirmed</t>
        </is>
      </c>
      <c r="H91" s="66" t="inlineStr">
        <is>
          <t>Grouped label. 33 CFR 167.1300-167.1303 (approaches: western approach, southwestern approach, precautionary area 'JF') and 167.1310-167.1315 (Strait: western, southern, northern, eastern lanes and precautionary area 'PA') (S26). IMO adoption circular not retrieved.</t>
        </is>
      </c>
      <c r="I91" s="66" t="inlineStr">
        <is>
          <t>In force</t>
        </is>
      </c>
      <c r="J91" s="66" t="inlineStr">
        <is>
          <t>Approaches to the Strait of Juan de Fuca (western approach, southwestern approach, precautionary area JF); Strait of Juan de Fuca (western, southern, northern, eastern lanes, precautionary area PA)</t>
        </is>
      </c>
      <c r="K91" s="66" t="inlineStr">
        <is>
          <t>Confirmed present</t>
        </is>
      </c>
      <c r="L91" s="66" t="inlineStr">
        <is>
          <t>VTS-010; VTS-048</t>
        </is>
      </c>
      <c r="M91" s="66" t="inlineStr">
        <is>
          <t>CVTS for the Juan de Fuca Region: VTS Puget Sound and Canadian centres manage traffic irrespective of the boundary (S25). Seattle Traffic Ch 5A covers US waters east of 124°40'W; Prince Rupert Traffic Ch 74 covers waters west of 124°40'W within 12 nm of Vancouver Island, north of 48°N and east of 125°15'W, which contains the approaches TSS (about 125°00'W to 125°09'W) (S24). Canada's Victoria VTS Zone follows the boundary through Juan de Fuca Strait to 124°40'W; Prince Rupert VTS Zone lies west of 124°40'W to the territorial sea boundary (S27).</t>
        </is>
      </c>
      <c r="N91" s="66" t="inlineStr">
        <is>
          <t>Unresolved</t>
        </is>
      </c>
      <c r="O91" s="66" t="n"/>
      <c r="P91" s="66" t="inlineStr">
        <is>
          <t>No IMO SRS found. Canadian sailing plan and position reports (SOR/2025-275) and US VMRS reporting are VTS duties recorded under the services.</t>
        </is>
      </c>
      <c r="Q91" s="66" t="n"/>
      <c r="R91" s="66" t="inlineStr">
        <is>
          <t>Canadian VTS Zone rules apply to vessels of 300 GT or more, towing/pushing with combined 500 GT or more, and vessels carrying pollutants or dangerous goods (S27).</t>
        </is>
      </c>
      <c r="S91" s="66" t="inlineStr">
        <is>
          <t>Complex</t>
        </is>
      </c>
      <c r="T91" s="66" t="inlineStr">
        <is>
          <t>Cross-border cooperative VTS with two national services and separate US and Canadian rule sets.</t>
        </is>
      </c>
      <c r="U91" s="66" t="inlineStr">
        <is>
          <t>SRC-113; SRC-114; SRC-115; SRC-116</t>
        </is>
      </c>
      <c r="V91" s="66" t="inlineStr">
        <is>
          <t>Whether the southern parts of the approaches TSS (south of the international boundary, outside US territorial sea) fall in any VTS area not fully plotted; NAVCEN page not re-fetched.</t>
        </is>
      </c>
      <c r="W91" s="66" t="n"/>
    </row>
    <row r="92" ht="90" customHeight="1" s="63">
      <c r="A92" s="66" t="inlineStr">
        <is>
          <t>TSS-0131</t>
        </is>
      </c>
      <c r="B92" s="66" t="inlineStr">
        <is>
          <t>B27</t>
        </is>
      </c>
      <c r="C92" s="66" t="inlineStr">
        <is>
          <t>F</t>
        </is>
      </c>
      <c r="D92" s="66" t="inlineStr">
        <is>
          <t>In Puget Sound and approaches in Haro Strait, Boundary Pass and in the Strait of Georgia</t>
        </is>
      </c>
      <c r="E92" s="66" t="inlineStr">
        <is>
          <t>In Puget Sound and its approaches in Haro Strait, Boundary Pass and in the Strait of Georgia</t>
        </is>
      </c>
      <c r="F92" s="66" t="inlineStr">
        <is>
          <t>United States; Canada</t>
        </is>
      </c>
      <c r="G92" s="66" t="inlineStr">
        <is>
          <t>Confirmed</t>
        </is>
      </c>
      <c r="H92" s="66" t="inlineStr">
        <is>
          <t>IMO name as amended by COLREG.2/Circ.55 (MSC 79, 15 December 2004; amendments implemented 1 July 2005). US statutory text splits it into 33 CFR 167.1320-1323 (Puget Sound and its approaches) and 167.1330-1332 (Haro Strait, Boundary Pass, Strait of Georgia). Grouped heading; the separate Strait of Juan de Fuca and approaches schemes (33 CFR 167.1300/1310) are not part of this label.</t>
        </is>
      </c>
      <c r="I92" s="66" t="inlineStr">
        <is>
          <t>In force</t>
        </is>
      </c>
      <c r="J92" s="66" t="inlineStr">
        <is>
          <t>Rosario Strait; Approaches to Puget Sound other than Rosario Strait; Puget Sound; Haro Strait and Boundary Pass; Strait of Georgia</t>
        </is>
      </c>
      <c r="K92" s="66" t="inlineStr">
        <is>
          <t>Confirmed present</t>
        </is>
      </c>
      <c r="L92" s="66" t="inlineStr">
        <is>
          <t>VTS-010; VTS-048</t>
        </is>
      </c>
      <c r="M92" s="66" t="inlineStr">
        <is>
          <t>US parts: 33 CFR 161.55 defines the VTS Puget Sound area as US navigable waters of the Salish Sea to the US/Canada boundary, and Table 161.12(c) assigns Seattle Traffic Ch 14 (Puget Sound) and Ch 5A (US Salish Sea incl. Rosario Strait and US side of Haro Strait). Canadian parts: CCG RAMN 2026 Table 3-1 places Canadian waters through Haro Strait, Boundary Pass and the Strait of Georgia in Victoria VTS Zone Sector 1 (Victoria Traffic Ch 11). Both operate within the US/Canadian CVTS; the CVTS northern limit is 49°N, so the Strait of Georgia component north of 49°N is a Canadian-only VTS area.</t>
        </is>
      </c>
      <c r="N92" s="66" t="inlineStr">
        <is>
          <t>Unresolved</t>
        </is>
      </c>
      <c r="O92" s="66" t="n"/>
      <c r="P92" s="66" t="inlineStr">
        <is>
          <t>No IMO-adopted (SOLAS V/11) mandatory ship reporting system found for this area. 33 CFR 161 VMRS reporting (sailing plans, position and final reports) applies, but it is the ordinary participation duty of the VTS and is recorded with the service, not as a separate reporting system. A failed search does not establish absence. Canadian side: Vessel Traffic Services Zones Regulations (SOR/2025-275, replacing SOR/89-98) require sailing plans, including a 24-hour report when entering from outside Canadian waters; again VTS participation reporting.</t>
        </is>
      </c>
      <c r="Q92" s="66" t="n"/>
      <c r="R92" s="66" t="inlineStr">
        <is>
          <t>US: VMRS users per 33 CFR 161.16 (power-driven 40 m+, towing vessels 8 m+, passenger vessels certificated for 50+). Eastern San Juan Island Archipelago VTS Special Area rules (Rosario Strait) for vessels 100 m+ / 40,000 DWT+. Canada: vessels 300 GT+, tows 500 GT+ combined, pollutant/dangerous goods carriers; some provisions also to vessels 20 m+ (RAMN s3.5.1).</t>
        </is>
      </c>
      <c r="S92" s="66" t="inlineStr">
        <is>
          <t>Complex</t>
        </is>
      </c>
      <c r="T92" s="66" t="inlineStr">
        <is>
          <t>Cross-border grouped scheme under two national VTS regimes within the CVTS, with sector-specific frequencies and a VTS Special Area.</t>
        </is>
      </c>
      <c r="U92" s="66" t="inlineStr">
        <is>
          <t>SRC-117; SRC-118; SRC-119; SRC-054; SRC-017; SRC-123</t>
        </is>
      </c>
      <c r="V92" s="66" t="inlineStr">
        <is>
          <t>Confirm whether 33 CFR 161.55 reference to a Vancouver centre is obsolete (RAMN 2026 lists Victoria Traffic only). SOR/2025-275 full text not fetched (only the SOR/89-98 repeal note).</t>
        </is>
      </c>
      <c r="W92" s="66" t="n"/>
    </row>
    <row r="93" ht="90" customHeight="1" s="63">
      <c r="A93" s="66" t="inlineStr">
        <is>
          <t>TSS-0132</t>
        </is>
      </c>
      <c r="B93" s="66" t="inlineStr">
        <is>
          <t>B27</t>
        </is>
      </c>
      <c r="C93" s="66" t="inlineStr">
        <is>
          <t>F</t>
        </is>
      </c>
      <c r="D93" s="66" t="inlineStr">
        <is>
          <t>Off San Francisco</t>
        </is>
      </c>
      <c r="E93" s="66" t="inlineStr">
        <is>
          <t>Off San Francisco</t>
        </is>
      </c>
      <c r="F93" s="66" t="inlineStr">
        <is>
          <t>United States</t>
        </is>
      </c>
      <c r="G93" s="66" t="inlineStr">
        <is>
          <t>Confirmed</t>
        </is>
      </c>
      <c r="H93" s="66" t="inlineStr">
        <is>
          <t>33 CFR 167.400-406: six parts (Precautionary Area, Northern, Southern and Western Approaches, Main Ship Channel, Area To Be Avoided). IMO adoption circular not separately retrieved.</t>
        </is>
      </c>
      <c r="I93" s="66" t="inlineStr">
        <is>
          <t>In force</t>
        </is>
      </c>
      <c r="J93" s="66" t="inlineStr">
        <is>
          <t>Precautionary area; Northern approach; Southern approach; Western approach; Main ship channel; Area to be avoided</t>
        </is>
      </c>
      <c r="K93" s="66" t="inlineStr">
        <is>
          <t>Confirmed present</t>
        </is>
      </c>
      <c r="L93" s="66" t="inlineStr">
        <is>
          <t>VTS-011</t>
        </is>
      </c>
      <c r="M93" s="66" t="inlineStr">
        <is>
          <t>33 CFR 161.50 VTS area includes seaward approaches within a 38 nm radius of Mount Tamalpais. Table 161.12(c) expressly includes the San Francisco Offshore Precautionary Area (Ch 14) and the offshore waters within 38 nm (Ch 12). All 33 CFR 167.401-406 coordinates lie within about 30 nm of Mount Tamalpais (computed), so the whole scheme is within the VTS area.</t>
        </is>
      </c>
      <c r="N93" s="66" t="inlineStr">
        <is>
          <t>Unresolved</t>
        </is>
      </c>
      <c r="O93" s="66" t="inlineStr">
        <is>
          <t>SRS-008</t>
        </is>
      </c>
      <c r="P93" s="66" t="inlineStr">
        <is>
          <t>No IMO-adopted (SOLAS V/11) mandatory ship reporting system found for this area. 33 CFR 161 VMRS reporting (sailing plans, position and final reports) applies, but it is the ordinary participation duty of the VTS and is recorded with the service, not as a separate reporting system. A failed search does not establish absence.</t>
        </is>
      </c>
      <c r="Q93" s="66" t="inlineStr">
        <is>
          <t>Offshore Vessel Movement Reporting System (OVMRS), operated by VTS San Francisco; NAVCEN states it is completely voluntary (existing register SRS-008).</t>
        </is>
      </c>
      <c r="R93" s="66" t="inlineStr">
        <is>
          <t>VMRS users per 33 CFR 161.16 (power-driven 40 m+, towing vessels 8 m+, passenger vessels certificated for 50+).</t>
        </is>
      </c>
      <c r="S93" s="66" t="inlineStr">
        <is>
          <t>Intermediate</t>
        </is>
      </c>
      <c r="T93" s="66" t="inlineStr">
        <is>
          <t>Single VTS covers the whole scheme, but two sectors/frequencies and a separate voluntary offshore reporting system.</t>
        </is>
      </c>
      <c r="U93" s="66" t="inlineStr">
        <is>
          <t>SRC-017; SRC-117; SRC-118</t>
        </is>
      </c>
      <c r="V93" s="66" t="inlineStr">
        <is>
          <t>OVMRS geographic extent not stated on NAVCEN page; not confirmed whether it extends beyond the 38 nm VTS area.</t>
        </is>
      </c>
      <c r="W93" s="66" t="n"/>
    </row>
    <row r="94" ht="90" customHeight="1" s="63">
      <c r="A94" s="66" t="inlineStr">
        <is>
          <t>TSS-0133</t>
        </is>
      </c>
      <c r="B94" s="66" t="inlineStr">
        <is>
          <t>B27</t>
        </is>
      </c>
      <c r="C94" s="66" t="inlineStr">
        <is>
          <t>F</t>
        </is>
      </c>
      <c r="D94" s="66" t="inlineStr">
        <is>
          <t>In the Santa Barbara Channel and in the Approaches to Los Angeles - Long Beach</t>
        </is>
      </c>
      <c r="E94" s="66" t="inlineStr">
        <is>
          <t>In the Santa Barbara Channel; In the approaches to Los Angeles-Long Beach</t>
        </is>
      </c>
      <c r="F94" s="66" t="inlineStr">
        <is>
          <t>United States</t>
        </is>
      </c>
      <c r="G94" s="66" t="inlineStr">
        <is>
          <t>Confirmed</t>
        </is>
      </c>
      <c r="H94" s="66" t="inlineStr">
        <is>
          <t>Grouped heading of two schemes: Santa Barbara Channel (33 CFR 167.450-452, Point Vicente to Point Arguello) and approaches to Los Angeles-Long Beach (33 CFR 167.500-503: precautionary area, western and southern approaches). IMO compilation shows later amendments to both (Santa Barbara Channel amended scheme; 'Approaches to Los Angeles - Long Beach' amended scheme), circular numbers not extracted.</t>
        </is>
      </c>
      <c r="I94" s="66" t="inlineStr">
        <is>
          <t>In force</t>
        </is>
      </c>
      <c r="J94" s="66" t="inlineStr">
        <is>
          <t>In the Santa Barbara Channel (Point Vicente to Point Conception; Point Conception to Point Arguello); In the approaches to Los Angeles-Long Beach (precautionary area, western approach, southern approach)</t>
        </is>
      </c>
      <c r="K94" s="66" t="inlineStr">
        <is>
          <t>Confirmed present</t>
        </is>
      </c>
      <c r="L94" s="66" t="inlineStr">
        <is>
          <t>VTS-012</t>
        </is>
      </c>
      <c r="M94" s="66" t="inlineStr">
        <is>
          <t>Partial coverage only. LA/LB approaches: 33 CFR Table 161.12(c) VMRS area (San Pedro Traffic) is 25 nm radius of Point Fermin Light; the precautionary area and western approach lie wholly inside and the southern approach almost wholly (its seaward end computed at about 25.7 nm). Santa Barbara Channel: only the south-eastern end of the lanes near Point Vicente (about 15 to 17 nm from Point Fermin) falls inside; the rest of the Santa Barbara Channel scheme (about 53 to 135 nm from Point Fermin) is outside any VTS area evidenced. Do not treat the Santa Barbara Channel scheme as VTS-covered.</t>
        </is>
      </c>
      <c r="N94" s="66" t="inlineStr">
        <is>
          <t>Unresolved</t>
        </is>
      </c>
      <c r="O94" s="66" t="n"/>
      <c r="P94" s="66" t="inlineStr">
        <is>
          <t>No IMO-adopted (SOLAS V/11) mandatory ship reporting system found for this area. 33 CFR 161 VMRS reporting (sailing plans, position and final reports) applies, but it is the ordinary participation duty of the VTS and is recorded with the service, not as a separate reporting system. A failed search does not establish absence. No reporting system for the Santa Barbara Channel part was evidenced.</t>
        </is>
      </c>
      <c r="Q94" s="66" t="n"/>
      <c r="R94" s="66" t="inlineStr">
        <is>
          <t>VMRS users per 33 CFR 161.16; Table 161.12(c) footnote exempts Los Angeles/Long Beach from the AIS-based requirement linked to MMSI areas.</t>
        </is>
      </c>
      <c r="S94" s="66" t="inlineStr">
        <is>
          <t>Complex</t>
        </is>
      </c>
      <c r="T94" s="66" t="inlineStr">
        <is>
          <t>Grouped heading with split coverage: VTS/VMRS covers the LA/LB approaches but essentially not the Santa Barbara Channel scheme.</t>
        </is>
      </c>
      <c r="U94" s="66" t="inlineStr">
        <is>
          <t>SRC-017; SRC-117; SRC-118; SRC-054</t>
        </is>
      </c>
      <c r="V94" s="66" t="inlineStr">
        <is>
          <t>Whether the Marine Exchange provides any information service in the Santa Barbara Channel outside the 25 nm VMRS area not checked.</t>
        </is>
      </c>
      <c r="W94" s="66" t="n"/>
    </row>
    <row r="95" ht="90" customHeight="1" s="63">
      <c r="A95" s="66" t="inlineStr">
        <is>
          <t>TSS-0134</t>
        </is>
      </c>
      <c r="B95" s="66" t="inlineStr">
        <is>
          <t>B27</t>
        </is>
      </c>
      <c r="C95" s="66" t="inlineStr">
        <is>
          <t>F</t>
        </is>
      </c>
      <c r="D95" s="66" t="inlineStr">
        <is>
          <t>In the Approaches to Salina Cruz</t>
        </is>
      </c>
      <c r="E95" s="66" t="inlineStr">
        <is>
          <t>In the approaches to Salina Cruz</t>
        </is>
      </c>
      <c r="F95" s="66" t="inlineStr">
        <is>
          <t>Mexico</t>
        </is>
      </c>
      <c r="G95" s="66" t="inlineStr">
        <is>
          <t>Provisional</t>
        </is>
      </c>
      <c r="H95" s="66" t="inlineStr">
        <is>
          <t>New scheme adopted by MSC 63 (COLREG.2/Circ.40, 9 June 1994), implemented 24 November 1994: two parts (south-western approach for tankers to the SPMs/oil terminal; southern approach for ships over 500 GT). A.827(19) (1995) added a precautionary area and three circular areas to be avoided. Current status not checked in GISIS.</t>
        </is>
      </c>
      <c r="I95" s="66" t="inlineStr">
        <is>
          <t>In force</t>
        </is>
      </c>
      <c r="J95" s="66" t="inlineStr">
        <is>
          <t>Part I South-western approach; Part II Southern approach; Associated precautionary area and areas to be avoided (A.827(19))</t>
        </is>
      </c>
      <c r="K95" s="66" t="inlineStr">
        <is>
          <t>Unresolved</t>
        </is>
      </c>
      <c r="L95" s="66" t="inlineStr">
        <is>
          <t>VTS-049</t>
        </is>
      </c>
      <c r="M95" s="66" t="inlineStr">
        <is>
          <t>IMO texts (1994/1995) state that ship movement in the port area is supervised by a Port Vessel Traffic Supervisor 24 h and ships using the TSS are requested to contact it on VHF Ch 6. This is historic and does not confirm a current VTS; no current SEMAR/Capitanía source found.</t>
        </is>
      </c>
      <c r="N95" s="66" t="inlineStr">
        <is>
          <t>Unresolved</t>
        </is>
      </c>
      <c r="O95" s="66" t="n"/>
      <c r="P95" s="66" t="inlineStr">
        <is>
          <t>No mandatory reporting system evidenced; the IMO note is a request to contact the supervisor (voluntary).</t>
        </is>
      </c>
      <c r="Q95" s="66" t="inlineStr">
        <is>
          <t>Ships intending to use the TSS requested to call the Salina Cruz Port Vessel (Traffic) Supervisor on VHF Ch 6 (IMO COLREG.2/Circ.40, 1994).</t>
        </is>
      </c>
      <c r="R95" s="66" t="inlineStr">
        <is>
          <t>Southern approach recommended for ships over 500 GT; south-western approach for tankers to/from the SPMs or oil terminal.</t>
        </is>
      </c>
      <c r="S95" s="66" t="inlineStr">
        <is>
          <t>Not assessed</t>
        </is>
      </c>
      <c r="T95" s="66" t="inlineStr">
        <is>
          <t>VTS status unresolved.</t>
        </is>
      </c>
      <c r="U95" s="66" t="inlineStr">
        <is>
          <t>SRC-054; SRC-072</t>
        </is>
      </c>
      <c r="V95" s="66" t="inlineStr">
        <is>
          <t>Need current SEMAR / Capitanía de Puerto de Salina Cruz source on any VTS (a gob.mx port PDF was image-only and unreadable).</t>
        </is>
      </c>
      <c r="W95" s="66" t="n"/>
    </row>
    <row r="96" ht="90" customHeight="1" s="63">
      <c r="A96" s="66" t="inlineStr">
        <is>
          <t>TSS-0135</t>
        </is>
      </c>
      <c r="B96" s="66" t="inlineStr">
        <is>
          <t>B27</t>
        </is>
      </c>
      <c r="C96" s="66" t="inlineStr">
        <is>
          <t>F</t>
        </is>
      </c>
      <c r="D96" s="66" t="inlineStr">
        <is>
          <t>Landfall and Approaches to Talara Bay</t>
        </is>
      </c>
      <c r="E96" s="66" t="inlineStr">
        <is>
          <t>Landfall and approaches to Talara Bay</t>
        </is>
      </c>
      <c r="F96" s="66" t="inlineStr">
        <is>
          <t>Peru</t>
        </is>
      </c>
      <c r="G96" s="66" t="inlineStr">
        <is>
          <t>Provisional</t>
        </is>
      </c>
      <c r="H96" s="66" t="inlineStr">
        <is>
          <t>New scheme adopted by MSC 73, COLREG.2/Circ.49 (19 January 2001), implemented 1 June 2001. Adopted by IMO MSC; implementation date as stated. Current status after later circulars (post COLREG.2/Circ.69) not checked in GISIS; treated as provisional pending a current Peruvian (HIDRONAV/DICAPI) or IMO Ships' Routeing check.</t>
        </is>
      </c>
      <c r="I96" s="66" t="inlineStr">
        <is>
          <t>In force</t>
        </is>
      </c>
      <c r="J96" s="66" t="n"/>
      <c r="K96" s="66" t="inlineStr">
        <is>
          <t>Unresolved</t>
        </is>
      </c>
      <c r="L96" s="66" t="n"/>
      <c r="M96" s="66" t="inlineStr">
        <is>
          <t>No current primary Peruvian source found establishing a VTS covering this TSS or its approach. DICAPI resolutions checked (anchorages) do not mention a VTS.</t>
        </is>
      </c>
      <c r="N96" s="66" t="inlineStr">
        <is>
          <t>Unresolved</t>
        </is>
      </c>
      <c r="O96" s="66" t="n"/>
      <c r="P96"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96" s="66" t="n"/>
      <c r="R96" s="66" t="n"/>
      <c r="S96" s="66" t="inlineStr">
        <is>
          <t>Not assessed</t>
        </is>
      </c>
      <c r="T96" s="66" t="inlineStr">
        <is>
          <t>VTS status unresolved.</t>
        </is>
      </c>
      <c r="U96" s="66" t="inlineStr">
        <is>
          <t>SRC-120; SRC-054</t>
        </is>
      </c>
      <c r="V96" s="66" t="inlineStr">
        <is>
          <t>No DICAPI/Capitanía de Talara VTS source found.</t>
        </is>
      </c>
      <c r="W96" s="66" t="n"/>
    </row>
    <row r="97" ht="90" customHeight="1" s="63">
      <c r="A97" s="66" t="inlineStr">
        <is>
          <t>TSS-0136</t>
        </is>
      </c>
      <c r="B97" s="66" t="inlineStr">
        <is>
          <t>B28</t>
        </is>
      </c>
      <c r="C97" s="66" t="inlineStr">
        <is>
          <t>F</t>
        </is>
      </c>
      <c r="D97" s="66" t="inlineStr">
        <is>
          <t>Landfall and Approaches to Bahía de Paita</t>
        </is>
      </c>
      <c r="E97" s="66" t="inlineStr">
        <is>
          <t>Landfall and approaches to Paita Bay</t>
        </is>
      </c>
      <c r="F97" s="66" t="inlineStr">
        <is>
          <t>Peru</t>
        </is>
      </c>
      <c r="G97" s="66" t="inlineStr">
        <is>
          <t>Provisional</t>
        </is>
      </c>
      <c r="H97" s="66" t="inlineStr">
        <is>
          <t>New scheme adopted by MSC 72, COLREG.2/Circ.48 (1 June 2000), implemented 1 December 2000. Adopted by IMO MSC; implementation date as stated. Current status after later circulars (post COLREG.2/Circ.69) not checked in GISIS; treated as provisional pending a current Peruvian (HIDRONAV/DICAPI) or IMO Ships' Routeing check.</t>
        </is>
      </c>
      <c r="I97" s="66" t="inlineStr">
        <is>
          <t>In force</t>
        </is>
      </c>
      <c r="J97" s="66" t="n"/>
      <c r="K97" s="66" t="inlineStr">
        <is>
          <t>Unresolved</t>
        </is>
      </c>
      <c r="L97" s="66" t="n"/>
      <c r="M97" s="66" t="inlineStr">
        <is>
          <t>No current primary Peruvian source found establishing a VTS covering this TSS or its approach. DICAPI resolutions checked (anchorages) do not mention a VTS.</t>
        </is>
      </c>
      <c r="N97" s="66" t="inlineStr">
        <is>
          <t>Unresolved</t>
        </is>
      </c>
      <c r="O97" s="66" t="n"/>
      <c r="P97"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97" s="66" t="n"/>
      <c r="R97" s="66" t="n"/>
      <c r="S97" s="66" t="inlineStr">
        <is>
          <t>Not assessed</t>
        </is>
      </c>
      <c r="T97" s="66" t="inlineStr">
        <is>
          <t>VTS status unresolved.</t>
        </is>
      </c>
      <c r="U97" s="66" t="inlineStr">
        <is>
          <t>SRC-054; SRC-126</t>
        </is>
      </c>
      <c r="V97" s="66" t="inlineStr">
        <is>
          <t>No DICAPI/Capitanía de Paita VTS source found.</t>
        </is>
      </c>
      <c r="W97" s="66" t="n"/>
    </row>
    <row r="98" ht="90" customHeight="1" s="63">
      <c r="A98" s="66" t="inlineStr">
        <is>
          <t>TSS-0137</t>
        </is>
      </c>
      <c r="B98" s="66" t="inlineStr">
        <is>
          <t>B28</t>
        </is>
      </c>
      <c r="C98" s="66" t="inlineStr">
        <is>
          <t>F</t>
        </is>
      </c>
      <c r="D98" s="66" t="inlineStr">
        <is>
          <t>Landfall off Puerto Salaverry</t>
        </is>
      </c>
      <c r="E98" s="66" t="inlineStr">
        <is>
          <t>Landfall Off Puerto Salaverry</t>
        </is>
      </c>
      <c r="F98" s="66" t="inlineStr">
        <is>
          <t>Peru</t>
        </is>
      </c>
      <c r="G98" s="66" t="inlineStr">
        <is>
          <t>Provisional</t>
        </is>
      </c>
      <c r="H98" s="66" t="inlineStr">
        <is>
          <t>New scheme adopted by MSC 73, COLREG.2/Circ.49 (19 January 2001), implemented 1 June 2001. Adopted by IMO MSC; implementation date as stated. Current status after later circulars (post COLREG.2/Circ.69) not checked in GISIS; treated as provisional pending a current Peruvian (HIDRONAV/DICAPI) or IMO Ships' Routeing check.</t>
        </is>
      </c>
      <c r="I98" s="66" t="inlineStr">
        <is>
          <t>In force</t>
        </is>
      </c>
      <c r="J98" s="66" t="n"/>
      <c r="K98" s="66" t="inlineStr">
        <is>
          <t>Unresolved</t>
        </is>
      </c>
      <c r="L98" s="66" t="n"/>
      <c r="M98" s="66" t="inlineStr">
        <is>
          <t>No current primary Peruvian source found establishing a VTS covering this TSS or its approach. DICAPI resolutions checked (anchorages) do not mention a VTS.</t>
        </is>
      </c>
      <c r="N98" s="66" t="inlineStr">
        <is>
          <t>Unresolved</t>
        </is>
      </c>
      <c r="O98" s="66" t="n"/>
      <c r="P98"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98" s="66" t="n"/>
      <c r="R98" s="66" t="n"/>
      <c r="S98" s="66" t="inlineStr">
        <is>
          <t>Not assessed</t>
        </is>
      </c>
      <c r="T98" s="66" t="inlineStr">
        <is>
          <t>VTS status unresolved.</t>
        </is>
      </c>
      <c r="U98" s="66" t="inlineStr">
        <is>
          <t>SRC-120; SRC-054</t>
        </is>
      </c>
      <c r="V98" s="66" t="inlineStr">
        <is>
          <t>No VTS source for Salaverry found.</t>
        </is>
      </c>
      <c r="W98" s="66" t="n"/>
    </row>
    <row r="99" ht="90" customHeight="1" s="63">
      <c r="A99" s="66" t="inlineStr">
        <is>
          <t>TSS-0138</t>
        </is>
      </c>
      <c r="B99" s="66" t="inlineStr">
        <is>
          <t>B28</t>
        </is>
      </c>
      <c r="C99" s="66" t="inlineStr">
        <is>
          <t>F</t>
        </is>
      </c>
      <c r="D99" s="66" t="inlineStr">
        <is>
          <t>Landfall and Approaches to Ferrol Bay (Puerto Chimbote)</t>
        </is>
      </c>
      <c r="E99" s="66" t="inlineStr">
        <is>
          <t>Landfall and approaches to Ferrol Bay (Puerto Chimbote)</t>
        </is>
      </c>
      <c r="F99" s="66" t="inlineStr">
        <is>
          <t>Peru</t>
        </is>
      </c>
      <c r="G99" s="66" t="inlineStr">
        <is>
          <t>Provisional</t>
        </is>
      </c>
      <c r="H99" s="66" t="inlineStr">
        <is>
          <t>New scheme adopted by MSC 73, COLREG.2/Circ.49 (19 January 2001), implemented 1 June 2001 (circular list misspells 'Puerto Chimbotu'; annex heading reads Puerto Chimbote). Adopted by IMO MSC; implementation date as stated. Current status after later circulars (post COLREG.2/Circ.69) not checked in GISIS; treated as provisional pending a current Peruvian (HIDRONAV/DICAPI) or IMO Ships' Routeing check.</t>
        </is>
      </c>
      <c r="I99" s="66" t="inlineStr">
        <is>
          <t>In force</t>
        </is>
      </c>
      <c r="J99" s="66" t="n"/>
      <c r="K99" s="66" t="inlineStr">
        <is>
          <t>Unresolved</t>
        </is>
      </c>
      <c r="L99" s="66" t="n"/>
      <c r="M99" s="66" t="inlineStr">
        <is>
          <t>No current primary Peruvian source found establishing a VTS covering this TSS or its approach. DICAPI resolutions checked (anchorages) do not mention a VTS.</t>
        </is>
      </c>
      <c r="N99" s="66" t="inlineStr">
        <is>
          <t>Unresolved</t>
        </is>
      </c>
      <c r="O99" s="66" t="n"/>
      <c r="P99"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99" s="66" t="n"/>
      <c r="R99" s="66" t="n"/>
      <c r="S99" s="66" t="inlineStr">
        <is>
          <t>Not assessed</t>
        </is>
      </c>
      <c r="T99" s="66" t="inlineStr">
        <is>
          <t>VTS status unresolved.</t>
        </is>
      </c>
      <c r="U99" s="66" t="inlineStr">
        <is>
          <t>SRC-120; SRC-054</t>
        </is>
      </c>
      <c r="V99" s="66" t="inlineStr">
        <is>
          <t>No VTS source for Chimbote found.</t>
        </is>
      </c>
      <c r="W99" s="66" t="n"/>
    </row>
    <row r="100" ht="90" customHeight="1" s="63">
      <c r="A100" s="66" t="inlineStr">
        <is>
          <t>TSS-0139</t>
        </is>
      </c>
      <c r="B100" s="66" t="inlineStr">
        <is>
          <t>B28</t>
        </is>
      </c>
      <c r="C100" s="66" t="inlineStr">
        <is>
          <t>F</t>
        </is>
      </c>
      <c r="D100" s="66" t="inlineStr">
        <is>
          <t>Approaches to Puerto Callao</t>
        </is>
      </c>
      <c r="E100" s="66" t="inlineStr">
        <is>
          <t>Approaches to Puerto Callao</t>
        </is>
      </c>
      <c r="F100" s="66" t="inlineStr">
        <is>
          <t>Peru</t>
        </is>
      </c>
      <c r="G100" s="66" t="inlineStr">
        <is>
          <t>Provisional</t>
        </is>
      </c>
      <c r="H100" s="66" t="inlineStr">
        <is>
          <t>New scheme adopted by MSC 72, COLREG.2/Circ.48 (1 June 2000), implemented 1 December 2000; three parts (Part I northwest approaches etc.). Adopted by IMO MSC; implementation date as stated. Current status after later circulars (post COLREG.2/Circ.69) not checked in GISIS; treated as provisional pending a current Peruvian (HIDRONAV/DICAPI) or IMO Ships' Routeing check.</t>
        </is>
      </c>
      <c r="I100" s="66" t="inlineStr">
        <is>
          <t>In force</t>
        </is>
      </c>
      <c r="J100" s="66" t="n"/>
      <c r="K100" s="66" t="inlineStr">
        <is>
          <t>Unresolved</t>
        </is>
      </c>
      <c r="L100" s="66" t="inlineStr">
        <is>
          <t>VTS-050</t>
        </is>
      </c>
      <c r="M100" s="66" t="inlineStr">
        <is>
          <t>Leads indicate a 'VTS Callao' operated under the Peruvian maritime authority (Revista de Marina 2023 article, 404 on fetch; industry reports of a 2019/2020 Wartsila VTS order), but no primary source fetched establishes its operation or coverage of the TSS. DICAPI anchorage resolutions for Callao (2025, 2026) do not mention it.</t>
        </is>
      </c>
      <c r="N100" s="66" t="inlineStr">
        <is>
          <t>Unresolved</t>
        </is>
      </c>
      <c r="O100" s="66" t="n"/>
      <c r="P100"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100" s="66" t="n"/>
      <c r="R100" s="66" t="n"/>
      <c r="S100" s="66" t="inlineStr">
        <is>
          <t>Not assessed</t>
        </is>
      </c>
      <c r="T100" s="66" t="inlineStr">
        <is>
          <t>VTS status unresolved.</t>
        </is>
      </c>
      <c r="U100" s="66" t="inlineStr">
        <is>
          <t>SRC-054; SRC-125; SRC-126</t>
        </is>
      </c>
      <c r="V100" s="66" t="inlineStr">
        <is>
          <t>Obtain DICAPI resolution establishing VTS Callao (area, VHF channel, participation) and check whether it covers the TSS parts.</t>
        </is>
      </c>
      <c r="W100" s="66" t="n"/>
    </row>
    <row r="101" ht="90" customHeight="1" s="63">
      <c r="A101" s="66" t="inlineStr">
        <is>
          <t>TSS-0140</t>
        </is>
      </c>
      <c r="B101" s="66" t="inlineStr">
        <is>
          <t>B28</t>
        </is>
      </c>
      <c r="C101" s="66" t="inlineStr">
        <is>
          <t>F</t>
        </is>
      </c>
      <c r="D101" s="66" t="inlineStr">
        <is>
          <t>In the Approaches to Puerto Pisco</t>
        </is>
      </c>
      <c r="E101" s="66" t="inlineStr">
        <is>
          <t>In the approaches to Puerto Pisco</t>
        </is>
      </c>
      <c r="F101" s="66" t="inlineStr">
        <is>
          <t>Peru</t>
        </is>
      </c>
      <c r="G101" s="66" t="inlineStr">
        <is>
          <t>Provisional</t>
        </is>
      </c>
      <c r="H101" s="66" t="inlineStr">
        <is>
          <t>Adopted as 'Landfall and approaches to Puerto San Martin' (COLREG.2/Circ.48, 1 June 2000, implemented 1 December 2000); amended and renamed 'In the approaches to Puerto Pisco' by COLREG.2/Circ.55 (15 December 2004), implemented 1 July 2005; two parts. Adopted by IMO MSC; implementation date as stated. Current status after later circulars (post COLREG.2/Circ.69) not checked in GISIS; treated as provisional pending a current Peruvian (HIDRONAV/DICAPI) or IMO Ships' Routeing check.</t>
        </is>
      </c>
      <c r="I101" s="66" t="inlineStr">
        <is>
          <t>In force</t>
        </is>
      </c>
      <c r="J101" s="66" t="n"/>
      <c r="K101" s="66" t="inlineStr">
        <is>
          <t>Unresolved</t>
        </is>
      </c>
      <c r="L101" s="66" t="n"/>
      <c r="M101" s="66" t="inlineStr">
        <is>
          <t>No current primary Peruvian source found establishing a VTS covering this TSS or its approach. DICAPI resolutions checked (anchorages) do not mention a VTS.</t>
        </is>
      </c>
      <c r="N101" s="66" t="inlineStr">
        <is>
          <t>Unresolved</t>
        </is>
      </c>
      <c r="O101" s="66" t="n"/>
      <c r="P101"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101" s="66" t="n"/>
      <c r="R101" s="66" t="n"/>
      <c r="S101" s="66" t="inlineStr">
        <is>
          <t>Not assessed</t>
        </is>
      </c>
      <c r="T101" s="66" t="inlineStr">
        <is>
          <t>VTS status unresolved.</t>
        </is>
      </c>
      <c r="U101" s="66" t="inlineStr">
        <is>
          <t>SRC-054</t>
        </is>
      </c>
      <c r="V101" s="66" t="inlineStr">
        <is>
          <t>Renamed scheme: merge with any register entry for Puerto San Martín. No VTS source for Pisco found.</t>
        </is>
      </c>
      <c r="W101" s="66" t="n"/>
    </row>
    <row r="102" ht="90" customHeight="1" s="63">
      <c r="A102" s="66" t="inlineStr">
        <is>
          <t>TSS-0141</t>
        </is>
      </c>
      <c r="B102" s="66" t="inlineStr">
        <is>
          <t>B29</t>
        </is>
      </c>
      <c r="C102" s="66" t="inlineStr">
        <is>
          <t>F</t>
        </is>
      </c>
      <c r="D102" s="66" t="inlineStr">
        <is>
          <t>Landfall and Approaches to San Nicolás Bay</t>
        </is>
      </c>
      <c r="E102" s="66" t="inlineStr">
        <is>
          <t>Landfall and approaches to San Nicolas Bay</t>
        </is>
      </c>
      <c r="F102" s="66" t="inlineStr">
        <is>
          <t>Peru</t>
        </is>
      </c>
      <c r="G102" s="66" t="inlineStr">
        <is>
          <t>Provisional</t>
        </is>
      </c>
      <c r="H102" s="66" t="inlineStr">
        <is>
          <t>New scheme adopted by MSC 73, COLREG.2/Circ.49 (19 January 2001), implemented 1 June 2001. Adopted by IMO MSC; implementation date as stated. Current status after later circulars (post COLREG.2/Circ.69) not checked in GISIS; treated as provisional pending a current Peruvian (HIDRONAV/DICAPI) or IMO Ships' Routeing check.</t>
        </is>
      </c>
      <c r="I102" s="66" t="inlineStr">
        <is>
          <t>In force</t>
        </is>
      </c>
      <c r="J102" s="66" t="n"/>
      <c r="K102" s="66" t="inlineStr">
        <is>
          <t>Unresolved</t>
        </is>
      </c>
      <c r="L102" s="66" t="n"/>
      <c r="M102" s="66" t="inlineStr">
        <is>
          <t>No current primary Peruvian source found establishing a VTS covering this TSS or its approach. DICAPI resolutions checked (anchorages) do not mention a VTS.</t>
        </is>
      </c>
      <c r="N102" s="66" t="inlineStr">
        <is>
          <t>Unresolved</t>
        </is>
      </c>
      <c r="O102" s="66" t="n"/>
      <c r="P102"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102" s="66" t="n"/>
      <c r="R102" s="66" t="n"/>
      <c r="S102" s="66" t="inlineStr">
        <is>
          <t>Not assessed</t>
        </is>
      </c>
      <c r="T102" s="66" t="inlineStr">
        <is>
          <t>VTS status unresolved.</t>
        </is>
      </c>
      <c r="U102" s="66" t="inlineStr">
        <is>
          <t>SRC-120; SRC-054</t>
        </is>
      </c>
      <c r="V102" s="66" t="inlineStr">
        <is>
          <t>No VTS source for San Nicolás found.</t>
        </is>
      </c>
      <c r="W102" s="66" t="n"/>
    </row>
    <row r="103" ht="90" customHeight="1" s="63">
      <c r="A103" s="66" t="inlineStr">
        <is>
          <t>TSS-0142</t>
        </is>
      </c>
      <c r="B103" s="66" t="inlineStr">
        <is>
          <t>B29</t>
        </is>
      </c>
      <c r="C103" s="66" t="inlineStr">
        <is>
          <t>F</t>
        </is>
      </c>
      <c r="D103" s="66" t="inlineStr">
        <is>
          <t>Landfall and Approaches to Puerto Ilo</t>
        </is>
      </c>
      <c r="E103" s="66" t="inlineStr">
        <is>
          <t>Landfall and approaches to Puerto Ilo</t>
        </is>
      </c>
      <c r="F103" s="66" t="inlineStr">
        <is>
          <t>Peru</t>
        </is>
      </c>
      <c r="G103" s="66" t="inlineStr">
        <is>
          <t>Provisional</t>
        </is>
      </c>
      <c r="H103" s="66" t="inlineStr">
        <is>
          <t>New scheme adopted by MSC 72, COLREG.2/Circ.48 (1 June 2000), implemented 1 December 2000. Adopted by IMO MSC; implementation date as stated. Current status after later circulars (post COLREG.2/Circ.69) not checked in GISIS; treated as provisional pending a current Peruvian (HIDRONAV/DICAPI) or IMO Ships' Routeing check.</t>
        </is>
      </c>
      <c r="I103" s="66" t="inlineStr">
        <is>
          <t>In force</t>
        </is>
      </c>
      <c r="J103" s="66" t="n"/>
      <c r="K103" s="66" t="inlineStr">
        <is>
          <t>Unresolved</t>
        </is>
      </c>
      <c r="L103" s="66" t="n"/>
      <c r="M103" s="66" t="inlineStr">
        <is>
          <t>No current primary Peruvian source found establishing a VTS covering this TSS or its approach. DICAPI resolutions checked (anchorages) do not mention a VTS.</t>
        </is>
      </c>
      <c r="N103" s="66" t="inlineStr">
        <is>
          <t>Unresolved</t>
        </is>
      </c>
      <c r="O103" s="66" t="n"/>
      <c r="P103" s="66" t="inlineStr">
        <is>
          <t>No IMO-adopted or national mandatory ship reporting system specific to this area evidenced. Lead: SIMTRAC (Supreme Decree 008-2011-DE) is a DICAPI monitoring system requiring positioning devices, found only via search results; not treated as a reporting system.</t>
        </is>
      </c>
      <c r="Q103" s="66" t="n"/>
      <c r="R103" s="66" t="n"/>
      <c r="S103" s="66" t="inlineStr">
        <is>
          <t>Not assessed</t>
        </is>
      </c>
      <c r="T103" s="66" t="inlineStr">
        <is>
          <t>VTS status unresolved.</t>
        </is>
      </c>
      <c r="U103" s="66" t="inlineStr">
        <is>
          <t>SRC-054</t>
        </is>
      </c>
      <c r="V103" s="66" t="inlineStr">
        <is>
          <t>No VTS source for Ilo found.</t>
        </is>
      </c>
      <c r="W103" s="66" t="n"/>
    </row>
    <row r="104" ht="90" customHeight="1" s="63">
      <c r="A104" s="66" t="inlineStr">
        <is>
          <t>TSS-0143</t>
        </is>
      </c>
      <c r="B104" s="66" t="inlineStr">
        <is>
          <t>B29</t>
        </is>
      </c>
      <c r="C104" s="66" t="inlineStr">
        <is>
          <t>F</t>
        </is>
      </c>
      <c r="D104" s="66" t="inlineStr">
        <is>
          <t>In the Approaches to Arica</t>
        </is>
      </c>
      <c r="E104" s="66" t="inlineStr">
        <is>
          <t>In the approaches to Arica</t>
        </is>
      </c>
      <c r="F104" s="66" t="inlineStr">
        <is>
          <t>Chile</t>
        </is>
      </c>
      <c r="G104" s="66" t="inlineStr">
        <is>
          <t>Provisional</t>
        </is>
      </c>
      <c r="H104" s="66" t="inlineStr">
        <is>
          <t>New scheme adopted by MSC 55, COLREG.2/Circ.32 (16 May 1988), implemented 15 October 1988. Current status not checked in GISIS or SHOA publications; treated as provisional.</t>
        </is>
      </c>
      <c r="I104" s="66" t="inlineStr">
        <is>
          <t>In force</t>
        </is>
      </c>
      <c r="J104" s="66" t="n"/>
      <c r="K104" s="66" t="inlineStr">
        <is>
          <t>Unresolved</t>
        </is>
      </c>
      <c r="L104" s="66" t="n"/>
      <c r="M104" s="66" t="inlineStr">
        <is>
          <t>No DIRECTEMAR source found establishing a VTS covering this TSS.</t>
        </is>
      </c>
      <c r="N104" s="66" t="inlineStr">
        <is>
          <t>Unresolved</t>
        </is>
      </c>
      <c r="O104" s="66" t="inlineStr">
        <is>
          <t>SRS-024</t>
        </is>
      </c>
      <c r="P104" s="66" t="inlineStr">
        <is>
          <t>No mandatory ship reporting system for foreign ships evidenced. CHILREP is stated by DIRECTEMAR to be voluntary (mandatory position reports for Chilean-flag ships only); national 24 h arrival notice for foreign ships is a port pre-arrival duty.</t>
        </is>
      </c>
      <c r="Q104" s="66" t="inlineStr">
        <is>
          <t>CHILREP (voluntary for foreign ships in the Chilean SAR region; DIRECTEMAR/MRCC Chile).</t>
        </is>
      </c>
      <c r="R104" s="66" t="n"/>
      <c r="S104" s="66" t="inlineStr">
        <is>
          <t>Not assessed</t>
        </is>
      </c>
      <c r="T104" s="66" t="inlineStr">
        <is>
          <t>VTS status unresolved.</t>
        </is>
      </c>
      <c r="U104" s="66" t="inlineStr">
        <is>
          <t>SRC-054; SRC-121</t>
        </is>
      </c>
      <c r="V104" s="66" t="inlineStr">
        <is>
          <t>Check SHOA Pub. 3008/3018 or Capitanía de Puerto de Arica resolutions for VTS/port control.</t>
        </is>
      </c>
      <c r="W104" s="66" t="n"/>
    </row>
    <row r="105" ht="90" customHeight="1" s="63">
      <c r="A105" s="66" t="inlineStr">
        <is>
          <t>TSS-0144</t>
        </is>
      </c>
      <c r="B105" s="66" t="inlineStr">
        <is>
          <t>B29</t>
        </is>
      </c>
      <c r="C105" s="66" t="inlineStr">
        <is>
          <t>F</t>
        </is>
      </c>
      <c r="D105" s="66" t="inlineStr">
        <is>
          <t>In the Approaches to Iquique</t>
        </is>
      </c>
      <c r="E105" s="66" t="inlineStr">
        <is>
          <t>In the approaches to Iquique</t>
        </is>
      </c>
      <c r="F105" s="66" t="inlineStr">
        <is>
          <t>Chile</t>
        </is>
      </c>
      <c r="G105" s="66" t="inlineStr">
        <is>
          <t>Provisional</t>
        </is>
      </c>
      <c r="H105" s="66" t="inlineStr">
        <is>
          <t>New scheme adopted by MSC 55 (COLREG.2/Circ.32, 1988, implemented 15 October 1988); amended by MSC 72 (COLREG.2/Circ.48, 1 June 2000, implemented 1 December 2000). Current status not checked in GISIS or SHOA publications; treated as provisional.</t>
        </is>
      </c>
      <c r="I105" s="66" t="inlineStr">
        <is>
          <t>In force</t>
        </is>
      </c>
      <c r="J105" s="66" t="n"/>
      <c r="K105" s="66" t="inlineStr">
        <is>
          <t>Unresolved</t>
        </is>
      </c>
      <c r="L105" s="66" t="n"/>
      <c r="M105" s="66" t="inlineStr">
        <is>
          <t>No DIRECTEMAR source found establishing a VTS covering this TSS.</t>
        </is>
      </c>
      <c r="N105" s="66" t="inlineStr">
        <is>
          <t>Unresolved</t>
        </is>
      </c>
      <c r="O105" s="66" t="inlineStr">
        <is>
          <t>SRS-024</t>
        </is>
      </c>
      <c r="P105" s="66" t="inlineStr">
        <is>
          <t>No mandatory ship reporting system for foreign ships evidenced. CHILREP is stated by DIRECTEMAR to be voluntary (mandatory position reports for Chilean-flag ships only); national 24 h arrival notice for foreign ships is a port pre-arrival duty.</t>
        </is>
      </c>
      <c r="Q105" s="66" t="inlineStr">
        <is>
          <t>CHILREP (voluntary for foreign ships in the Chilean SAR region; DIRECTEMAR/MRCC Chile).</t>
        </is>
      </c>
      <c r="R105" s="66" t="n"/>
      <c r="S105" s="66" t="inlineStr">
        <is>
          <t>Not assessed</t>
        </is>
      </c>
      <c r="T105" s="66" t="inlineStr">
        <is>
          <t>VTS status unresolved.</t>
        </is>
      </c>
      <c r="U105" s="66" t="inlineStr">
        <is>
          <t>SRC-054; SRC-121</t>
        </is>
      </c>
      <c r="V105" s="66" t="inlineStr">
        <is>
          <t>No VTS source for Iquique found.</t>
        </is>
      </c>
      <c r="W105" s="66" t="n"/>
    </row>
    <row r="106" ht="90" customHeight="1" s="63">
      <c r="A106" s="66" t="inlineStr">
        <is>
          <t>TSS-0145</t>
        </is>
      </c>
      <c r="B106" s="66" t="inlineStr">
        <is>
          <t>B29</t>
        </is>
      </c>
      <c r="C106" s="66" t="inlineStr">
        <is>
          <t>F</t>
        </is>
      </c>
      <c r="D106" s="66" t="inlineStr">
        <is>
          <t>In the Approaches to Antofagasta</t>
        </is>
      </c>
      <c r="E106" s="66" t="inlineStr">
        <is>
          <t>In the approaches to Antofagasta</t>
        </is>
      </c>
      <c r="F106" s="66" t="inlineStr">
        <is>
          <t>Chile</t>
        </is>
      </c>
      <c r="G106" s="66" t="inlineStr">
        <is>
          <t>Provisional</t>
        </is>
      </c>
      <c r="H106" s="66" t="inlineStr">
        <is>
          <t>Listed among schemes implemented 15 May 1978 (COLREG.2/Circ.5, 6 March 1978, OCR copy); amended by MSC 55 (COLREG.2/Circ.32, implemented 15 October 1988). Current status not checked in GISIS or SHOA publications; treated as provisional.</t>
        </is>
      </c>
      <c r="I106" s="66" t="inlineStr">
        <is>
          <t>In force</t>
        </is>
      </c>
      <c r="J106" s="66" t="n"/>
      <c r="K106" s="66" t="inlineStr">
        <is>
          <t>Unresolved</t>
        </is>
      </c>
      <c r="L106" s="66" t="n"/>
      <c r="M106" s="66" t="inlineStr">
        <is>
          <t>No DIRECTEMAR source found establishing a VTS covering this TSS.</t>
        </is>
      </c>
      <c r="N106" s="66" t="inlineStr">
        <is>
          <t>Unresolved</t>
        </is>
      </c>
      <c r="O106" s="66" t="inlineStr">
        <is>
          <t>SRS-024</t>
        </is>
      </c>
      <c r="P106" s="66" t="inlineStr">
        <is>
          <t>No mandatory ship reporting system for foreign ships evidenced. CHILREP is stated by DIRECTEMAR to be voluntary (mandatory position reports for Chilean-flag ships only); national 24 h arrival notice for foreign ships is a port pre-arrival duty.</t>
        </is>
      </c>
      <c r="Q106" s="66" t="inlineStr">
        <is>
          <t>CHILREP (voluntary for foreign ships in the Chilean SAR region; DIRECTEMAR/MRCC Chile).</t>
        </is>
      </c>
      <c r="R106" s="66" t="n"/>
      <c r="S106" s="66" t="inlineStr">
        <is>
          <t>Not assessed</t>
        </is>
      </c>
      <c r="T106" s="66" t="inlineStr">
        <is>
          <t>VTS status unresolved.</t>
        </is>
      </c>
      <c r="U106" s="66" t="inlineStr">
        <is>
          <t>SRC-054; SRC-121</t>
        </is>
      </c>
      <c r="V106" s="66" t="inlineStr">
        <is>
          <t>No VTS source for Antofagasta found.</t>
        </is>
      </c>
      <c r="W106" s="66" t="n"/>
    </row>
    <row r="107" ht="90" customHeight="1" s="63">
      <c r="A107" s="66" t="inlineStr">
        <is>
          <t>TSS-0146</t>
        </is>
      </c>
      <c r="B107" s="66" t="inlineStr">
        <is>
          <t>B30</t>
        </is>
      </c>
      <c r="C107" s="66" t="inlineStr">
        <is>
          <t>F</t>
        </is>
      </c>
      <c r="D107" s="66" t="inlineStr">
        <is>
          <t>In the Approaches to Quintero Bay</t>
        </is>
      </c>
      <c r="E107" s="66" t="inlineStr">
        <is>
          <t>In the approaches to Quintero Bay</t>
        </is>
      </c>
      <c r="F107" s="66" t="inlineStr">
        <is>
          <t>Chile</t>
        </is>
      </c>
      <c r="G107" s="66" t="inlineStr">
        <is>
          <t>Provisional</t>
        </is>
      </c>
      <c r="H107" s="66" t="inlineStr">
        <is>
          <t>Implemented 15 May 1978 (COLREG.2/Circ.5, OCR copy); amended by MSC 55 (COLREG.2/Circ.32, implemented 15 October 1988). Current status not checked in GISIS or SHOA publications; treated as provisional.</t>
        </is>
      </c>
      <c r="I107" s="66" t="inlineStr">
        <is>
          <t>In force</t>
        </is>
      </c>
      <c r="J107" s="66" t="n"/>
      <c r="K107" s="66" t="inlineStr">
        <is>
          <t>Unresolved</t>
        </is>
      </c>
      <c r="L107" s="66" t="n"/>
      <c r="M107" s="66" t="inlineStr">
        <is>
          <t>No DIRECTEMAR source found establishing a VTS covering this TSS.</t>
        </is>
      </c>
      <c r="N107" s="66" t="inlineStr">
        <is>
          <t>Unresolved</t>
        </is>
      </c>
      <c r="O107" s="66" t="inlineStr">
        <is>
          <t>SRS-024</t>
        </is>
      </c>
      <c r="P107" s="66" t="inlineStr">
        <is>
          <t>No mandatory ship reporting system for foreign ships evidenced. CHILREP is stated by DIRECTEMAR to be voluntary (mandatory position reports for Chilean-flag ships only); national 24 h arrival notice for foreign ships is a port pre-arrival duty.</t>
        </is>
      </c>
      <c r="Q107" s="66" t="inlineStr">
        <is>
          <t>CHILREP (voluntary for foreign ships in the Chilean SAR region; DIRECTEMAR/MRCC Chile).</t>
        </is>
      </c>
      <c r="R107" s="66" t="n"/>
      <c r="S107" s="66" t="inlineStr">
        <is>
          <t>Not assessed</t>
        </is>
      </c>
      <c r="T107" s="66" t="inlineStr">
        <is>
          <t>VTS status unresolved.</t>
        </is>
      </c>
      <c r="U107" s="66" t="inlineStr">
        <is>
          <t>SRC-054; SRC-121</t>
        </is>
      </c>
      <c r="V107" s="66" t="inlineStr">
        <is>
          <t>Whether VTS Valparaíso or a Quintero port control covers Quintero Bay approaches not established.</t>
        </is>
      </c>
      <c r="W107" s="66" t="n"/>
    </row>
    <row r="108" ht="90" customHeight="1" s="63">
      <c r="A108" s="66" t="inlineStr">
        <is>
          <t>TSS-0147</t>
        </is>
      </c>
      <c r="B108" s="66" t="inlineStr">
        <is>
          <t>B30</t>
        </is>
      </c>
      <c r="C108" s="66" t="inlineStr">
        <is>
          <t>F</t>
        </is>
      </c>
      <c r="D108" s="66" t="inlineStr">
        <is>
          <t>In the Approaches to Valparaíso</t>
        </is>
      </c>
      <c r="E108" s="66" t="inlineStr">
        <is>
          <t>In the approaches to Valparaiso</t>
        </is>
      </c>
      <c r="F108" s="66" t="inlineStr">
        <is>
          <t>Chile</t>
        </is>
      </c>
      <c r="G108" s="66" t="inlineStr">
        <is>
          <t>Provisional</t>
        </is>
      </c>
      <c r="H108" s="66" t="inlineStr">
        <is>
          <t>Implemented 15 May 1978 (COLREG.2/Circ.5, OCR copy); amended by MSC 55 (COLREG.2/Circ.32, implemented 15 October 1988). Current status not checked in GISIS or SHOA publications; treated as provisional.</t>
        </is>
      </c>
      <c r="I108" s="66" t="inlineStr">
        <is>
          <t>In force</t>
        </is>
      </c>
      <c r="J108" s="66" t="n"/>
      <c r="K108" s="66" t="inlineStr">
        <is>
          <t>Unresolved</t>
        </is>
      </c>
      <c r="L108" s="66" t="inlineStr">
        <is>
          <t>VTS-051</t>
        </is>
      </c>
      <c r="M108" s="66" t="inlineStr">
        <is>
          <t>Lead: a 2018 DIRECTEMAR anchorage resolution (seen only via vLex) requires vessels to confirm with 'VTS Valparaíso (Vessel Trafic Service)/CBV-20' two hours ahead on Ch 16. Service area and coverage of the TSS not evidenced.</t>
        </is>
      </c>
      <c r="N108" s="66" t="inlineStr">
        <is>
          <t>Unresolved</t>
        </is>
      </c>
      <c r="O108" s="66" t="inlineStr">
        <is>
          <t>SRS-024</t>
        </is>
      </c>
      <c r="P108" s="66" t="inlineStr">
        <is>
          <t>No mandatory ship reporting system for foreign ships evidenced. CHILREP is stated by DIRECTEMAR to be voluntary (mandatory position reports for Chilean-flag ships only); national 24 h arrival notice for foreign ships is a port pre-arrival duty.</t>
        </is>
      </c>
      <c r="Q108" s="66" t="inlineStr">
        <is>
          <t>CHILREP (voluntary for foreign ships in the Chilean SAR region; DIRECTEMAR/MRCC Chile).</t>
        </is>
      </c>
      <c r="R108" s="66" t="n"/>
      <c r="S108" s="66" t="inlineStr">
        <is>
          <t>Not assessed</t>
        </is>
      </c>
      <c r="T108" s="66" t="inlineStr">
        <is>
          <t>VTS coverage unresolved.</t>
        </is>
      </c>
      <c r="U108" s="66" t="inlineStr">
        <is>
          <t>SRC-054; SRC-121; SRC-122</t>
        </is>
      </c>
      <c r="V108" s="66" t="inlineStr">
        <is>
          <t>Obtain the original DIRECTEMAR resolution (12.000/934 of 2018) or a Gobernación Marítima de Valparaíso source defining VTS Valparaíso's area.</t>
        </is>
      </c>
      <c r="W108" s="66" t="n"/>
    </row>
    <row r="109" ht="90" customHeight="1" s="63">
      <c r="A109" s="66" t="inlineStr">
        <is>
          <t>TSS-0148</t>
        </is>
      </c>
      <c r="B109" s="66" t="inlineStr">
        <is>
          <t>B30</t>
        </is>
      </c>
      <c r="C109" s="66" t="inlineStr">
        <is>
          <t>F</t>
        </is>
      </c>
      <c r="D109" s="66" t="inlineStr">
        <is>
          <t>In the Approaches to Concepción Bay (Bahía Concepción)</t>
        </is>
      </c>
      <c r="E109" s="66" t="inlineStr">
        <is>
          <t>In the approaches to Concepcion Bay</t>
        </is>
      </c>
      <c r="F109" s="66" t="inlineStr">
        <is>
          <t>Chile</t>
        </is>
      </c>
      <c r="G109" s="66" t="inlineStr">
        <is>
          <t>Provisional</t>
        </is>
      </c>
      <c r="H109" s="66" t="inlineStr">
        <is>
          <t>Implemented 15 May 1978 (COLREG.2/Circ.5, OCR copy); amended by MSC 55 (COLREG.2/Circ.32, implemented 15 October 1988). Current status not checked in GISIS or SHOA publications; treated as provisional.</t>
        </is>
      </c>
      <c r="I109" s="66" t="inlineStr">
        <is>
          <t>In force</t>
        </is>
      </c>
      <c r="J109" s="66" t="n"/>
      <c r="K109" s="66" t="inlineStr">
        <is>
          <t>Unresolved</t>
        </is>
      </c>
      <c r="L109" s="66" t="n"/>
      <c r="M109" s="66" t="inlineStr">
        <is>
          <t>No DIRECTEMAR source found establishing a VTS covering this TSS.</t>
        </is>
      </c>
      <c r="N109" s="66" t="inlineStr">
        <is>
          <t>Unresolved</t>
        </is>
      </c>
      <c r="O109" s="66" t="inlineStr">
        <is>
          <t>SRS-024</t>
        </is>
      </c>
      <c r="P109" s="66" t="inlineStr">
        <is>
          <t>No mandatory ship reporting system for foreign ships evidenced. CHILREP is stated by DIRECTEMAR to be voluntary (mandatory position reports for Chilean-flag ships only); national 24 h arrival notice for foreign ships is a port pre-arrival duty.</t>
        </is>
      </c>
      <c r="Q109" s="66" t="inlineStr">
        <is>
          <t>CHILREP (voluntary for foreign ships in the Chilean SAR region; DIRECTEMAR/MRCC Chile).</t>
        </is>
      </c>
      <c r="R109" s="66" t="n"/>
      <c r="S109" s="66" t="inlineStr">
        <is>
          <t>Not assessed</t>
        </is>
      </c>
      <c r="T109" s="66" t="inlineStr">
        <is>
          <t>VTS status unresolved.</t>
        </is>
      </c>
      <c r="U109" s="66" t="inlineStr">
        <is>
          <t>SRC-054; SRC-121</t>
        </is>
      </c>
      <c r="V109" s="66" t="inlineStr">
        <is>
          <t>Check Gobernación Marítima de Talcahuano sources.</t>
        </is>
      </c>
      <c r="W109" s="66" t="n"/>
    </row>
    <row r="110" ht="90" customHeight="1" s="63">
      <c r="A110" s="66" t="inlineStr">
        <is>
          <t>TSS-0149</t>
        </is>
      </c>
      <c r="B110" s="66" t="inlineStr">
        <is>
          <t>B30</t>
        </is>
      </c>
      <c r="C110" s="66" t="inlineStr">
        <is>
          <t>F</t>
        </is>
      </c>
      <c r="D110" s="66" t="inlineStr">
        <is>
          <t>In the Approaches to San Vicente Bay (Bahía San Vicente)</t>
        </is>
      </c>
      <c r="E110" s="66" t="inlineStr">
        <is>
          <t>In the approaches to San Vicente Bay</t>
        </is>
      </c>
      <c r="F110" s="66" t="inlineStr">
        <is>
          <t>Chile</t>
        </is>
      </c>
      <c r="G110" s="66" t="inlineStr">
        <is>
          <t>Provisional</t>
        </is>
      </c>
      <c r="H110" s="66" t="inlineStr">
        <is>
          <t>Implemented 15 May 1978 (COLREG.2/Circ.5, OCR copy); amended by MSC 55 (COLREG.2/Circ.32, implemented 15 October 1988). Current status not checked in GISIS or SHOA publications; treated as provisional.</t>
        </is>
      </c>
      <c r="I110" s="66" t="inlineStr">
        <is>
          <t>In force</t>
        </is>
      </c>
      <c r="J110" s="66" t="n"/>
      <c r="K110" s="66" t="inlineStr">
        <is>
          <t>Unresolved</t>
        </is>
      </c>
      <c r="L110" s="66" t="n"/>
      <c r="M110" s="66" t="inlineStr">
        <is>
          <t>DIRECTEMAR San Vicente terminal resolutions (2018, 2020) direct communications to the Capitanía de Puerto de San Vicente (CBT-23) on Ch 16; no VTS is named.</t>
        </is>
      </c>
      <c r="N110" s="66" t="inlineStr">
        <is>
          <t>Unresolved</t>
        </is>
      </c>
      <c r="O110" s="66" t="inlineStr">
        <is>
          <t>SRS-024</t>
        </is>
      </c>
      <c r="P110" s="66" t="inlineStr">
        <is>
          <t>No mandatory ship reporting system for foreign ships evidenced. CHILREP is stated by DIRECTEMAR to be voluntary (mandatory position reports for Chilean-flag ships only); national 24 h arrival notice for foreign ships is a port pre-arrival duty.</t>
        </is>
      </c>
      <c r="Q110" s="66" t="inlineStr">
        <is>
          <t>CHILREP (voluntary for foreign ships in the Chilean SAR region; DIRECTEMAR/MRCC Chile).</t>
        </is>
      </c>
      <c r="R110" s="66" t="n"/>
      <c r="S110" s="66" t="inlineStr">
        <is>
          <t>Not assessed</t>
        </is>
      </c>
      <c r="T110" s="66" t="inlineStr">
        <is>
          <t>VTS status unresolved.</t>
        </is>
      </c>
      <c r="U110" s="66" t="inlineStr">
        <is>
          <t>SRC-054; SRC-121; SRC-124</t>
        </is>
      </c>
      <c r="V110" s="66" t="inlineStr">
        <is>
          <t>Port captaincy radio contact is not a VTS; confirm whether any VTS operates at San Vicente/Talcahuano.</t>
        </is>
      </c>
      <c r="W110" s="66" t="n"/>
    </row>
    <row r="111" ht="90" customHeight="1" s="63">
      <c r="A111" s="66" t="inlineStr">
        <is>
          <t>TSS-0150</t>
        </is>
      </c>
      <c r="B111" s="66" t="inlineStr">
        <is>
          <t>B30</t>
        </is>
      </c>
      <c r="C111" s="66" t="inlineStr">
        <is>
          <t>F</t>
        </is>
      </c>
      <c r="D111" s="66" t="inlineStr">
        <is>
          <t>In the Approaches to Puntas Arenas</t>
        </is>
      </c>
      <c r="E111" s="66" t="inlineStr">
        <is>
          <t>In the approaches to Punta Arenas</t>
        </is>
      </c>
      <c r="F111" s="66" t="inlineStr">
        <is>
          <t>Chile</t>
        </is>
      </c>
      <c r="G111" s="66" t="inlineStr">
        <is>
          <t>Provisional</t>
        </is>
      </c>
      <c r="H111" s="66" t="inlineStr">
        <is>
          <t>Official spelling 'Punta Arenas' (source label 'Puntas Arenas' is an error). New scheme adopted by MSC 55 (COLREG.2/Circ.32, implemented 15 October 1988); amended and moved east by MSC 72 (COLREG.2/Circ.48, 1 June 2000, implemented 1 December 2000): two lanes (entry 296°, exit 129°) and one separation zone. Current status not checked in GISIS or SHOA publications; treated as provisional.</t>
        </is>
      </c>
      <c r="I111" s="66" t="inlineStr">
        <is>
          <t>In force</t>
        </is>
      </c>
      <c r="J111" s="66" t="n"/>
      <c r="K111" s="66" t="inlineStr">
        <is>
          <t>Unresolved</t>
        </is>
      </c>
      <c r="L111" s="66" t="n"/>
      <c r="M111" s="66" t="inlineStr">
        <is>
          <t>No DIRECTEMAR source found establishing a VTS covering this TSS.</t>
        </is>
      </c>
      <c r="N111" s="66" t="inlineStr">
        <is>
          <t>Unresolved</t>
        </is>
      </c>
      <c r="O111" s="66" t="inlineStr">
        <is>
          <t>SRS-024</t>
        </is>
      </c>
      <c r="P111" s="66" t="inlineStr">
        <is>
          <t>No mandatory ship reporting system for foreign ships evidenced. CHILREP is stated by DIRECTEMAR to be voluntary (mandatory position reports for Chilean-flag ships only); national 24 h arrival notice for foreign ships is a port pre-arrival duty.</t>
        </is>
      </c>
      <c r="Q111" s="66" t="inlineStr">
        <is>
          <t>CHILREP (voluntary for foreign ships in the Chilean SAR region; DIRECTEMAR/MRCC Chile).</t>
        </is>
      </c>
      <c r="R111" s="66" t="n"/>
      <c r="S111" s="66" t="inlineStr">
        <is>
          <t>Not assessed</t>
        </is>
      </c>
      <c r="T111" s="66" t="inlineStr">
        <is>
          <t>VTS status unresolved.</t>
        </is>
      </c>
      <c r="U111" s="66" t="inlineStr">
        <is>
          <t>SRC-054; SRC-121</t>
        </is>
      </c>
      <c r="V111" s="66" t="inlineStr">
        <is>
          <t>Check Gobernación Marítima de Punta Arenas / Strait of Magellan traffic control arrangements.</t>
        </is>
      </c>
      <c r="W111" s="66" t="n"/>
    </row>
    <row r="112" ht="90" customHeight="1" s="63">
      <c r="A112" s="66" t="inlineStr">
        <is>
          <t>TSS-0151</t>
        </is>
      </c>
      <c r="B112" s="66" t="inlineStr">
        <is>
          <t>B31</t>
        </is>
      </c>
      <c r="C112" s="66" t="inlineStr">
        <is>
          <t>G</t>
        </is>
      </c>
      <c r="D112" s="66" t="inlineStr">
        <is>
          <t>At the approaches to Puerto Cristobal</t>
        </is>
      </c>
      <c r="E112" s="66" t="inlineStr">
        <is>
          <t>At the approaches to Puerto Cristobal</t>
        </is>
      </c>
      <c r="F112" s="66" t="inlineStr">
        <is>
          <t>Panama</t>
        </is>
      </c>
      <c r="G112" s="66" t="inlineStr">
        <is>
          <t>Confirmed</t>
        </is>
      </c>
      <c r="H112" s="66" t="inlineStr">
        <is>
          <t>New TSS adopted MSC 93 (May 2014) per COLREG.2/Circ.65 (23 May 2014), implemented 0000 UTC 1 December 2014. Annex 2 comprises separation lines, three separation zones, entry and exit lanes and two inshore traffic zones (ref. chart BA 1400).</t>
        </is>
      </c>
      <c r="I112" s="66" t="inlineStr">
        <is>
          <t>In force</t>
        </is>
      </c>
      <c r="J112" s="66" t="n"/>
      <c r="K112" s="66" t="inlineStr">
        <is>
          <t>Unresolved</t>
        </is>
      </c>
      <c r="L112" s="66" t="inlineStr">
        <is>
          <t>VTS-054</t>
        </is>
      </c>
      <c r="M112" s="66" t="inlineStr">
        <is>
          <t>ACP Cristobal Signal Station controls anchorage entry/exit and harbour movements at the Atlantic entrance (N-2-2026) and must be called 8 NM from the Atlantic Breakwater, i.e. at about the inner end of the TSS. ACP does not designate it a VTS, and no source states it covers the TSS lanes.</t>
        </is>
      </c>
      <c r="N112" s="66" t="inlineStr">
        <is>
          <t>Unresolved</t>
        </is>
      </c>
      <c r="O112" s="66" t="n"/>
      <c r="P112" s="66" t="inlineStr">
        <is>
          <t>National (ACP) mandatory report in the direct approach: vessels must notify Cristobal Signal Station on VHF Ch 12 at 8 NM from the Atlantic Breakwater. The TSS inner end lies roughly 8 NM north of the breakwater (from Circ.65 coordinates, breakwater position not taken from a primary source), so the report falls at the landward end of the scheme, not along the lanes.</t>
        </is>
      </c>
      <c r="Q112" s="66" t="n"/>
      <c r="R112" s="66" t="inlineStr">
        <is>
          <t>Continuous Ch 12 watch required for vessels of 300 GT or over, 100 GT carrying passengers for hire, and commercial towing vessels of 8 m or more until an ACP pilot takes control (N-2-2026 s1b). Approach reports to the Panama Canal Authority signal stations are port and canal arrival reporting. Recorded as an applicability note, not as a separate mandatory reporting scheme.</t>
        </is>
      </c>
      <c r="S112" s="66" t="inlineStr">
        <is>
          <t>Intermediate</t>
        </is>
      </c>
      <c r="T112" s="66" t="inlineStr">
        <is>
          <t>TSS feeds directly into ACP-controlled anchorages and Canal waters with mandatory signal-station reporting.</t>
        </is>
      </c>
      <c r="U112" s="66" t="inlineStr">
        <is>
          <t>SRC-132; SRC-134; SRC-135</t>
        </is>
      </c>
      <c r="V112" s="66" t="inlineStr">
        <is>
          <t>Does ACP (or Panama Maritime Authority, AMP) operate a formally designated VTS covering the Atlantic approaches? Exact breakwater position vs 8 NM point to be checked on chart. N-1-2026 not retrieved (N-1-2025 used).</t>
        </is>
      </c>
      <c r="W112" s="66" t="inlineStr">
        <is>
          <t>reporting_finding: Confirmed present -&gt; Unresolved. Approach reports to the Panama Canal Authority signal stations are port and canal arrival reporting. Recorded as an applicability note, not as a separate mandatory reporting scheme. No separate mandatory scheme evidenced.</t>
        </is>
      </c>
    </row>
    <row r="113" ht="90" customHeight="1" s="63">
      <c r="A113" s="66" t="inlineStr">
        <is>
          <t>TSS-0152</t>
        </is>
      </c>
      <c r="B113" s="66" t="inlineStr">
        <is>
          <t>B31</t>
        </is>
      </c>
      <c r="C113" s="66" t="inlineStr">
        <is>
          <t>G</t>
        </is>
      </c>
      <c r="D113" s="66" t="inlineStr">
        <is>
          <t>Off Cabo San Antonio</t>
        </is>
      </c>
      <c r="E113" s="66" t="inlineStr">
        <is>
          <t>Off Cabo San Antonio</t>
        </is>
      </c>
      <c r="F113" s="66" t="inlineStr">
        <is>
          <t>Cuba</t>
        </is>
      </c>
      <c r="G113" s="66" t="inlineStr">
        <is>
          <t>Confirmed</t>
        </is>
      </c>
      <c r="H113"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I113" s="66" t="inlineStr">
        <is>
          <t>In force</t>
        </is>
      </c>
      <c r="J113" s="66" t="n"/>
      <c r="K113" s="66" t="inlineStr">
        <is>
          <t>Unresolved</t>
        </is>
      </c>
      <c r="L113" s="66" t="n"/>
      <c r="M113" s="66" t="inlineStr">
        <is>
          <t>No Cuban VTS covering this scheme was identified; no Cuban maritime authority (MITRANS / Capitanías de Puerto) source was reached.</t>
        </is>
      </c>
      <c r="N113" s="66" t="inlineStr">
        <is>
          <t>Unresolved</t>
        </is>
      </c>
      <c r="O113" s="66" t="n"/>
      <c r="P113" s="66" t="inlineStr">
        <is>
          <t>No IMO-adopted mandatory ship reporting system or Cuban national reporting requirement found for this area; Cuban official sources not accessible through search.</t>
        </is>
      </c>
      <c r="Q113" s="66" t="n"/>
      <c r="R113" s="66" t="inlineStr">
        <is>
          <t>Circ.40 annex includes an inshore traffic zone for this scheme.</t>
        </is>
      </c>
      <c r="S113" s="66" t="inlineStr">
        <is>
          <t>Simple</t>
        </is>
      </c>
      <c r="T113" s="66" t="inlineStr">
        <is>
          <t>Single coastal scheme, no VTS or reporting overlay evidenced.</t>
        </is>
      </c>
      <c r="U113" s="66" t="inlineStr">
        <is>
          <t>SRC-054</t>
        </is>
      </c>
      <c r="V113" s="66" t="inlineStr">
        <is>
          <t>Cuban authority sources (MITRANS, Capitanía de Puerto, GEOCUBA/ICH) not reached; confirm current status in IMO Ships' Routeing and whether any Cuban coastal monitoring or reporting applies.</t>
        </is>
      </c>
      <c r="W113" s="66" t="n"/>
    </row>
    <row r="114" ht="90" customHeight="1" s="63">
      <c r="A114" s="66" t="inlineStr">
        <is>
          <t>TSS-0153</t>
        </is>
      </c>
      <c r="B114" s="66" t="inlineStr">
        <is>
          <t>B31</t>
        </is>
      </c>
      <c r="C114" s="66" t="inlineStr">
        <is>
          <t>G</t>
        </is>
      </c>
      <c r="D114" s="66" t="inlineStr">
        <is>
          <t>Off La Tabla</t>
        </is>
      </c>
      <c r="E114" s="66" t="inlineStr">
        <is>
          <t>Off La Tabla</t>
        </is>
      </c>
      <c r="F114" s="66" t="inlineStr">
        <is>
          <t>Cuba</t>
        </is>
      </c>
      <c r="G114" s="66" t="inlineStr">
        <is>
          <t>Confirmed</t>
        </is>
      </c>
      <c r="H114"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I114" s="66" t="inlineStr">
        <is>
          <t>In force</t>
        </is>
      </c>
      <c r="J114" s="66" t="n"/>
      <c r="K114" s="66" t="inlineStr">
        <is>
          <t>Unresolved</t>
        </is>
      </c>
      <c r="L114" s="66" t="n"/>
      <c r="M114" s="66" t="inlineStr">
        <is>
          <t>No Cuban VTS covering this scheme was identified; no Cuban maritime authority (MITRANS / Capitanías de Puerto) source was reached.</t>
        </is>
      </c>
      <c r="N114" s="66" t="inlineStr">
        <is>
          <t>Unresolved</t>
        </is>
      </c>
      <c r="O114" s="66" t="n"/>
      <c r="P114" s="66" t="inlineStr">
        <is>
          <t>No IMO-adopted mandatory ship reporting system or Cuban national reporting requirement found for this area; Cuban official sources not accessible through search.</t>
        </is>
      </c>
      <c r="Q114" s="66" t="n"/>
      <c r="R114" s="66" t="inlineStr">
        <is>
          <t>Circ.40 annex includes an inshore traffic zone for this scheme.</t>
        </is>
      </c>
      <c r="S114" s="66" t="inlineStr">
        <is>
          <t>Simple</t>
        </is>
      </c>
      <c r="T114" s="66" t="inlineStr">
        <is>
          <t>Single coastal scheme, no VTS or reporting overlay evidenced.</t>
        </is>
      </c>
      <c r="U114" s="66" t="inlineStr">
        <is>
          <t>SRC-054</t>
        </is>
      </c>
      <c r="V114" s="66" t="inlineStr">
        <is>
          <t>Cuban authority sources (MITRANS, Capitanía de Puerto, GEOCUBA/ICH) not reached; confirm current status in IMO Ships' Routeing and whether any Cuban coastal monitoring or reporting applies.</t>
        </is>
      </c>
      <c r="W114" s="66" t="n"/>
    </row>
    <row r="115" ht="90" customHeight="1" s="63">
      <c r="A115" s="66" t="inlineStr">
        <is>
          <t>TSS-0154</t>
        </is>
      </c>
      <c r="B115" s="66" t="inlineStr">
        <is>
          <t>B31</t>
        </is>
      </c>
      <c r="C115" s="66" t="inlineStr">
        <is>
          <t>G</t>
        </is>
      </c>
      <c r="D115" s="66" t="inlineStr">
        <is>
          <t>Off Costa de Matanzas</t>
        </is>
      </c>
      <c r="E115" s="66" t="inlineStr">
        <is>
          <t>Off Costa de Matanzas</t>
        </is>
      </c>
      <c r="F115" s="66" t="inlineStr">
        <is>
          <t>Cuba</t>
        </is>
      </c>
      <c r="G115" s="66" t="inlineStr">
        <is>
          <t>Confirmed</t>
        </is>
      </c>
      <c r="H115"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I115" s="66" t="inlineStr">
        <is>
          <t>In force</t>
        </is>
      </c>
      <c r="J115" s="66" t="n"/>
      <c r="K115" s="66" t="inlineStr">
        <is>
          <t>Unresolved</t>
        </is>
      </c>
      <c r="L115" s="66" t="n"/>
      <c r="M115" s="66" t="inlineStr">
        <is>
          <t>No Cuban VTS covering this scheme was identified; no Cuban maritime authority (MITRANS / Capitanías de Puerto) source was reached.</t>
        </is>
      </c>
      <c r="N115" s="66" t="inlineStr">
        <is>
          <t>Unresolved</t>
        </is>
      </c>
      <c r="O115" s="66" t="n"/>
      <c r="P115" s="66" t="inlineStr">
        <is>
          <t>No IMO-adopted mandatory ship reporting system or Cuban national reporting requirement found for this area; Cuban official sources not accessible through search.</t>
        </is>
      </c>
      <c r="Q115" s="66" t="n"/>
      <c r="R115" s="66" t="inlineStr">
        <is>
          <t>Circ.40 annex includes an inshore traffic zone for this scheme.</t>
        </is>
      </c>
      <c r="S115" s="66" t="inlineStr">
        <is>
          <t>Simple</t>
        </is>
      </c>
      <c r="T115" s="66" t="inlineStr">
        <is>
          <t>Single coastal scheme, no VTS or reporting overlay evidenced.</t>
        </is>
      </c>
      <c r="U115" s="66" t="inlineStr">
        <is>
          <t>SRC-054</t>
        </is>
      </c>
      <c r="V115" s="66" t="inlineStr">
        <is>
          <t>Cuban authority sources (MITRANS, Capitanía de Puerto, GEOCUBA/ICH) not reached; confirm current status in IMO Ships' Routeing and whether any Cuban coastal monitoring or reporting applies.</t>
        </is>
      </c>
      <c r="W115" s="66" t="n"/>
    </row>
    <row r="116" ht="90" customHeight="1" s="63">
      <c r="A116" s="66" t="inlineStr">
        <is>
          <t>TSS-0155</t>
        </is>
      </c>
      <c r="B116" s="66" t="inlineStr">
        <is>
          <t>B31</t>
        </is>
      </c>
      <c r="C116" s="66" t="inlineStr">
        <is>
          <t>G</t>
        </is>
      </c>
      <c r="D116" s="66" t="inlineStr">
        <is>
          <t>In the Old Bahama Channel</t>
        </is>
      </c>
      <c r="E116" s="66" t="inlineStr">
        <is>
          <t>In the Old Bahama Channel</t>
        </is>
      </c>
      <c r="F116" s="66" t="inlineStr">
        <is>
          <t>Cuba</t>
        </is>
      </c>
      <c r="G116" s="66" t="inlineStr">
        <is>
          <t>Confirmed</t>
        </is>
      </c>
      <c r="H116" s="66" t="inlineStr">
        <is>
          <t>New scheme adopted MSC 48 (COLREG.2/Circ.20, 5 Aug 1983), not implemented before 17 March 1984; amended scheme adopted MSC 63 (COLREG.2/Circ.40), implemented 0000 UTC 24 November 1994. Reference charts Instituto Cubano de Hidrografía. Adjoins Bahamian waters; only Cuba named as proposing State in the circulars seen. No later revocation seen, but current IMO Ships' Routeing edition not consulted.</t>
        </is>
      </c>
      <c r="I116" s="66" t="inlineStr">
        <is>
          <t>In force</t>
        </is>
      </c>
      <c r="J116" s="66" t="n"/>
      <c r="K116" s="66" t="inlineStr">
        <is>
          <t>Unresolved</t>
        </is>
      </c>
      <c r="L116" s="66" t="n"/>
      <c r="M116" s="66" t="inlineStr">
        <is>
          <t>No Cuban VTS covering this scheme was identified; no Cuban maritime authority (MITRANS / Capitanías de Puerto) source was reached.</t>
        </is>
      </c>
      <c r="N116" s="66" t="inlineStr">
        <is>
          <t>Unresolved</t>
        </is>
      </c>
      <c r="O116" s="66" t="n"/>
      <c r="P116" s="66" t="inlineStr">
        <is>
          <t>No IMO-adopted mandatory ship reporting system or Cuban national reporting requirement found for this area; Cuban official sources not accessible through search.</t>
        </is>
      </c>
      <c r="Q116" s="66" t="n"/>
      <c r="R116" s="66" t="inlineStr">
        <is>
          <t>Circ.40 annex includes an inshore traffic zone for this scheme.</t>
        </is>
      </c>
      <c r="S116" s="66" t="inlineStr">
        <is>
          <t>Simple</t>
        </is>
      </c>
      <c r="T116" s="66" t="inlineStr">
        <is>
          <t>Single coastal scheme, no VTS or reporting overlay evidenced.</t>
        </is>
      </c>
      <c r="U116" s="66" t="inlineStr">
        <is>
          <t>SRC-054</t>
        </is>
      </c>
      <c r="V116" s="66" t="inlineStr">
        <is>
          <t>Cuban authority sources (MITRANS, Capitanía de Puerto, GEOCUBA/ICH) not reached; confirm current status in IMO Ships' Routeing and whether any Cuban coastal monitoring or reporting applies.</t>
        </is>
      </c>
      <c r="W116" s="66" t="n"/>
    </row>
    <row r="117" ht="90" customHeight="1" s="63">
      <c r="A117" s="66" t="inlineStr">
        <is>
          <t>TSS-0156</t>
        </is>
      </c>
      <c r="B117" s="66" t="inlineStr">
        <is>
          <t>B32</t>
        </is>
      </c>
      <c r="C117" s="66" t="inlineStr">
        <is>
          <t>G</t>
        </is>
      </c>
      <c r="D117" s="66" t="inlineStr">
        <is>
          <t>Off Punta Maternillos</t>
        </is>
      </c>
      <c r="E117" s="66" t="inlineStr">
        <is>
          <t>Off Punta Maternillos</t>
        </is>
      </c>
      <c r="F117" s="66" t="inlineStr">
        <is>
          <t>Cuba</t>
        </is>
      </c>
      <c r="G117" s="66" t="inlineStr">
        <is>
          <t>Confirmed</t>
        </is>
      </c>
      <c r="H117" s="66" t="inlineStr">
        <is>
          <t>New scheme adopted MSC 48 (COLREG.2/Circ.20, 5 Aug 1983), not implemented before 17 March 1984; amended scheme adopted MSC 63 (COLREG.2/Circ.40), implemented 0000 UTC 24 November 1994. Reference charts Instituto Cubano de Hidrografía.  No later revocation seen, but current IMO Ships' Routeing edition not consulted.</t>
        </is>
      </c>
      <c r="I117" s="66" t="inlineStr">
        <is>
          <t>In force</t>
        </is>
      </c>
      <c r="J117" s="66" t="n"/>
      <c r="K117" s="66" t="inlineStr">
        <is>
          <t>Unresolved</t>
        </is>
      </c>
      <c r="L117" s="66" t="n"/>
      <c r="M117" s="66" t="inlineStr">
        <is>
          <t>No Cuban VTS covering this scheme was identified; no Cuban maritime authority (MITRANS / Capitanías de Puerto) source was reached.</t>
        </is>
      </c>
      <c r="N117" s="66" t="inlineStr">
        <is>
          <t>Unresolved</t>
        </is>
      </c>
      <c r="O117" s="66" t="n"/>
      <c r="P117" s="66" t="inlineStr">
        <is>
          <t>No IMO-adopted mandatory ship reporting system or Cuban national reporting requirement found for this area; Cuban official sources not accessible through search.</t>
        </is>
      </c>
      <c r="Q117" s="66" t="n"/>
      <c r="R117" s="66" t="inlineStr">
        <is>
          <t>Circ.40 annex includes an inshore traffic zone for this scheme.</t>
        </is>
      </c>
      <c r="S117" s="66" t="inlineStr">
        <is>
          <t>Simple</t>
        </is>
      </c>
      <c r="T117" s="66" t="inlineStr">
        <is>
          <t>Single coastal scheme, no VTS or reporting overlay evidenced.</t>
        </is>
      </c>
      <c r="U117" s="66" t="inlineStr">
        <is>
          <t>SRC-054</t>
        </is>
      </c>
      <c r="V117" s="66" t="inlineStr">
        <is>
          <t>Cuban authority sources (MITRANS, Capitanía de Puerto, GEOCUBA/ICH) not reached; confirm current status in IMO Ships' Routeing and whether any Cuban coastal monitoring or reporting applies.</t>
        </is>
      </c>
      <c r="W117" s="66" t="n"/>
    </row>
    <row r="118" ht="90" customHeight="1" s="63">
      <c r="A118" s="66" t="inlineStr">
        <is>
          <t>TSS-0157</t>
        </is>
      </c>
      <c r="B118" s="66" t="inlineStr">
        <is>
          <t>B32</t>
        </is>
      </c>
      <c r="C118" s="66" t="inlineStr">
        <is>
          <t>G</t>
        </is>
      </c>
      <c r="D118" s="66" t="inlineStr">
        <is>
          <t>Off Punta Lucretia</t>
        </is>
      </c>
      <c r="E118" s="66" t="inlineStr">
        <is>
          <t>Off Punta Lucrecia</t>
        </is>
      </c>
      <c r="F118" s="66" t="inlineStr">
        <is>
          <t>Cuba</t>
        </is>
      </c>
      <c r="G118" s="66" t="inlineStr">
        <is>
          <t>Confirmed</t>
        </is>
      </c>
      <c r="H118" s="66" t="inlineStr">
        <is>
          <t>New scheme adopted MSC 48 (COLREG.2/Circ.20, 5 Aug 1983), not implemented before 17 March 1984; amended scheme adopted MSC 63 (COLREG.2/Circ.40), implemented 0000 UTC 24 November 1994. Reference charts Instituto Cubano de Hidrografía. Spelt 'Punta Lucrecia' in Circ.20 and 'Punta Lucrezia' in Circ.40; source label 'Punta Lucretia' is a variant spelling. No later revocation seen, but current IMO Ships' Routeing edition not consulted.</t>
        </is>
      </c>
      <c r="I118" s="66" t="inlineStr">
        <is>
          <t>In force</t>
        </is>
      </c>
      <c r="J118" s="66" t="n"/>
      <c r="K118" s="66" t="inlineStr">
        <is>
          <t>Unresolved</t>
        </is>
      </c>
      <c r="L118" s="66" t="n"/>
      <c r="M118" s="66" t="inlineStr">
        <is>
          <t>No Cuban VTS covering this scheme was identified; no Cuban maritime authority (MITRANS / Capitanías de Puerto) source was reached.</t>
        </is>
      </c>
      <c r="N118" s="66" t="inlineStr">
        <is>
          <t>Unresolved</t>
        </is>
      </c>
      <c r="O118" s="66" t="n"/>
      <c r="P118" s="66" t="inlineStr">
        <is>
          <t>No IMO-adopted mandatory ship reporting system or Cuban national reporting requirement found for this area; Cuban official sources not accessible through search.</t>
        </is>
      </c>
      <c r="Q118" s="66" t="n"/>
      <c r="R118" s="66" t="n"/>
      <c r="S118" s="66" t="inlineStr">
        <is>
          <t>Simple</t>
        </is>
      </c>
      <c r="T118" s="66" t="inlineStr">
        <is>
          <t>Single coastal scheme, no VTS or reporting overlay evidenced.</t>
        </is>
      </c>
      <c r="U118" s="66" t="inlineStr">
        <is>
          <t>SRC-054</t>
        </is>
      </c>
      <c r="V118" s="66" t="inlineStr">
        <is>
          <t>Cuban authority sources (MITRANS, Capitanía de Puerto, GEOCUBA/ICH) not reached; confirm current status in IMO Ships' Routeing and whether any Cuban coastal monitoring or reporting applies.</t>
        </is>
      </c>
      <c r="W118" s="66" t="n"/>
    </row>
    <row r="119" ht="90" customHeight="1" s="63">
      <c r="A119" s="66" t="inlineStr">
        <is>
          <t>TSS-0158</t>
        </is>
      </c>
      <c r="B119" s="66" t="inlineStr">
        <is>
          <t>B32</t>
        </is>
      </c>
      <c r="C119" s="66" t="inlineStr">
        <is>
          <t>G</t>
        </is>
      </c>
      <c r="D119" s="66" t="inlineStr">
        <is>
          <t>Off Cabo Maisi</t>
        </is>
      </c>
      <c r="E119" s="66" t="inlineStr">
        <is>
          <t>Off Cabo Maysi</t>
        </is>
      </c>
      <c r="F119" s="66" t="inlineStr">
        <is>
          <t>Cuba</t>
        </is>
      </c>
      <c r="G119" s="66" t="inlineStr">
        <is>
          <t>Confirmed</t>
        </is>
      </c>
      <c r="H119" s="66" t="inlineStr">
        <is>
          <t>New scheme adopted MSC 48 (COLREG.2/Circ.20, 5 Aug 1983), not implemented before 17 March 1984; amended scheme adopted MSC 63 (COLREG.2/Circ.40), implemented 0000 UTC 24 November 1994. Reference charts Instituto Cubano de Hidrografía. Circulars spell 'Cabo Maysi' (Cabo Maisí). No later revocation seen, but current IMO Ships' Routeing edition not consulted.</t>
        </is>
      </c>
      <c r="I119" s="66" t="inlineStr">
        <is>
          <t>In force</t>
        </is>
      </c>
      <c r="J119" s="66" t="n"/>
      <c r="K119" s="66" t="inlineStr">
        <is>
          <t>Unresolved</t>
        </is>
      </c>
      <c r="L119" s="66" t="n"/>
      <c r="M119" s="66" t="inlineStr">
        <is>
          <t>No Cuban VTS covering this scheme was identified; no Cuban maritime authority (MITRANS / Capitanías de Puerto) source was reached.</t>
        </is>
      </c>
      <c r="N119" s="66" t="inlineStr">
        <is>
          <t>Unresolved</t>
        </is>
      </c>
      <c r="O119" s="66" t="n"/>
      <c r="P119" s="66" t="inlineStr">
        <is>
          <t>No IMO-adopted mandatory ship reporting system or Cuban national reporting requirement found for this area; Cuban official sources not accessible through search.</t>
        </is>
      </c>
      <c r="Q119" s="66" t="n"/>
      <c r="R119" s="66" t="inlineStr">
        <is>
          <t>Circ.40 annex includes an inshore traffic zone for this scheme.</t>
        </is>
      </c>
      <c r="S119" s="66" t="inlineStr">
        <is>
          <t>Simple</t>
        </is>
      </c>
      <c r="T119" s="66" t="inlineStr">
        <is>
          <t>Single coastal scheme, no VTS or reporting overlay evidenced.</t>
        </is>
      </c>
      <c r="U119" s="66" t="inlineStr">
        <is>
          <t>SRC-054</t>
        </is>
      </c>
      <c r="V119" s="66" t="inlineStr">
        <is>
          <t>Cuban authority sources (MITRANS, Capitanía de Puerto, GEOCUBA/ICH) not reached; confirm current status in IMO Ships' Routeing and whether any Cuban coastal monitoring or reporting applies.</t>
        </is>
      </c>
      <c r="W119" s="66" t="n"/>
    </row>
    <row r="120" ht="90" customHeight="1" s="63">
      <c r="A120" s="66" t="inlineStr">
        <is>
          <t>TSS-0159</t>
        </is>
      </c>
      <c r="B120" s="66" t="inlineStr">
        <is>
          <t>B32</t>
        </is>
      </c>
      <c r="C120" s="66" t="inlineStr">
        <is>
          <t>G</t>
        </is>
      </c>
      <c r="D120" s="66" t="inlineStr">
        <is>
          <t>In the Approaches to the Port of Veracruz</t>
        </is>
      </c>
      <c r="E120" s="66" t="inlineStr">
        <is>
          <t>In the Approaches to the Port of Veracruz</t>
        </is>
      </c>
      <c r="F120" s="66" t="inlineStr">
        <is>
          <t>Mexico</t>
        </is>
      </c>
      <c r="G120" s="66" t="inlineStr">
        <is>
          <t>Confirmed</t>
        </is>
      </c>
      <c r="H120" s="66" t="inlineStr">
        <is>
          <t>New scheme adopted MSC 66 (COLREG.2/Circ.41, 14 June 1996), implemented 0000 UTC 30 November 1996. Two parts: Part I East Approach and Part II North Approach, both recommended for vessels entering or leaving Veracruz.</t>
        </is>
      </c>
      <c r="I120" s="66" t="inlineStr">
        <is>
          <t>In force</t>
        </is>
      </c>
      <c r="J120" s="66" t="inlineStr">
        <is>
          <t>Part I: East Approach; Part II: North Approach</t>
        </is>
      </c>
      <c r="K120" s="66" t="inlineStr">
        <is>
          <t>Unresolved</t>
        </is>
      </c>
      <c r="L120" s="66" t="inlineStr">
        <is>
          <t>VTS-056</t>
        </is>
      </c>
      <c r="M120" s="66" t="inlineStr">
        <is>
          <t>Lead only: search snippets of Mexican federal budget reports mention a radar at Isla de Sacrificios for the port's maritime traffic control system. The pages could not be retrieved and nothing establishes coverage of the TSS.</t>
        </is>
      </c>
      <c r="N120" s="66" t="inlineStr">
        <is>
          <t>Unresolved</t>
        </is>
      </c>
      <c r="O120" s="66" t="n"/>
      <c r="P120" s="66" t="inlineStr">
        <is>
          <t>No mandatory reporting system found; SEMAR / Capitanía de Puerto sources not located.</t>
        </is>
      </c>
      <c r="Q120" s="66" t="n"/>
      <c r="R120" s="66" t="n"/>
      <c r="S120" s="66" t="inlineStr">
        <is>
          <t>Intermediate</t>
        </is>
      </c>
      <c r="T120" s="66" t="inlineStr">
        <is>
          <t>Two-part port approach scheme; likely port traffic control, unverified.</t>
        </is>
      </c>
      <c r="U120" s="66" t="inlineStr">
        <is>
          <t>SRC-054</t>
        </is>
      </c>
      <c r="V120" s="66" t="inlineStr">
        <is>
          <t>SEMAR (Capitanía de Puerto Veracruz) and APIVER sources on VTS not found; hacienda.gob.mx PDFs returned HTTP 503 or failed TLS verification.</t>
        </is>
      </c>
      <c r="W120" s="66" t="n"/>
    </row>
    <row r="121" ht="90" customHeight="1" s="63">
      <c r="A121" s="66" t="inlineStr">
        <is>
          <t>TSS-0160</t>
        </is>
      </c>
      <c r="B121" s="66" t="inlineStr">
        <is>
          <t>B32</t>
        </is>
      </c>
      <c r="C121" s="66" t="inlineStr">
        <is>
          <t>G</t>
        </is>
      </c>
      <c r="D121" s="66" t="inlineStr">
        <is>
          <t>In the Approaches to Galveston Bay</t>
        </is>
      </c>
      <c r="E121" s="66" t="inlineStr">
        <is>
          <t>In the approaches to Galveston Bay Traffic Separation Scheme and precautionary areas (33 CFR 167.350)</t>
        </is>
      </c>
      <c r="F121" s="66" t="inlineStr">
        <is>
          <t>United States</t>
        </is>
      </c>
      <c r="G121" s="66" t="inlineStr">
        <is>
          <t>Confirmed</t>
        </is>
      </c>
      <c r="H121" s="66" t="inlineStr">
        <is>
          <t>Adopted MSC 48 (COLREG.2/Circ.20, 1983), implementation not before 17 Dec 1983. Codified at 33 CFR 167.350: inshore precautionary area, separation zone, inbound and outbound lanes, offshore precautionary area (29°06.4′N to 29°19.8′N, 94°20.6′W to 94°39.2′W).</t>
        </is>
      </c>
      <c r="I121" s="66" t="inlineStr">
        <is>
          <t>In force</t>
        </is>
      </c>
      <c r="J121" s="66" t="n"/>
      <c r="K121" s="66" t="inlineStr">
        <is>
          <t>Confirmed present</t>
        </is>
      </c>
      <c r="L121" s="66" t="inlineStr">
        <is>
          <t>VTS-013</t>
        </is>
      </c>
      <c r="M121" s="66" t="inlineStr">
        <is>
          <t>33 CFR 161.12 Table 1 gives the Houston-Galveston monitoring area as navigable waters north of 29°00′N, west of 94°20′W, south of 29°49′N, east of 95°20′W, which geographically contains every TSS point. 161.35 VTS area includes the Galveston Bay Entrance Channel and Outer Bar Channel, with reporting point 1 at LB 1C (29°18.2′N 94°37.6′W) inside the TSS inshore precautionary area. Caveat: Note 4 says some monitoring areas extend beyond navigable waters, where watch is not required, so the offshore end may lie outside mandatory coverage.</t>
        </is>
      </c>
      <c r="N121" s="66" t="inlineStr">
        <is>
          <t>Unresolved</t>
        </is>
      </c>
      <c r="O121" s="66" t="n"/>
      <c r="P121" s="66" t="inlineStr">
        <is>
          <t>No SOLAS V/11 or other mandatory ship reporting system found (WHALESNORTH/SOUTH are Atlantic-only per 33 CFR 169). Only ordinary VTS reporting under 33 CFR 161 Subpart B applies, which is not recorded as a separate scheme.</t>
        </is>
      </c>
      <c r="Q121" s="66" t="n"/>
      <c r="R121" s="66" t="inlineStr">
        <is>
          <t>VTS Houston-Galveston: Ch 11 north / Ch 12 south of Exxon Dock #1 line, Ch 5A for sailing plans (Table 1 to 161.12(c)). VTS users per 33 CFR 161.16.</t>
        </is>
      </c>
      <c r="S121" s="66" t="inlineStr">
        <is>
          <t>Intermediate</t>
        </is>
      </c>
      <c r="T121" s="66" t="inlineStr">
        <is>
          <t>TSS within a statutory VTS monitoring area; offshore mandatory-watch limit depends on navigable waters extent.</t>
        </is>
      </c>
      <c r="U121" s="66" t="inlineStr">
        <is>
          <t>SRC-118; SRC-117; SRC-017; SRC-054</t>
        </is>
      </c>
      <c r="V121" s="66" t="inlineStr">
        <is>
          <t>Whether the offshore precautionary area lies within US navigable waters (12 NM territorial sea), and so within mandatory VTS participation, was not calculated from a primary baseline source.</t>
        </is>
      </c>
      <c r="W121" s="66" t="n"/>
    </row>
    <row r="122" ht="90" customHeight="1" s="63">
      <c r="A122" s="66" t="inlineStr">
        <is>
          <t>TSS-0161</t>
        </is>
      </c>
      <c r="B122" s="66" t="inlineStr">
        <is>
          <t>B33</t>
        </is>
      </c>
      <c r="C122" s="66" t="inlineStr">
        <is>
          <t>G</t>
        </is>
      </c>
      <c r="D122" s="66" t="inlineStr">
        <is>
          <t>On the Pacific Coast of Panama</t>
        </is>
      </c>
      <c r="E122" s="66" t="inlineStr">
        <is>
          <t>On the Pacific coast of Panama</t>
        </is>
      </c>
      <c r="F122" s="66" t="inlineStr">
        <is>
          <t>Panama</t>
        </is>
      </c>
      <c r="G122" s="66" t="inlineStr">
        <is>
          <t>Confirmed</t>
        </is>
      </c>
      <c r="H122" s="66" t="inlineStr">
        <is>
          <t>New TSS adopted MSC 93 (COLREG.2/Circ.65, 23 May 2014), implemented 0000 UTC 1 December 2014. Grouped scheme: Part 1 Gulf of Panama, Part 2 Punta Morro de Puercos, Part 3 Off Isla Jicarita, Part 4 inshore traffic zones. A 10 kn seasonal speed restriction (1 Aug to 30 Nov, north of 8°00′N) applies in the Gulf of Panama part (ACP A-24-2026).</t>
        </is>
      </c>
      <c r="I122" s="66" t="inlineStr">
        <is>
          <t>In force</t>
        </is>
      </c>
      <c r="J122" s="66" t="inlineStr">
        <is>
          <t>Part 1: Gulf of Panama; Part 2: Punta Morro de Puercos; Part 3: Off Isla Jicarita; Part 4: Inshore traffic zones (eastern and western)</t>
        </is>
      </c>
      <c r="K122" s="66" t="inlineStr">
        <is>
          <t>Unresolved</t>
        </is>
      </c>
      <c r="L122" s="66" t="inlineStr">
        <is>
          <t>VTS-055</t>
        </is>
      </c>
      <c r="M122" s="66" t="inlineStr">
        <is>
          <t>ACP Flamenco Signal Station coordinates Pacific anchorage entry/exit and harbour movements (N-2-2026). It is not designated a VTS and no source states coverage of the TSS. Parts 2 and 3 are far west of Canal waters.</t>
        </is>
      </c>
      <c r="N122" s="66" t="inlineStr">
        <is>
          <t>Unresolved</t>
        </is>
      </c>
      <c r="O122" s="66" t="n"/>
      <c r="P122" s="66" t="inlineStr">
        <is>
          <t>Applies to Part 1 approach only: vessels must notify Flamenco Signal Station on Ch 12 at 8 NM from the Pacific Sea Buoy ('about 11 Nautical Miles from Flamenco Island'), which is roughly at the northern (inner) end of the Gulf of Panama lanes (8°44.7′N to 8°46′N). Not applicable to Parts 2 and 3.</t>
        </is>
      </c>
      <c r="Q122" s="66" t="n"/>
      <c r="R122" s="66" t="inlineStr">
        <is>
          <t>Seasonal 10 kn whale speed restriction in both Gulf of Panama lanes (ACP A-24-2026). Approach reports to the Panama Canal Authority signal stations are port and canal arrival reporting. Recorded as an applicability note, not as a separate mandatory reporting scheme.</t>
        </is>
      </c>
      <c r="S122" s="66" t="inlineStr">
        <is>
          <t>Complex</t>
        </is>
      </c>
      <c r="T122" s="66" t="inlineStr">
        <is>
          <t>Grouped three-part scheme with inshore zones, seasonal speed restriction and ACP reporting at the Canal approach.</t>
        </is>
      </c>
      <c r="U122" s="66" t="inlineStr">
        <is>
          <t>SRC-132; SRC-133; SRC-134</t>
        </is>
      </c>
      <c r="V122" s="66" t="inlineStr">
        <is>
          <t>Confirm whether AMP operates any coastal VTS covering Parts 2 and 3; confirm exact position of Pacific Sea Buoy relative to TSS northern end.</t>
        </is>
      </c>
      <c r="W122" s="66" t="inlineStr">
        <is>
          <t>reporting_finding: Confirmed present -&gt; Unresolved. Approach reports to the Panama Canal Authority signal stations are port and canal arrival reporting. Recorded as an applicability note, not as a separate mandatory reporting scheme. No separate mandatory scheme evidenced.</t>
        </is>
      </c>
    </row>
    <row r="123" ht="90" customHeight="1" s="63">
      <c r="A123" s="66" t="inlineStr">
        <is>
          <t>TSS-0162</t>
        </is>
      </c>
      <c r="B123" s="66" t="inlineStr">
        <is>
          <t>B33</t>
        </is>
      </c>
      <c r="C123" s="66" t="inlineStr">
        <is>
          <t>G</t>
        </is>
      </c>
      <c r="D123" s="66" t="inlineStr">
        <is>
          <t>In the Approaches to the Cape Fear River</t>
        </is>
      </c>
      <c r="E123" s="66" t="inlineStr">
        <is>
          <t>In the approaches to the Cape Fear River (33 CFR 167.250-252)</t>
        </is>
      </c>
      <c r="F123" s="66" t="inlineStr">
        <is>
          <t>United States</t>
        </is>
      </c>
      <c r="G123" s="66" t="inlineStr">
        <is>
          <t>Confirmed</t>
        </is>
      </c>
      <c r="H123" s="66" t="inlineStr">
        <is>
          <t>New scheme adopted MSC 79 (COLREG.2/Circ.55, 15 Dec 2004), implemented 0000 UTC 1 July 2005. Precautionary area plus TSS (33 CFR 167.251-252). Note: 167.250 text erroneously refers to Narragansett Bay (drafting error in CFR).</t>
        </is>
      </c>
      <c r="I123" s="66" t="inlineStr">
        <is>
          <t>In force</t>
        </is>
      </c>
      <c r="J123" s="66" t="n"/>
      <c r="K123" s="66" t="inlineStr">
        <is>
          <t>Unresolved</t>
        </is>
      </c>
      <c r="L123" s="66" t="n"/>
      <c r="M123" s="66" t="inlineStr">
        <is>
          <t>No USCG VTS is established for this area in 33 CFR 161 Subpart C / Table 1 to 161.12(c), and NAVCEN's VTS list (12 services) does not include one; neither source states it is exhaustive for all VTS types, so not recorded as Confirmed absent.</t>
        </is>
      </c>
      <c r="N123" s="66" t="inlineStr">
        <is>
          <t>Unresolved</t>
        </is>
      </c>
      <c r="O123" s="66" t="n"/>
      <c r="P123" s="66" t="inlineStr">
        <is>
          <t>WHALESNORTH (Cape Cod Bay, Massachusetts Bay, Great South Channel, south limit 41°00′N) and WHALESSOUTH (30°00′N to 31°27′N, shore to 80°51.6′W) do not cover this scheme on 33 CFR 169.105/169.115 coordinates. No other mandatory reporting system found.</t>
        </is>
      </c>
      <c r="Q123" s="66" t="n"/>
      <c r="R123" s="66" t="n"/>
      <c r="S123" s="66" t="inlineStr">
        <is>
          <t>Simple</t>
        </is>
      </c>
      <c r="T123" s="66" t="inlineStr">
        <is>
          <t>Single approach TSS with no VTS or reporting overlay evidenced.</t>
        </is>
      </c>
      <c r="U123" s="66" t="inlineStr">
        <is>
          <t>SRC-118; SRC-117; SRC-127; SRC-017; SRC-054</t>
        </is>
      </c>
      <c r="V123" s="66" t="inlineStr">
        <is>
          <t>Any local Sector North Carolina port reporting practice not researched.</t>
        </is>
      </c>
      <c r="W123" s="66" t="n"/>
    </row>
    <row r="124" ht="90" customHeight="1" s="63">
      <c r="A124" s="66" t="inlineStr">
        <is>
          <t>TSS-0163</t>
        </is>
      </c>
      <c r="B124" s="66" t="inlineStr">
        <is>
          <t>B33</t>
        </is>
      </c>
      <c r="C124" s="66" t="inlineStr">
        <is>
          <t>G</t>
        </is>
      </c>
      <c r="D124" s="66" t="inlineStr">
        <is>
          <t>In the Approaches to Chesapeake Bay</t>
        </is>
      </c>
      <c r="E124" s="66" t="inlineStr">
        <is>
          <t>In the approaches to Chesapeake Bay Traffic Separation Scheme (33 CFR 167.200-203)</t>
        </is>
      </c>
      <c r="F124" s="66" t="inlineStr">
        <is>
          <t>United States</t>
        </is>
      </c>
      <c r="G124" s="66" t="inlineStr">
        <is>
          <t>Confirmed</t>
        </is>
      </c>
      <c r="H124" s="66" t="inlineStr">
        <is>
          <t>Precautionary area, Eastern Approach and Southern Approach with deep-water route for drafts over 12.8 m and naval aircraft carriers; last amended MSC 79 (COLREG.2/Circ.55), implemented 1 July 2005. Early listing in COLREG.2/Circ.5 (1978).</t>
        </is>
      </c>
      <c r="I124" s="66" t="inlineStr">
        <is>
          <t>In force</t>
        </is>
      </c>
      <c r="J124" s="66" t="inlineStr">
        <is>
          <t>Precautionary Area; Eastern Approach; Southern Approach (incl. deep-water route)</t>
        </is>
      </c>
      <c r="K124" s="66" t="inlineStr">
        <is>
          <t>Unresolved</t>
        </is>
      </c>
      <c r="L124" s="66" t="n"/>
      <c r="M124" s="66" t="inlineStr">
        <is>
          <t>No USCG VTS is established for this area in 33 CFR 161 Subpart C / Table 1 to 161.12(c), and NAVCEN's VTS list (12 services) does not include one; neither source states it is exhaustive for all VTS types, so not recorded as Confirmed absent. Confirms the brief's hint: no USCG VTS at Chesapeake.</t>
        </is>
      </c>
      <c r="N124" s="66" t="inlineStr">
        <is>
          <t>Unresolved</t>
        </is>
      </c>
      <c r="O124" s="66" t="n"/>
      <c r="P124" s="66" t="inlineStr">
        <is>
          <t>WHALESNORTH (Cape Cod Bay, Massachusetts Bay, Great South Channel, south limit 41°00′N) and WHALESSOUTH (30°00′N to 31°27′N, shore to 80°51.6′W) do not cover this scheme on 33 CFR 169.105/169.115 coordinates. No other mandatory reporting system found.</t>
        </is>
      </c>
      <c r="Q124" s="66" t="n"/>
      <c r="R124" s="66" t="inlineStr">
        <is>
          <t>Southern Approach lanes for vessels drawing 12.8 m (42 ft) or less; DW route for deeper vessels and naval aircraft carriers (33 CFR 167.200(a)).</t>
        </is>
      </c>
      <c r="S124" s="66" t="inlineStr">
        <is>
          <t>Intermediate</t>
        </is>
      </c>
      <c r="T124" s="66" t="inlineStr">
        <is>
          <t>Three parts with a deep-water route and draught-based lane use.</t>
        </is>
      </c>
      <c r="U124" s="66" t="inlineStr">
        <is>
          <t>SRC-118; SRC-117; SRC-127; SRC-017; SRC-054</t>
        </is>
      </c>
      <c r="V124" s="66" t="inlineStr">
        <is>
          <t>None beyond confirming no local voluntary traffic information service.</t>
        </is>
      </c>
      <c r="W124" s="66" t="n"/>
    </row>
    <row r="125" ht="90" customHeight="1" s="63">
      <c r="A125" s="66" t="inlineStr">
        <is>
          <t>TSS-0164</t>
        </is>
      </c>
      <c r="B125" s="66" t="inlineStr">
        <is>
          <t>B33</t>
        </is>
      </c>
      <c r="C125" s="66" t="inlineStr">
        <is>
          <t>G</t>
        </is>
      </c>
      <c r="D125" s="66" t="inlineStr">
        <is>
          <t>Off Delaware Bay</t>
        </is>
      </c>
      <c r="E125" s="66" t="inlineStr">
        <is>
          <t>Off Delaware Bay Approach Traffic Separation Scheme (33 CFR 167.170-174)</t>
        </is>
      </c>
      <c r="F125" s="66" t="inlineStr">
        <is>
          <t>United States</t>
        </is>
      </c>
      <c r="G125" s="66" t="inlineStr">
        <is>
          <t>Confirmed</t>
        </is>
      </c>
      <c r="H125" s="66" t="inlineStr">
        <is>
          <t>Eastern Approach, Southeastern Approach, Two-Way Traffic Route and Precautionary Area; amended MSC 67 (COLREG.2/Circ.42, 2 Jan 1997), implemented 0000 UTC 3 June 1997.</t>
        </is>
      </c>
      <c r="I125" s="66" t="inlineStr">
        <is>
          <t>In force</t>
        </is>
      </c>
      <c r="J125" s="66" t="inlineStr">
        <is>
          <t>Eastern Approach; Southeastern Approach; Two-Way Traffic Route; Precautionary Area</t>
        </is>
      </c>
      <c r="K125" s="66" t="inlineStr">
        <is>
          <t>Unresolved</t>
        </is>
      </c>
      <c r="L125" s="66" t="inlineStr">
        <is>
          <t>VTS-057</t>
        </is>
      </c>
      <c r="M125" s="66" t="inlineStr">
        <is>
          <t>No USCG VTS is established for this area in 33 CFR 161 Subpart C / Table 1 to 161.12(c), and NAVCEN's VTS list (12 services) does not include one; neither source states it is exhaustive for all VTS types, so not recorded as Confirmed absent. Lead: the Maritime Exchange for the Delaware River and Bay (a trade association) receives vessel position/ETA information via its Cape Henlopen station, per search snippets (not fetched); it is not a USCG VTS.</t>
        </is>
      </c>
      <c r="N125" s="66" t="inlineStr">
        <is>
          <t>Unresolved</t>
        </is>
      </c>
      <c r="O125" s="66" t="n"/>
      <c r="P125" s="66" t="inlineStr">
        <is>
          <t>WHALESNORTH (Cape Cod Bay, Massachusetts Bay, Great South Channel, south limit 41°00′N) and WHALESSOUTH (30°00′N to 31°27′N, shore to 80°51.6′W) do not cover this scheme on 33 CFR 169.105/169.115 coordinates. No mandatory reporting found; Maritime Exchange reporting appears to be by request only (lead).</t>
        </is>
      </c>
      <c r="Q125" s="66" t="inlineStr">
        <is>
          <t>Lead only: vessels in Delaware Bay are 'requested' to pass position/ETA to the Maritime Exchange (search snippet, not fetched).</t>
        </is>
      </c>
      <c r="R125" s="66" t="n"/>
      <c r="S125" s="66" t="inlineStr">
        <is>
          <t>Intermediate</t>
        </is>
      </c>
      <c r="T125" s="66" t="inlineStr">
        <is>
          <t>Four-part scheme; non-statutory port information service in the bay.</t>
        </is>
      </c>
      <c r="U125" s="66" t="inlineStr">
        <is>
          <t>SRC-118; SRC-117; SRC-127; SRC-017; SRC-054</t>
        </is>
      </c>
      <c r="V125" s="66" t="inlineStr">
        <is>
          <t>Fetch Maritime Exchange / USCG Sector Delaware Bay pages to confirm service status.</t>
        </is>
      </c>
      <c r="W125" s="66" t="n"/>
    </row>
    <row r="126" ht="90" customHeight="1" s="63">
      <c r="A126" s="66" t="inlineStr">
        <is>
          <t>TSS-0165</t>
        </is>
      </c>
      <c r="B126" s="66" t="inlineStr">
        <is>
          <t>B33</t>
        </is>
      </c>
      <c r="C126" s="66" t="inlineStr">
        <is>
          <t>G</t>
        </is>
      </c>
      <c r="D126" s="66" t="inlineStr">
        <is>
          <t>Off New York</t>
        </is>
      </c>
      <c r="E126" s="66" t="inlineStr">
        <is>
          <t>Off New York Traffic Separation Scheme and Precautionary Areas (33 CFR 167.150-155)</t>
        </is>
      </c>
      <c r="F126" s="66" t="inlineStr">
        <is>
          <t>United States</t>
        </is>
      </c>
      <c r="G126" s="66" t="inlineStr">
        <is>
          <t>Confirmed</t>
        </is>
      </c>
      <c r="H126" s="66" t="inlineStr">
        <is>
          <t>Circular precautionary area (7 NM radius on 40°27.50′N 73°49.90′W), Eastern approach off Nantucket, Eastern, South-eastern and Southern approaches, plus a junction precautionary area with the Boston TSS; amended MSC 48 (COLREG.2/Circ.20, 1983).</t>
        </is>
      </c>
      <c r="I126" s="66" t="inlineStr">
        <is>
          <t>In force</t>
        </is>
      </c>
      <c r="J126" s="66" t="inlineStr">
        <is>
          <t>Precautionary areas; Eastern approach, off Nantucket; Eastern approach; South-eastern approach; Southern approach</t>
        </is>
      </c>
      <c r="K126" s="66" t="inlineStr">
        <is>
          <t>Unresolved</t>
        </is>
      </c>
      <c r="L126" s="66" t="inlineStr">
        <is>
          <t>VTS-014</t>
        </is>
      </c>
      <c r="M126" s="66" t="inlineStr">
        <is>
          <t>VTS New York exists (33 CFR 161.25; NAVCEN) but its area is bounded to the south by a line connecting the entrance buoys of Ambrose, Swash and Sandy Hook Channels, and its monitoring area (Table 1 to 161.12(c)) has the same seaward limit. The TSS approaches lie well seaward, so the CFR positively excludes the lanes. At most the landward edge of the 7 NM precautionary area may touch the VTS boundary (not verified).</t>
        </is>
      </c>
      <c r="N126" s="66" t="inlineStr">
        <is>
          <t>Unresolved</t>
        </is>
      </c>
      <c r="O126" s="66" t="n"/>
      <c r="P126" s="66" t="inlineStr">
        <is>
          <t>WHALESNORTH (Cape Cod Bay, Massachusetts Bay, Great South Channel, south limit 41°00′N) and WHALESSOUTH (30°00′N to 31°27′N, shore to 80°51.6′W) do not cover this scheme on 33 CFR 169.105/169.115 coordinates. The eastern end of the Nantucket approach (about 40°23′N to 40°37′N) is south of WHALESNORTH's 41°00′N limit. No other mandatory reporting found.</t>
        </is>
      </c>
      <c r="Q126" s="66" t="n"/>
      <c r="R126" s="66" t="n"/>
      <c r="S126" s="66" t="inlineStr">
        <is>
          <t>Complex</t>
        </is>
      </c>
      <c r="T126" s="66" t="inlineStr">
        <is>
          <t>Large multi-approach offshore scheme linked to the Boston TSS; VTS covers only the harbour it leads to.</t>
        </is>
      </c>
      <c r="U126" s="66" t="inlineStr">
        <is>
          <t>SRC-118; SRC-117; SRC-127; SRC-017; SRC-054</t>
        </is>
      </c>
      <c r="V126" s="66" t="inlineStr">
        <is>
          <t>Check on chart whether the Ambrose/Sandy Hook entrance buoy line falls inside the 7 NM precautionary area.</t>
        </is>
      </c>
      <c r="W126" s="66" t="n"/>
    </row>
    <row r="127" ht="90" customHeight="1" s="63">
      <c r="A127" s="66" t="inlineStr">
        <is>
          <t>TSS-0166</t>
        </is>
      </c>
      <c r="B127" s="66" t="inlineStr">
        <is>
          <t>B34</t>
        </is>
      </c>
      <c r="C127" s="66" t="inlineStr">
        <is>
          <t>G</t>
        </is>
      </c>
      <c r="D127" s="66" t="inlineStr">
        <is>
          <t>In the Approaches to Narragansett Bay, Rhode Island and Buzzards Bay, Massachusetts</t>
        </is>
      </c>
      <c r="E127" s="66" t="inlineStr">
        <is>
          <t>In the approaches to Narragansett Bay, RI, and Buzzards Bay, MA (33 CFR 167.100-103)</t>
        </is>
      </c>
      <c r="F127" s="66" t="inlineStr">
        <is>
          <t>United States</t>
        </is>
      </c>
      <c r="G127" s="66" t="inlineStr">
        <is>
          <t>Confirmed</t>
        </is>
      </c>
      <c r="H127" s="66" t="inlineStr">
        <is>
          <t>Two precautionary areas, Narragansett Bay approach and Buzzards Bay approach; amended MSC 48 (COLREG.2/Circ.20, 1983); CFR text last revised USCG-2010-0718 (2010).</t>
        </is>
      </c>
      <c r="I127" s="66" t="inlineStr">
        <is>
          <t>In force</t>
        </is>
      </c>
      <c r="J127" s="66" t="inlineStr">
        <is>
          <t>Precautionary areas (2); Narragansett Bay approach; Buzzards Bay approach</t>
        </is>
      </c>
      <c r="K127" s="66" t="inlineStr">
        <is>
          <t>Unresolved</t>
        </is>
      </c>
      <c r="L127" s="66" t="n"/>
      <c r="M127" s="66" t="inlineStr">
        <is>
          <t>No USCG VTS is established for this area in 33 CFR 161 Subpart C / Table 1 to 161.12(c), and NAVCEN's VTS list (12 services) does not include one; neither source states it is exhaustive for all VTS types, so not recorded as Confirmed absent. Buzzards Bay has a VMRS ('Buzzards Bay Control', Ch 11), defined in 33 CFR 161.2 as a mandatory reporting system, not a VTS.</t>
        </is>
      </c>
      <c r="N127" s="66" t="inlineStr">
        <is>
          <t>Confirmed present</t>
        </is>
      </c>
      <c r="O127" s="66" t="inlineStr">
        <is>
          <t>SRS-027</t>
        </is>
      </c>
      <c r="P127" s="66" t="inlineStr">
        <is>
          <t>33 CFR 161 VMRS Buzzards Bay covers waters east and north of the line Sakonnet Point, Buzzards Bay Entrance Light, Cuttyhunk Island. The Buzzards Bay approach separation zone ends at 41°21.80′N 71°07.10′W, about 3.5 NM south of that line (own calculation), so the VMRS applies in the waters the lane leads into, not in the TSS. Not applicable to the Narragansett approach. WHALESNORTH does not extend this far west.</t>
        </is>
      </c>
      <c r="Q127" s="66" t="n"/>
      <c r="R127" s="66" t="inlineStr">
        <is>
          <t>VMRS Buzzards Bay also applies to any vessel required to carry a bridge-to-bridge radiotelephone (note 5 to Table 1 to 161.12(c)). Navy torpedo-range restricted area note in 167.103.</t>
        </is>
      </c>
      <c r="S127" s="66" t="inlineStr">
        <is>
          <t>Intermediate</t>
        </is>
      </c>
      <c r="T127" s="66" t="inlineStr">
        <is>
          <t>Two-branch scheme; mandatory VMRS at inner end of one branch; naval restricted area note.</t>
        </is>
      </c>
      <c r="U127" s="66" t="inlineStr">
        <is>
          <t>SRC-118; SRC-117; SRC-127; SRC-054</t>
        </is>
      </c>
      <c r="V127" s="66" t="inlineStr">
        <is>
          <t>Editorial decision needed: whether approach-only VMRS applicability should count as 'Confirmed present' for this TSS.</t>
        </is>
      </c>
      <c r="W127" s="66" t="n"/>
    </row>
    <row r="128" ht="90" customHeight="1" s="63">
      <c r="A128" s="66" t="inlineStr">
        <is>
          <t>TSS-0167</t>
        </is>
      </c>
      <c r="B128" s="66" t="inlineStr">
        <is>
          <t>B34</t>
        </is>
      </c>
      <c r="C128" s="66" t="inlineStr">
        <is>
          <t>G</t>
        </is>
      </c>
      <c r="D128" s="66" t="inlineStr">
        <is>
          <t>In the Approaches to Boston, Massachusetts</t>
        </is>
      </c>
      <c r="E128" s="66" t="inlineStr">
        <is>
          <t>In the approach to Boston, MA (33 CFR 167.75-77)</t>
        </is>
      </c>
      <c r="F128" s="66" t="inlineStr">
        <is>
          <t>United States</t>
        </is>
      </c>
      <c r="G128" s="66" t="inlineStr">
        <is>
          <t>Confirmed</t>
        </is>
      </c>
      <c r="H128" s="66" t="inlineStr">
        <is>
          <t>Two precautionary areas (Boston approach 6.17 NM radius on 42°22.71′N 70°46.97′W; junction with Off New York TSS near 40°35′N 69°00′W) and a TSS. Amended MSC 48 (COLREG.2/Circ.20), and again at MSC 82 (2006) and MSC 85 (2008) per circulars in S14 (circular numbers not captured).</t>
        </is>
      </c>
      <c r="I128" s="66" t="inlineStr">
        <is>
          <t>In force</t>
        </is>
      </c>
      <c r="J128" s="66" t="inlineStr">
        <is>
          <t>Precautionary area off Boston; Junction precautionary area with Off New York TSS; Traffic separation scheme</t>
        </is>
      </c>
      <c r="K128" s="66" t="inlineStr">
        <is>
          <t>Unresolved</t>
        </is>
      </c>
      <c r="L128" s="66" t="n"/>
      <c r="M128" s="66" t="inlineStr">
        <is>
          <t>No USCG VTS is established for this area in 33 CFR 161 Subpart C / Table 1 to 161.12(c), and NAVCEN's VTS list (12 services) does not include one; neither source states it is exhaustive for all VTS types, so not recorded as Confirmed absent.</t>
        </is>
      </c>
      <c r="N128" s="66" t="inlineStr">
        <is>
          <t>Confirmed present</t>
        </is>
      </c>
      <c r="O128" s="66" t="inlineStr">
        <is>
          <t>SRS-025</t>
        </is>
      </c>
      <c r="P128" s="66" t="inlineStr">
        <is>
          <t>WHALESNORTH (33 CFR 169.105) covers Massachusetts Bay and the Great South Channel down to 41°00′N. From the 167.76/167.77 coordinates, the Boston precautionary area and the lanes from 42°20′N down to 41°00′N lie inside the area (own geometry check); the southern part and the junction precautionary area (south of 41°00′N) are outside. Year-round system; self-propelled ships of 300 GT or more report on entry.</t>
        </is>
      </c>
      <c r="Q128" s="66" t="n"/>
      <c r="R128" s="66" t="inlineStr">
        <is>
          <t>WHALESNORTH: self-propelled ships of 300 GT or more, except SOLAS V/8-1(c) government ships; report once on entering the area (33 CFR 169.125, 169.130).</t>
        </is>
      </c>
      <c r="S128" s="66" t="inlineStr">
        <is>
          <t>Intermediate</t>
        </is>
      </c>
      <c r="T128" s="66" t="inlineStr">
        <is>
          <t>Long TSS partly within an IMO mandatory ship reporting system; no VTS.</t>
        </is>
      </c>
      <c r="U128" s="66" t="inlineStr">
        <is>
          <t>SRC-118; SRC-117; SRC-127; SRC-017; SRC-054</t>
        </is>
      </c>
      <c r="V128" s="66" t="inlineStr">
        <is>
          <t>Confirm IMO resolution number for WHALESNORTH/WHALESSOUTH (not cited in 33 CFR 169).</t>
        </is>
      </c>
      <c r="W128" s="66" t="n"/>
    </row>
    <row r="129" ht="90" customHeight="1" s="63">
      <c r="A129" s="66" t="inlineStr">
        <is>
          <t>TSS-0168</t>
        </is>
      </c>
      <c r="B129" s="66" t="inlineStr">
        <is>
          <t>B34</t>
        </is>
      </c>
      <c r="C129" s="66" t="inlineStr">
        <is>
          <t>G</t>
        </is>
      </c>
      <c r="D129" s="66" t="inlineStr">
        <is>
          <t>In the Approaches to Portland, Maine</t>
        </is>
      </c>
      <c r="E129" s="66" t="inlineStr">
        <is>
          <t>In the approaches to Portland, ME (33 CFR 167.50-53)</t>
        </is>
      </c>
      <c r="F129" s="66" t="inlineStr">
        <is>
          <t>United States</t>
        </is>
      </c>
      <c r="G129" s="66" t="inlineStr">
        <is>
          <t>Confirmed</t>
        </is>
      </c>
      <c r="H129" s="66" t="inlineStr">
        <is>
          <t>Precautionary area (5.45 NM radius on 43°31.60′N 70°05.53′W), Eastern approach and Southern approach; listed in early circular COLREG.2/Circ.5 (1978); CFR text revised USCG-2010-0718.</t>
        </is>
      </c>
      <c r="I129" s="66" t="inlineStr">
        <is>
          <t>In force</t>
        </is>
      </c>
      <c r="J129" s="66" t="inlineStr">
        <is>
          <t>Precautionary area; Eastern approach; Southern approach</t>
        </is>
      </c>
      <c r="K129" s="66" t="inlineStr">
        <is>
          <t>Unresolved</t>
        </is>
      </c>
      <c r="L129" s="66" t="n"/>
      <c r="M129" s="66" t="inlineStr">
        <is>
          <t>No USCG VTS is established for this area in 33 CFR 161 Subpart C / Table 1 to 161.12(c), and NAVCEN's VTS list (12 services) does not include one; neither source states it is exhaustive for all VTS types, so not recorded as Confirmed absent.</t>
        </is>
      </c>
      <c r="N129" s="66" t="inlineStr">
        <is>
          <t>Unresolved</t>
        </is>
      </c>
      <c r="O129" s="66" t="n"/>
      <c r="P129" s="66" t="inlineStr">
        <is>
          <t>Portland TSS lies at about 43°07′N to 43°32′N, north of WHALESNORTH's northern boundary (42°39′N to 42°45′N), so WHALESNORTH does not apply. No other mandatory reporting found.</t>
        </is>
      </c>
      <c r="Q129" s="66" t="n"/>
      <c r="R129" s="66" t="n"/>
      <c r="S129" s="66" t="inlineStr">
        <is>
          <t>Simple</t>
        </is>
      </c>
      <c r="T129" s="66" t="inlineStr">
        <is>
          <t>Small port approach scheme; no overlay evidenced.</t>
        </is>
      </c>
      <c r="U129" s="66" t="inlineStr">
        <is>
          <t>SRC-118; SRC-117; SRC-127; SRC-017; SRC-054</t>
        </is>
      </c>
      <c r="V129" s="66" t="inlineStr">
        <is>
          <t>None.</t>
        </is>
      </c>
      <c r="W129" s="66" t="n"/>
    </row>
    <row r="130" ht="90" customHeight="1" s="63">
      <c r="A130" s="66" t="inlineStr">
        <is>
          <t>TSS-0169</t>
        </is>
      </c>
      <c r="B130" s="66" t="inlineStr">
        <is>
          <t>B34</t>
        </is>
      </c>
      <c r="C130" s="66" t="inlineStr">
        <is>
          <t>G</t>
        </is>
      </c>
      <c r="D130" s="66" t="inlineStr">
        <is>
          <t>In the Bay of Fundy and approaches</t>
        </is>
      </c>
      <c r="E130" s="66" t="inlineStr">
        <is>
          <t>In the Bay of Fundy and Approaches</t>
        </is>
      </c>
      <c r="F130" s="66" t="inlineStr">
        <is>
          <t>Canada</t>
        </is>
      </c>
      <c r="G130" s="66" t="inlineStr">
        <is>
          <t>Confirmed</t>
        </is>
      </c>
      <c r="H130" s="66" t="inlineStr">
        <is>
          <t>Listed by CCG NOTMAR as a compulsory Canadian routeing system adopted by IMO (ref. charts 4010, 4011, 4012, 4116). Original scheme adopted early 1980s (not effective before 1 June 1983); amended MSC 76 (COLREG.2/Circ.52, 6 Jan 2003), implemented 0000 UTC 1 July 2003; amended scheme has two parts.</t>
        </is>
      </c>
      <c r="I130" s="66" t="inlineStr">
        <is>
          <t>In force</t>
        </is>
      </c>
      <c r="J130" s="66" t="inlineStr">
        <is>
          <t>Part I; Part II</t>
        </is>
      </c>
      <c r="K130" s="66" t="inlineStr">
        <is>
          <t>Confirmed present</t>
        </is>
      </c>
      <c r="L130" s="66" t="inlineStr">
        <is>
          <t>VTS-052</t>
        </is>
      </c>
      <c r="M130" s="66" t="inlineStr">
        <is>
          <t>Bay of Fundy Local Eastern VTS Zone (SOR/2025-275 Sch. 3 item 7). RAMN Part 3 calling-in points for 'Fundy Traffic' include 'Southwest entrance to traffic separation scheme' (1A/1B), entrance/exit (4E) and north exit/entrance (5A/5B), so the TSS lies within the zone.</t>
        </is>
      </c>
      <c r="N130" s="66" t="inlineStr">
        <is>
          <t>Unresolved</t>
        </is>
      </c>
      <c r="O130" s="66" t="n"/>
      <c r="P130" s="66" t="inlineStr">
        <is>
          <t>SOR/2025-275 Part 4 (Local Eastern VTS Zones): sailing plan 24 h before entry from outside Canadian waters, sailing plan 15 min before entry, position reports at calling-in points, final and deviation reports. National mandatory reporting (successor to ECAREG/SOR/89-99), not IMO-adopted.</t>
        </is>
      </c>
      <c r="Q130" s="66" t="n"/>
      <c r="R130" s="66" t="inlineStr">
        <is>
          <t>Applies to vessels of 300 GT or more, tow/push combinations of 500 GT or more, and vessels carrying pollutants or dangerous goods; Part 4 reports also apply to vessels of 20 m or more (excluding pleasure craft under 30 m and small fishing vessels) and certain tows. Canadian modification to COLREG Rule 10 requires power-driven vessels over 20 m to use the scheme. Reporting under the Canadian Vessel Traffic Services Zones Regulations (SOR/2025-275) is the reporting duty of the VTS zone. Recorded under the Fundy Traffic and Canso Traffic services.</t>
        </is>
      </c>
      <c r="S130" s="66" t="inlineStr">
        <is>
          <t>Intermediate</t>
        </is>
      </c>
      <c r="T130" s="66" t="inlineStr">
        <is>
          <t>Two-part compulsory scheme inside a three-sector VTS zone with statutory reporting.</t>
        </is>
      </c>
      <c r="U130" s="66" t="inlineStr">
        <is>
          <t>SRC-116; SRC-129; SRC-130; SRC-131; SRC-054; SRC-128; SRC-136</t>
        </is>
      </c>
      <c r="V130" s="66" t="inlineStr">
        <is>
          <t>Part of the approach near the Canada/US boundary: confirm whether any TSS portion lies in US waters outside the zone.</t>
        </is>
      </c>
      <c r="W130" s="66" t="inlineStr">
        <is>
          <t>reporting_finding: Confirmed present -&gt; Unresolved. Reporting under the Canadian Vessel Traffic Services Zones Regulations (SOR/2025-275) is the reporting duty of the VTS zone. Recorded under the Fundy Traffic and Canso Traffic services. No separate mandatory scheme evidenced.</t>
        </is>
      </c>
    </row>
    <row r="131" ht="90" customHeight="1" s="63">
      <c r="A131" s="66" t="inlineStr">
        <is>
          <t>TSS-0170</t>
        </is>
      </c>
      <c r="B131" s="66" t="inlineStr">
        <is>
          <t>B34</t>
        </is>
      </c>
      <c r="C131" s="66" t="inlineStr">
        <is>
          <t>G</t>
        </is>
      </c>
      <c r="D131" s="66" t="inlineStr">
        <is>
          <t>In the Approaches to Chedabucto Bay</t>
        </is>
      </c>
      <c r="E131" s="66" t="inlineStr">
        <is>
          <t>In the Approaches to Chedabucto Bay</t>
        </is>
      </c>
      <c r="F131" s="66" t="inlineStr">
        <is>
          <t>Canada</t>
        </is>
      </c>
      <c r="G131" s="66" t="inlineStr">
        <is>
          <t>Confirmed</t>
        </is>
      </c>
      <c r="H131" s="66" t="inlineStr">
        <is>
          <t>Listed by CCG NOTMAR as a compulsory Canadian routeing system adopted by IMO (ref. charts 4013, 4233, 4301, 4321, 4335, 4374). Amended MSC 83 (COLREG.2/Circ.59), implemented 0000 UTC 1 May 2008; three parts.</t>
        </is>
      </c>
      <c r="I131" s="66" t="inlineStr">
        <is>
          <t>In force</t>
        </is>
      </c>
      <c r="J131" s="66" t="inlineStr">
        <is>
          <t>Part I; Part II; Part III</t>
        </is>
      </c>
      <c r="K131" s="66" t="inlineStr">
        <is>
          <t>Confirmed present</t>
        </is>
      </c>
      <c r="L131" s="66" t="inlineStr">
        <is>
          <t>VTS-053</t>
        </is>
      </c>
      <c r="M131" s="66" t="inlineStr">
        <is>
          <t>Strait of Canso and Eastern Approaches Local Eastern VTS Zone (SOR/2025-275 Sch. 3 item 5), bounded seaward by the territorial sea limit. RAMN Table 3-24 'Canso Traffic' calling-in points include 'Entrance to inbound traffic lane' (1A, 1C), 'Exit from outbound traffic lane' (1B, 1D, 1E) and lane points 2A/2B, 3A/3B, so the TSS is within or at the zone boundary.</t>
        </is>
      </c>
      <c r="N131" s="66" t="inlineStr">
        <is>
          <t>Unresolved</t>
        </is>
      </c>
      <c r="O131" s="66" t="n"/>
      <c r="P131" s="66" t="inlineStr">
        <is>
          <t>SOR/2025-275 Part 4 Local Eastern VTS Zone reporting (24 h pre-entry sailing plan from outside Canadian waters, 15 min pre-entry sailing plan, calling-in-point position reports, final reports). National mandatory, not IMO-adopted.</t>
        </is>
      </c>
      <c r="Q131" s="66" t="n"/>
      <c r="R131" s="66" t="inlineStr">
        <is>
          <t>As for Bay of Fundy (SOR/2025-275 ss 3 and 24). Parts of the TSS seaward of the territorial sea limit may fall within the Eastern VTS Zone (Schedule 2) instead. Reporting under the Canadian Vessel Traffic Services Zones Regulations (SOR/2025-275) is the reporting duty of the VTS zone. Recorded under the Fundy Traffic and Canso Traffic services.</t>
        </is>
      </c>
      <c r="S131" s="66" t="inlineStr">
        <is>
          <t>Intermediate</t>
        </is>
      </c>
      <c r="T131" s="66" t="inlineStr">
        <is>
          <t>Compulsory scheme at the edge of a local VTS zone; zone boundary follows the territorial sea limit through the lanes.</t>
        </is>
      </c>
      <c r="U131" s="66" t="inlineStr">
        <is>
          <t>SRC-116; SRC-129; SRC-130; SRC-131; SRC-054; SRC-128; SRC-136</t>
        </is>
      </c>
      <c r="V131" s="66" t="inlineStr">
        <is>
          <t>Exact split of the TSS between the Local Zone and the Eastern VTS Zone at the territorial sea limit.</t>
        </is>
      </c>
      <c r="W131" s="66" t="inlineStr">
        <is>
          <t>reporting_finding: Confirmed present -&gt; Unresolved. Reporting under the Canadian Vessel Traffic Services Zones Regulations (SOR/2025-275) is the reporting duty of the VTS zone. Recorded under the Fundy Traffic and Canso Traffic services. No separate mandatory scheme evidenced.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63"/>
  <sheetViews>
    <sheetView workbookViewId="0">
      <selection activeCell="A1" sqref="A1"/>
    </sheetView>
  </sheetViews>
  <sheetFormatPr baseColWidth="8" defaultRowHeight="15"/>
  <cols>
    <col width="14" customWidth="1" style="63" min="1" max="1"/>
    <col width="24" customWidth="1" style="63" min="2" max="2"/>
    <col width="34" customWidth="1" style="63" min="3" max="3"/>
    <col width="28" customWidth="1" style="63" min="4" max="4"/>
    <col width="28" customWidth="1" style="63" min="5" max="5"/>
    <col width="28" customWidth="1" style="63" min="6" max="6"/>
    <col width="43" customWidth="1" style="63" min="7" max="7"/>
    <col width="28" customWidth="1" style="63" min="8" max="8"/>
    <col width="20" customWidth="1" style="63" min="9" max="9"/>
    <col width="46" customWidth="1" style="63" min="10" max="10"/>
    <col width="46" customWidth="1" style="63" min="11" max="11"/>
    <col width="15" customWidth="1" style="63" min="12" max="12"/>
  </cols>
  <sheetData>
    <row r="1" ht="23" customHeight="1" s="63">
      <c r="A1" s="47" t="inlineStr">
        <is>
          <t>VTS SERVICE REGISTER</t>
        </is>
      </c>
      <c r="B1" s="1" t="n"/>
      <c r="C1" s="1" t="n"/>
      <c r="D1" s="1" t="n"/>
      <c r="E1" s="1" t="n"/>
      <c r="F1" s="1" t="n"/>
      <c r="G1" s="1" t="n"/>
      <c r="H1" s="1" t="n"/>
    </row>
    <row r="2" ht="23" customHeight="1" s="63">
      <c r="A2" s="1" t="n"/>
      <c r="B2" s="1" t="n"/>
      <c r="C2" s="1" t="n"/>
      <c r="D2" s="1" t="n"/>
      <c r="E2" s="1" t="n"/>
      <c r="F2" s="1" t="n"/>
      <c r="G2" s="1" t="n"/>
      <c r="H2" s="1" t="n"/>
    </row>
    <row r="3" ht="21" customHeight="1" s="63">
      <c r="A3" s="15" t="inlineStr">
        <is>
          <t>Version 0.3 | 29 September 2026 | VTS Services. Reconciled register; see Audit Findings and Overview for limits.</t>
        </is>
      </c>
      <c r="B3" s="1" t="n"/>
      <c r="C3" s="1" t="n"/>
      <c r="D3" s="1" t="n"/>
      <c r="E3" s="1" t="n"/>
      <c r="F3" s="1" t="n"/>
      <c r="G3" s="1" t="n"/>
      <c r="H3" s="1" t="n"/>
    </row>
    <row r="4" ht="21" customHeight="1" s="63">
      <c r="A4" s="1" t="n"/>
      <c r="B4" s="1" t="n"/>
      <c r="C4" s="1" t="n"/>
      <c r="D4" s="1" t="n"/>
      <c r="E4" s="1" t="n"/>
      <c r="F4" s="1" t="n"/>
      <c r="G4" s="1" t="n"/>
      <c r="H4" s="1" t="n"/>
    </row>
    <row r="6" ht="34" customHeight="1" s="63">
      <c r="A6" s="65" t="inlineStr">
        <is>
          <t>Service ID</t>
        </is>
      </c>
      <c r="B6" s="65" t="inlineStr">
        <is>
          <t>Service name</t>
        </is>
      </c>
      <c r="C6" s="65" t="inlineStr">
        <is>
          <t>Area label</t>
        </is>
      </c>
      <c r="D6" s="65" t="inlineStr">
        <is>
          <t>Authority / jurisdiction</t>
        </is>
      </c>
      <c r="E6" s="65" t="inlineStr">
        <is>
          <t>Centre / sectors</t>
        </is>
      </c>
      <c r="F6" s="65" t="inlineStr">
        <is>
          <t>Scope</t>
        </is>
      </c>
      <c r="G6" s="65" t="inlineStr">
        <is>
          <t>Evidence status</t>
        </is>
      </c>
      <c r="H6" s="65" t="inlineStr">
        <is>
          <t>Confirmed area count</t>
        </is>
      </c>
      <c r="I6" s="65" t="inlineStr">
        <is>
          <t>Source IDs</t>
        </is>
      </c>
      <c r="J6" s="65" t="inlineStr">
        <is>
          <t>Source URLs</t>
        </is>
      </c>
      <c r="K6" s="65" t="inlineStr">
        <is>
          <t>Counting / review note</t>
        </is>
      </c>
      <c r="L6" s="65" t="inlineStr">
        <is>
          <t>Accessed</t>
        </is>
      </c>
    </row>
    <row r="7" ht="160.5" customHeight="1" s="63">
      <c r="A7" s="66" t="inlineStr">
        <is>
          <t>VTS-001</t>
        </is>
      </c>
      <c r="B7" s="66" t="inlineStr">
        <is>
          <t>Channel VTS</t>
        </is>
      </c>
      <c r="C7" s="66" t="inlineStr">
        <is>
          <t>Dover Strait</t>
        </is>
      </c>
      <c r="D7" s="66" t="inlineStr">
        <is>
          <t>Joint UK–France service</t>
        </is>
      </c>
      <c r="E7" s="66" t="inlineStr">
        <is>
          <t>Two operating centres: Dover and Gris-Nez</t>
        </is>
      </c>
      <c r="F7" s="66" t="inlineStr">
        <is>
          <t>Core TSS screen</t>
        </is>
      </c>
      <c r="G7" s="66" t="inlineStr">
        <is>
          <t>Service described by authority; detailed boundary review pending</t>
        </is>
      </c>
      <c r="H7" s="66" t="inlineStr">
        <is>
          <t>Not assigned</t>
        </is>
      </c>
      <c r="I7" s="66" t="inlineStr">
        <is>
          <t>SRC-004; SRC-005</t>
        </is>
      </c>
      <c r="J7" s="67" t="inlineStr">
        <is>
          <t>https://www.gov.uk/government/publications/dover-strait-crossings-channel-navigation-information-service/dover-strait-crossings-channel-navigation-information-service-cnis
https://www.gov.uk/government/publications/mgn-364-mf-amendment-2-navigation-safety-traffic-separation-schemes-application-of-rule-10-and-navigation-in-the-dover-strait/mgn-364-mf-amendment-2-navigation-safety-traffic-separation-schemes-application-of-rule-10-and-navigation-in-the-dover-strait</t>
        </is>
      </c>
      <c r="K7" s="66" t="inlineStr">
        <is>
          <t>One joint service record, not two guide entries merely because two centres operate.</t>
        </is>
      </c>
      <c r="L7" s="66" t="inlineStr">
        <is>
          <t>2026-09-29</t>
        </is>
      </c>
    </row>
    <row r="8" ht="66" customHeight="1" s="63">
      <c r="A8" s="70" t="inlineStr">
        <is>
          <t>VTS-002</t>
        </is>
      </c>
      <c r="B8" s="70" t="inlineStr">
        <is>
          <t>Great Belt VTS</t>
        </is>
      </c>
      <c r="C8" s="70" t="inlineStr">
        <is>
          <t>Great Belt</t>
        </is>
      </c>
      <c r="D8" s="70" t="inlineStr">
        <is>
          <t>Denmark</t>
        </is>
      </c>
      <c r="E8" s="70" t="inlineStr">
        <is>
          <t>Korsør; two reporting sectors</t>
        </is>
      </c>
      <c r="F8" s="70" t="inlineStr">
        <is>
          <t>Core TSS screen</t>
        </is>
      </c>
      <c r="G8" s="70" t="inlineStr">
        <is>
          <t>Service described by authority; individual TSS links proposed</t>
        </is>
      </c>
      <c r="H8" s="70" t="inlineStr">
        <is>
          <t>Not assigned</t>
        </is>
      </c>
      <c r="I8" s="70" t="inlineStr">
        <is>
          <t>SRC-008; SRC-015</t>
        </is>
      </c>
      <c r="J8" s="71" t="inlineStr">
        <is>
          <t>https://www.forsvaret.dk/da/organisation/soevaernet/civile-opgaver/beltrep/
https://www.forsvaret.dk/da/organisation/soevaernet/nationalt-maritimt-operationscenter/vts/</t>
        </is>
      </c>
      <c r="K8" s="70" t="inlineStr">
        <is>
          <t>BELTREP service. Resolve both TSS associations and sector boundaries.</t>
        </is>
      </c>
      <c r="L8" s="70" t="inlineStr">
        <is>
          <t>2026-09-29</t>
        </is>
      </c>
    </row>
    <row r="9" ht="93" customHeight="1" s="63">
      <c r="A9" s="66" t="inlineStr">
        <is>
          <t>VTS-003</t>
        </is>
      </c>
      <c r="B9" s="66" t="inlineStr">
        <is>
          <t>Sound VTS</t>
        </is>
      </c>
      <c r="C9" s="66" t="inlineStr">
        <is>
          <t>The Sound / Øresund</t>
        </is>
      </c>
      <c r="D9" s="66" t="inlineStr">
        <is>
          <t>Joint Sweden–Denmark service</t>
        </is>
      </c>
      <c r="E9" s="66" t="inlineStr">
        <is>
          <t>Joint centre at Malmö</t>
        </is>
      </c>
      <c r="F9" s="66" t="inlineStr">
        <is>
          <t>Core TSS screen</t>
        </is>
      </c>
      <c r="G9" s="66" t="inlineStr">
        <is>
          <t>Service described by authority; individual TSS links proposed</t>
        </is>
      </c>
      <c r="H9" s="66" t="inlineStr">
        <is>
          <t>Not assigned</t>
        </is>
      </c>
      <c r="I9" s="66" t="inlineStr">
        <is>
          <t>SRC-009; SRC-010</t>
        </is>
      </c>
      <c r="J9" s="67" t="inlineStr">
        <is>
          <t>https://www.sjofartsverket.se/en/services/maritime-traffic-information/soundrep/soundrep-information/about-soundrep/
https://www.transportstyrelsen.se/sv/sjofart/sjotrafik-och-hamnar/sjotrafikrapporteringssystem-srs/</t>
        </is>
      </c>
      <c r="K9" s="66" t="inlineStr">
        <is>
          <t>SOUNDREP service. Check rules effective 1 October 2026 before any later operational drafting.</t>
        </is>
      </c>
      <c r="L9" s="66" t="inlineStr">
        <is>
          <t>2026-09-29</t>
        </is>
      </c>
    </row>
    <row r="10" ht="79.5" customHeight="1" s="63">
      <c r="A10" s="70" t="inlineStr">
        <is>
          <t>VTS-004</t>
        </is>
      </c>
      <c r="B10" s="70" t="inlineStr">
        <is>
          <t>Klang VTS</t>
        </is>
      </c>
      <c r="C10" s="70" t="inlineStr">
        <is>
          <t>STRAITREP sectors 1–5</t>
        </is>
      </c>
      <c r="D10" s="70" t="inlineStr">
        <is>
          <t>Malaysia</t>
        </is>
      </c>
      <c r="E10" s="70" t="inlineStr">
        <is>
          <t>Five STRAITREP sectors</t>
        </is>
      </c>
      <c r="F10" s="70" t="inlineStr">
        <is>
          <t>Core TSS screen</t>
        </is>
      </c>
      <c r="G10" s="70" t="inlineStr">
        <is>
          <t>Service and sector allocation evidenced; TSS segment mapping pending</t>
        </is>
      </c>
      <c r="H10" s="70" t="inlineStr">
        <is>
          <t>Not assigned</t>
        </is>
      </c>
      <c r="I10" s="70" t="inlineStr">
        <is>
          <t>SRC-006; SRC-007; SRC-083; SRC-084</t>
        </is>
      </c>
      <c r="J10" s="71" t="inlineStr">
        <is>
          <t>https://www.mpa.gov.sg/port-marine-ops/operations/vessel-traffic-information-system
https://www.mpa.gov.sg/port-marine-ops/operations/vessel-traffic-information-system/operational-areas</t>
        </is>
      </c>
      <c r="K10" s="70" t="inlineStr">
        <is>
          <t>Do not count each sector as a separate VTS or assume every TSS segment is within this service. Stage 4 (B10 to B34) checked TSS coverage; see Stage 4 Findings.</t>
        </is>
      </c>
      <c r="L10" s="70" t="inlineStr">
        <is>
          <t>2026-09-29</t>
        </is>
      </c>
    </row>
    <row r="11" ht="79.5" customHeight="1" s="63">
      <c r="A11" s="66" t="inlineStr">
        <is>
          <t>VTS-005</t>
        </is>
      </c>
      <c r="B11" s="66" t="inlineStr">
        <is>
          <t>Johor VTS</t>
        </is>
      </c>
      <c r="C11" s="66" t="inlineStr">
        <is>
          <t>STRAITREP sector 6</t>
        </is>
      </c>
      <c r="D11" s="66" t="inlineStr">
        <is>
          <t>Malaysia</t>
        </is>
      </c>
      <c r="E11" s="66" t="inlineStr">
        <is>
          <t>One STRAITREP sector</t>
        </is>
      </c>
      <c r="F11" s="66" t="inlineStr">
        <is>
          <t>Core TSS screen</t>
        </is>
      </c>
      <c r="G11" s="66" t="inlineStr">
        <is>
          <t>Service and sector allocation evidenced; TSS segment mapping pending</t>
        </is>
      </c>
      <c r="H11" s="66" t="inlineStr">
        <is>
          <t>Not assigned</t>
        </is>
      </c>
      <c r="I11" s="66" t="inlineStr">
        <is>
          <t>SRC-006; SRC-007; SRC-083; SRC-084; SRC-094</t>
        </is>
      </c>
      <c r="J11" s="67" t="inlineStr">
        <is>
          <t>https://www.mpa.gov.sg/port-marine-ops/operations/vessel-traffic-information-system
https://www.mpa.gov.sg/port-marine-ops/operations/vessel-traffic-information-system/operational-areas</t>
        </is>
      </c>
      <c r="K11" s="66" t="inlineStr">
        <is>
          <t>Shared reporting scheme with Klang and Singapore; retain as a separate service record. Stage 4 (B10 to B34) checked TSS coverage; see Stage 4 Findings.</t>
        </is>
      </c>
      <c r="L11" s="66" t="inlineStr">
        <is>
          <t>2026-09-29</t>
        </is>
      </c>
    </row>
    <row r="12" ht="79.5" customHeight="1" s="63">
      <c r="A12" s="70" t="inlineStr">
        <is>
          <t>VTS-006</t>
        </is>
      </c>
      <c r="B12" s="70" t="inlineStr">
        <is>
          <t>Singapore VTS</t>
        </is>
      </c>
      <c r="C12" s="70" t="inlineStr">
        <is>
          <t>STRAITREP sectors 7–9</t>
        </is>
      </c>
      <c r="D12" s="70" t="inlineStr">
        <is>
          <t>Singapore</t>
        </is>
      </c>
      <c r="E12" s="70" t="inlineStr">
        <is>
          <t>Three STRAITREP sectors</t>
        </is>
      </c>
      <c r="F12" s="70" t="inlineStr">
        <is>
          <t>Core TSS screen</t>
        </is>
      </c>
      <c r="G12" s="70" t="inlineStr">
        <is>
          <t>Service and sector allocation evidenced; TSS segment mapping pending</t>
        </is>
      </c>
      <c r="H12" s="70" t="inlineStr">
        <is>
          <t>Not assigned</t>
        </is>
      </c>
      <c r="I12" s="70" t="inlineStr">
        <is>
          <t>SRC-006; SRC-007; SRC-083; SRC-084; SRC-092; SRC-094</t>
        </is>
      </c>
      <c r="J12" s="71" t="inlineStr">
        <is>
          <t>https://www.mpa.gov.sg/port-marine-ops/operations/vessel-traffic-information-system
https://www.mpa.gov.sg/port-marine-ops/operations/vessel-traffic-information-system/operational-areas</t>
        </is>
      </c>
      <c r="K12" s="70" t="inlineStr">
        <is>
          <t>Scope here is the cited STRAITREP coverage, not an asserted inventory of every Singapore port service. Stage 4 (B10 to B34) checked TSS coverage; see Stage 4 Findings.</t>
        </is>
      </c>
      <c r="L12" s="70" t="inlineStr">
        <is>
          <t>2026-09-29</t>
        </is>
      </c>
    </row>
    <row r="13" ht="93" customHeight="1" s="63">
      <c r="A13" s="66" t="inlineStr">
        <is>
          <t>VTS-007</t>
        </is>
      </c>
      <c r="B13" s="66" t="inlineStr">
        <is>
          <t>REEFVTS</t>
        </is>
      </c>
      <c r="C13" s="66" t="inlineStr">
        <is>
          <t>Great Barrier Reef and Torres Strait</t>
        </is>
      </c>
      <c r="D13" s="66" t="inlineStr">
        <is>
          <t>Australia</t>
        </is>
      </c>
      <c r="E13" s="66" t="inlineStr">
        <is>
          <t>Reef North and Reef South; Townsville and Gladstone centres. Either centre can manage either sector.</t>
        </is>
      </c>
      <c r="F13" s="66" t="inlineStr">
        <is>
          <t>Additional coverage</t>
        </is>
      </c>
      <c r="G13" s="66" t="inlineStr">
        <is>
          <t>Service identity evidenced; current operating detail not reviewed</t>
        </is>
      </c>
      <c r="H13" s="66" t="inlineStr">
        <is>
          <t>Not assigned</t>
        </is>
      </c>
      <c r="I13" s="66" t="inlineStr">
        <is>
          <t>SRC-018; SRC-013; SRC-014</t>
        </is>
      </c>
      <c r="J13" s="67" t="inlineStr">
        <is>
          <t>https://www.msq.qld.gov.au/shipping/reefvts
https://www.amsa.gov.au/about/regulations-and-standards/marine-order-63-vessel-reporting-systems
https://www.amsa.gov.au/safety-navigation/spatial-data/vessel-track-data-disclosure-and-dissemination-policy</t>
        </is>
      </c>
      <c r="K13" s="66" t="inlineStr">
        <is>
          <t>One named service with two sectors and two centres. No additional VTS-area total inferred. TSS association remains unassigned.</t>
        </is>
      </c>
      <c r="L13" s="66" t="inlineStr">
        <is>
          <t>2026-09-29</t>
        </is>
      </c>
    </row>
    <row r="14" ht="79.5" customHeight="1" s="63">
      <c r="A14" s="70" t="inlineStr">
        <is>
          <t>VTS-008</t>
        </is>
      </c>
      <c r="B14" s="70" t="inlineStr">
        <is>
          <t>VTS Fehmarnbelt</t>
        </is>
      </c>
      <c r="C14" s="70" t="inlineStr">
        <is>
          <t>Fehmarnbelt</t>
        </is>
      </c>
      <c r="D14" s="70" t="inlineStr">
        <is>
          <t>Denmark / Germany; responsibilities to reconcile</t>
        </is>
      </c>
      <c r="E14" s="70" t="inlineStr">
        <is>
          <t>Travemünde centre listed by Danish Defence</t>
        </is>
      </c>
      <c r="F14" s="70" t="inlineStr">
        <is>
          <t>Additional coverage</t>
        </is>
      </c>
      <c r="G14" s="70" t="inlineStr">
        <is>
          <t>Temporary voluntary service described by authority</t>
        </is>
      </c>
      <c r="H14" s="70" t="inlineStr">
        <is>
          <t>Not assigned</t>
        </is>
      </c>
      <c r="I14" s="70" t="inlineStr">
        <is>
          <t>SRC-015; SRC-016</t>
        </is>
      </c>
      <c r="J14" s="71" t="inlineStr">
        <is>
          <t>https://www.forsvaret.dk/da/organisation/soevaernet/nationalt-maritimt-operationscenter/vts/
https://www.brs.dk/da/om-os/organisation/sikre-farvande/obligatoriske-skibsmeldesystemer-msrs-og-skibstrafiktjenester-vts/</t>
        </is>
      </c>
      <c r="K14" s="70" t="inlineStr">
        <is>
          <t>Keep outside mandatory reporting totals. Confirm construction-phase boundaries and service end date.</t>
        </is>
      </c>
      <c r="L14" s="70" t="inlineStr">
        <is>
          <t>2026-09-29</t>
        </is>
      </c>
    </row>
    <row r="15" ht="60" customHeight="1" s="63">
      <c r="A15" s="66" t="inlineStr">
        <is>
          <t>VTS-009</t>
        </is>
      </c>
      <c r="B15" s="66" t="inlineStr">
        <is>
          <t>VTS Prince William Sound</t>
        </is>
      </c>
      <c r="C15" s="66" t="inlineStr">
        <is>
          <t>Prince William Sound</t>
        </is>
      </c>
      <c r="D15" s="66" t="inlineStr">
        <is>
          <t>US Coast Guard</t>
        </is>
      </c>
      <c r="E15" s="66" t="inlineStr">
        <is>
          <t>Valdez centre</t>
        </is>
      </c>
      <c r="F15" s="66" t="inlineStr">
        <is>
          <t>Core TSS research lead</t>
        </is>
      </c>
      <c r="G15" s="66" t="inlineStr">
        <is>
          <t>Service identity confirmed by authority; TSS boundary link pending</t>
        </is>
      </c>
      <c r="H15" s="66" t="inlineStr">
        <is>
          <t>Not assigned</t>
        </is>
      </c>
      <c r="I15" s="66" t="inlineStr">
        <is>
          <t>SRC-017; SRC-111; SRC-113</t>
        </is>
      </c>
      <c r="J15" s="67" t="inlineStr">
        <is>
          <t>https://www.navcen.uscg.gov/vessel-traffic-services-locations</t>
        </is>
      </c>
      <c r="K15" s="66" t="inlineStr">
        <is>
          <t>Verify the exact approach-TSS relationship and participation boundaries. Stage 4 (B10 to B34) checked TSS coverage; see Stage 4 Findings.</t>
        </is>
      </c>
      <c r="L15" s="66" t="inlineStr">
        <is>
          <t>2026-09-29</t>
        </is>
      </c>
    </row>
    <row r="16" ht="66" customHeight="1" s="63">
      <c r="A16" s="70" t="inlineStr">
        <is>
          <t>VTS-010</t>
        </is>
      </c>
      <c r="B16" s="70" t="inlineStr">
        <is>
          <t>VTS Puget Sound</t>
        </is>
      </c>
      <c r="C16" s="70" t="inlineStr">
        <is>
          <t>Puget Sound / Strait of Juan de Fuca</t>
        </is>
      </c>
      <c r="D16" s="70" t="inlineStr">
        <is>
          <t>US Coast Guard; cooperative US–Canada arrangements</t>
        </is>
      </c>
      <c r="E16" s="70" t="inlineStr">
        <is>
          <t>Seattle centre; cooperative Canadian centres listed separately by USCG</t>
        </is>
      </c>
      <c r="F16" s="70" t="inlineStr">
        <is>
          <t>Core TSS research lead</t>
        </is>
      </c>
      <c r="G16" s="70" t="inlineStr">
        <is>
          <t>Service identity confirmed by authority; TSS boundary link pending</t>
        </is>
      </c>
      <c r="H16" s="70" t="inlineStr">
        <is>
          <t>Not assigned</t>
        </is>
      </c>
      <c r="I16" s="70" t="inlineStr">
        <is>
          <t>SRC-017; SRC-114; SRC-113; SRC-117; SRC-119</t>
        </is>
      </c>
      <c r="J16" s="71" t="inlineStr">
        <is>
          <t>https://www.navcen.uscg.gov/vessel-traffic-services-locations</t>
        </is>
      </c>
      <c r="K16" s="70" t="inlineStr">
        <is>
          <t>This US service is not the whole cross-border corridor. Canadian service areas require separate records and boundary checks. Stage 4 (B10 to B34) checked TSS coverage; see Stage 4 Findings.</t>
        </is>
      </c>
      <c r="L16" s="70" t="inlineStr">
        <is>
          <t>2026-09-29</t>
        </is>
      </c>
    </row>
    <row r="17" ht="60" customHeight="1" s="63">
      <c r="A17" s="66" t="inlineStr">
        <is>
          <t>VTS-011</t>
        </is>
      </c>
      <c r="B17" s="66" t="inlineStr">
        <is>
          <t>VTS San Francisco</t>
        </is>
      </c>
      <c r="C17" s="66" t="inlineStr">
        <is>
          <t>San Francisco Bay and approaches</t>
        </is>
      </c>
      <c r="D17" s="66" t="inlineStr">
        <is>
          <t>US Coast Guard</t>
        </is>
      </c>
      <c r="E17" s="66" t="inlineStr">
        <is>
          <t>Yerba Buena Island centre</t>
        </is>
      </c>
      <c r="F17" s="66" t="inlineStr">
        <is>
          <t>Core TSS research lead</t>
        </is>
      </c>
      <c r="G17" s="66" t="inlineStr">
        <is>
          <t>Service identity confirmed by authority; TSS boundary link pending</t>
        </is>
      </c>
      <c r="H17" s="66" t="inlineStr">
        <is>
          <t>Not assigned</t>
        </is>
      </c>
      <c r="I17" s="66" t="inlineStr">
        <is>
          <t>SRC-017; SRC-117</t>
        </is>
      </c>
      <c r="J17" s="67" t="inlineStr">
        <is>
          <t>https://www.navcen.uscg.gov/vessel-traffic-services-locations</t>
        </is>
      </c>
      <c r="K17" s="66" t="inlineStr">
        <is>
          <t>Separate VTS requirements from voluntary offshore OVMRS. Offshore TSS coverage remains a research lead. Stage 4 (B10 to B34) checked TSS coverage; see Stage 4 Findings.</t>
        </is>
      </c>
      <c r="L17" s="66" t="inlineStr">
        <is>
          <t>2026-09-29</t>
        </is>
      </c>
    </row>
    <row r="18" ht="60" customHeight="1" s="63">
      <c r="A18" s="70" t="inlineStr">
        <is>
          <t>VTS-012</t>
        </is>
      </c>
      <c r="B18" s="70" t="inlineStr">
        <is>
          <t>VTS Los Angeles–Long Beach</t>
        </is>
      </c>
      <c r="C18" s="70" t="inlineStr">
        <is>
          <t>Los Angeles / Long Beach</t>
        </is>
      </c>
      <c r="D18" s="70" t="inlineStr">
        <is>
          <t>US Coast Guard and Marine Exchange of Southern California</t>
        </is>
      </c>
      <c r="E18" s="70" t="inlineStr">
        <is>
          <t>San Pedro joint centre</t>
        </is>
      </c>
      <c r="F18" s="70" t="inlineStr">
        <is>
          <t>Core TSS research lead</t>
        </is>
      </c>
      <c r="G18" s="70" t="inlineStr">
        <is>
          <t>Service identity confirmed by authority; TSS boundary link pending</t>
        </is>
      </c>
      <c r="H18" s="70" t="inlineStr">
        <is>
          <t>Not assigned</t>
        </is>
      </c>
      <c r="I18" s="70" t="inlineStr">
        <is>
          <t>SRC-017; SRC-117</t>
        </is>
      </c>
      <c r="J18" s="71" t="inlineStr">
        <is>
          <t>https://www.navcen.uscg.gov/vessel-traffic-services-locations</t>
        </is>
      </c>
      <c r="K18" s="70" t="inlineStr">
        <is>
          <t>The source TSS heading also includes Santa Barbara Channel. Do not infer whole-heading coverage. Stage 4 (B10 to B34) checked TSS coverage; see Stage 4 Findings.</t>
        </is>
      </c>
      <c r="L18" s="70" t="inlineStr">
        <is>
          <t>2026-09-29</t>
        </is>
      </c>
    </row>
    <row r="19" ht="60" customHeight="1" s="63">
      <c r="A19" s="66" t="inlineStr">
        <is>
          <t>VTS-013</t>
        </is>
      </c>
      <c r="B19" s="66" t="inlineStr">
        <is>
          <t>VTS Houston-Galveston</t>
        </is>
      </c>
      <c r="C19" s="66" t="inlineStr">
        <is>
          <t>Houston / Galveston</t>
        </is>
      </c>
      <c r="D19" s="66" t="inlineStr">
        <is>
          <t>US Coast Guard</t>
        </is>
      </c>
      <c r="E19" s="66" t="inlineStr">
        <is>
          <t>Houston centre</t>
        </is>
      </c>
      <c r="F19" s="66" t="inlineStr">
        <is>
          <t>Core TSS research lead</t>
        </is>
      </c>
      <c r="G19" s="66" t="inlineStr">
        <is>
          <t>Service identity confirmed by authority; TSS boundary link pending</t>
        </is>
      </c>
      <c r="H19" s="66" t="inlineStr">
        <is>
          <t>Not assigned</t>
        </is>
      </c>
      <c r="I19" s="66" t="inlineStr">
        <is>
          <t>SRC-017; SRC-117</t>
        </is>
      </c>
      <c r="J19" s="67" t="inlineStr">
        <is>
          <t>https://www.navcen.uscg.gov/vessel-traffic-services-locations</t>
        </is>
      </c>
      <c r="K19" s="66" t="inlineStr">
        <is>
          <t>The offshore Galveston TSS is an approach lead. Service existence does not establish offshore coverage. Stage 4 (B10 to B34) checked TSS coverage; see Stage 4 Findings.</t>
        </is>
      </c>
      <c r="L19" s="66" t="inlineStr">
        <is>
          <t>2026-09-29</t>
        </is>
      </c>
    </row>
    <row r="20" ht="60" customHeight="1" s="63">
      <c r="A20" s="70" t="inlineStr">
        <is>
          <t>VTS-014</t>
        </is>
      </c>
      <c r="B20" s="70" t="inlineStr">
        <is>
          <t>VTS New York</t>
        </is>
      </c>
      <c r="C20" s="70" t="inlineStr">
        <is>
          <t>New York / New Jersey</t>
        </is>
      </c>
      <c r="D20" s="70" t="inlineStr">
        <is>
          <t>US Coast Guard</t>
        </is>
      </c>
      <c r="E20" s="70" t="inlineStr">
        <is>
          <t>Fort Wadsworth centre</t>
        </is>
      </c>
      <c r="F20" s="70" t="inlineStr">
        <is>
          <t>Core TSS research lead</t>
        </is>
      </c>
      <c r="G20" s="70" t="inlineStr">
        <is>
          <t>Service identity confirmed by authority; TSS boundary link pending</t>
        </is>
      </c>
      <c r="H20" s="70" t="inlineStr">
        <is>
          <t>Not assigned</t>
        </is>
      </c>
      <c r="I20" s="70" t="inlineStr">
        <is>
          <t>SRC-017; SRC-117</t>
        </is>
      </c>
      <c r="J20" s="71" t="inlineStr">
        <is>
          <t>https://www.navcen.uscg.gov/vessel-traffic-services-locations</t>
        </is>
      </c>
      <c r="K20" s="70" t="inlineStr">
        <is>
          <t>The offshore New York TSS link needs geographical and applicability confirmation. Stage 4 (B10 to B34) checked TSS coverage; see Stage 4 Findings.</t>
        </is>
      </c>
      <c r="L20" s="70" t="inlineStr">
        <is>
          <t>2026-09-29</t>
        </is>
      </c>
    </row>
    <row r="21" ht="60" customHeight="1" s="63">
      <c r="A21" s="66" t="inlineStr">
        <is>
          <t>VTS-015</t>
        </is>
      </c>
      <c r="B21" s="66" t="inlineStr">
        <is>
          <t>VTS Zatoka Gdańska (Gulf of Gdańsk)</t>
        </is>
      </c>
      <c r="C21" s="66" t="inlineStr">
        <is>
          <t>Gulf of Gdańsk</t>
        </is>
      </c>
      <c r="D21" s="66" t="inlineStr">
        <is>
          <t>Maritime Office in Gdynia</t>
        </is>
      </c>
      <c r="E21" s="66" t="inlineStr">
        <is>
          <t>VTS Zatoka Gdańska; harbour-master responsibilities within port areas</t>
        </is>
      </c>
      <c r="F21" s="66" t="inlineStr">
        <is>
          <t>Core TSS screen</t>
        </is>
      </c>
      <c r="G21" s="66" t="inlineStr">
        <is>
          <t>Service, GDANREP and East/West TSS relationship identified by authority</t>
        </is>
      </c>
      <c r="H21" s="66" t="inlineStr">
        <is>
          <t>Not assigned</t>
        </is>
      </c>
      <c r="I21" s="66" t="inlineStr">
        <is>
          <t>SRC-019</t>
        </is>
      </c>
      <c r="J21" s="67" t="inlineStr">
        <is>
          <t>https://www.umgdy.gov.pl/en/marine-safety/vts-zatoka-gdanska-en/</t>
        </is>
      </c>
      <c r="K21" s="66" t="inlineStr">
        <is>
          <t>One named service. Two named TSS components do not imply two VTS areas. Verify full operational limits and local rules.</t>
        </is>
      </c>
      <c r="L21" s="66" t="inlineStr">
        <is>
          <t>2026-09-29</t>
        </is>
      </c>
    </row>
    <row r="22" ht="60" customHeight="1" s="63">
      <c r="A22" s="66" t="inlineStr">
        <is>
          <t>VTS-016</t>
        </is>
      </c>
      <c r="B22" s="66" t="inlineStr">
        <is>
          <t>German Bight Traffic (Verkehrszentrale Wilhelmshaven)</t>
        </is>
      </c>
      <c r="C22" s="66" t="inlineStr">
        <is>
          <t>Inner German Bight from Borkum to Helgoland (Innere Deutsche Bucht, as defined in the Anhang to the AnlBV Anlage), including the German part of TSS Terschelling-German Bight, TSS German Bight Western Approach (east of 007° 10' E reporting line) and TSS Jade Approach</t>
        </is>
      </c>
      <c r="D22" s="66" t="inlineStr">
        <is>
          <t>Wasserstraßen- und Schifffahrtsamt Weser-Jade-Nordsee (WSV); strom- und schifffahrtspolizeiliche Behörde GDWS</t>
        </is>
      </c>
      <c r="E22" s="66" t="inlineStr">
        <is>
          <t>VTS Centre Wilhelmshaven; Revierzentrale German Bight Traffic (with Northcoast Traffic, VHF 79)</t>
        </is>
      </c>
      <c r="F22" s="66" t="inlineStr">
        <is>
          <t>Core TSS screen</t>
        </is>
      </c>
      <c r="G22" s="66" t="inlineStr">
        <is>
          <t>Service described by primary source (Stage 4 first pass)</t>
        </is>
      </c>
      <c r="H22" s="66" t="inlineStr">
        <is>
          <t>Not assigned</t>
        </is>
      </c>
      <c r="I22" s="66" t="inlineStr">
        <is>
          <t>SRC-029; SRC-030; SRC-031; SRC-033</t>
        </is>
      </c>
      <c r="J22" s="67" t="inlineStr">
        <is>
          <t>https://www.gesetze-im-internet.de/anlbv_2004/anlage.html
https://www.elwis.de/DE/Schifffahrtsrecht/Seeschifffahrtsrecht/SeeSchStrO/Achter-Abschnitt/58/58-node.html
https://www.wsa-weser-jade-nordsee.wsv.de/Webs/WSA/Weser-Jade-Nordsee/DE/Schifffahrt/Verkehrszentralen/verkehrsundrevierzentralen_node.html
https://www.elwis.de/DE/Seeschifffahrt/Verkehrs-und-Sicherheitsmanagement/Verkehrszentralen/Verkehrskanaele.pdf?__blob=publicationFile</t>
        </is>
      </c>
      <c r="K22" s="66" t="inlineStr">
        <is>
          <t>Same service covers records TSS-0046, TSS-0048, TSS-0049 (German part) and TSS-0047 (outbound report). 'North Coast Traffic' (VHF 79) is a sub-service of the same Revierzentrale per S8; not counted separately. VHF (research note only, not for operational use): 79, 80 (16); Northcoast Traffic 79.</t>
        </is>
      </c>
      <c r="L22" s="66" t="inlineStr">
        <is>
          <t>2026-09-29</t>
        </is>
      </c>
    </row>
    <row r="23" ht="60" customHeight="1" s="63">
      <c r="A23" s="66" t="inlineStr">
        <is>
          <t>VTS-017</t>
        </is>
      </c>
      <c r="B23" s="66" t="inlineStr">
        <is>
          <t>Jade Traffic (Verkehrszentrale Wilhelmshaven)</t>
        </is>
      </c>
      <c r="C23" s="66" t="inlineStr">
        <is>
          <t>Jade from buoy 1b/Jade 1 to buoy 58</t>
        </is>
      </c>
      <c r="D23" s="66" t="inlineStr">
        <is>
          <t>WSA Weser-Jade-Nordsee (WSV)</t>
        </is>
      </c>
      <c r="E23" s="66" t="inlineStr">
        <is>
          <t>VTS Centre Wilhelmshaven; VHF 63 (1b/Jade 1 to 33/34), VHF 20 (33/34 to 58)</t>
        </is>
      </c>
      <c r="F23" s="66" t="inlineStr">
        <is>
          <t>Additional coverage (no TSS link evidenced)</t>
        </is>
      </c>
      <c r="G23" s="66" t="inlineStr">
        <is>
          <t>Service described by primary source (Stage 4 first pass)</t>
        </is>
      </c>
      <c r="H23" s="66" t="inlineStr">
        <is>
          <t>Not assigned</t>
        </is>
      </c>
      <c r="I23" s="66" t="inlineStr">
        <is>
          <t>SRC-030; SRC-031; SRC-033</t>
        </is>
      </c>
      <c r="J23" s="67" t="inlineStr">
        <is>
          <t>https://www.elwis.de/DE/Schifffahrtsrecht/Seeschifffahrtsrecht/SeeSchStrO/Achter-Abschnitt/58/58-node.html
https://www.wsa-weser-jade-nordsee.wsv.de/Webs/WSA/Weser-Jade-Nordsee/DE/Schifffahrt/Verkehrszentralen/verkehrsundrevierzentralen_node.html
https://www.elwis.de/DE/Seeschifffahrt/Verkehrs-und-Sicherheitsmanagement/Verkehrszentralen/Verkehrskanaele.pdf?__blob=publicationFile</t>
        </is>
      </c>
      <c r="K23" s="66" t="inlineStr">
        <is>
          <t>Covers the Jade fairway landward of TSS Jade Approach; not relied on for TSS coverage (German Bight Traffic covers the TSS). VHF (research note only, not for operational use): 63, 20 (16).</t>
        </is>
      </c>
      <c r="L23" s="66" t="inlineStr">
        <is>
          <t>2026-09-29</t>
        </is>
      </c>
    </row>
    <row r="24" ht="60" customHeight="1" s="63">
      <c r="A24" s="66" t="inlineStr">
        <is>
          <t>VTS-018</t>
        </is>
      </c>
      <c r="B24" s="66" t="inlineStr">
        <is>
          <t>Cuxhaven Elbe Traffic (Verkehrszentrale Cuxhaven)</t>
        </is>
      </c>
      <c r="C24" s="66" t="inlineStr">
        <is>
          <t>Seeschifffahrtsstraße Elbe in the Elbe approach (Elbeansteuerung) from buoy Nordergründe-Nord (NGN, 008° E) to buoy pair 53/54 (Reede); also sea-area surveillance around EEZ offshore wind farms and North Frisian west coast</t>
        </is>
      </c>
      <c r="D24" s="66" t="inlineStr">
        <is>
          <t>Wasserstraßen- und Schifffahrtsamt Elbe-Nordsee (WSV)</t>
        </is>
      </c>
      <c r="E24" s="66" t="inlineStr">
        <is>
          <t>VTS Centre Cuxhaven; Brunsbüttel Elbe Traffic (VHF 68) is a separate Verkehrszentrale upstream</t>
        </is>
      </c>
      <c r="F24" s="66" t="inlineStr">
        <is>
          <t>Core TSS screen</t>
        </is>
      </c>
      <c r="G24" s="66" t="inlineStr">
        <is>
          <t>Service described by primary source (Stage 4 first pass)</t>
        </is>
      </c>
      <c r="H24" s="66" t="inlineStr">
        <is>
          <t>Not assigned</t>
        </is>
      </c>
      <c r="I24" s="66" t="inlineStr">
        <is>
          <t>SRC-030; SRC-032; SRC-033</t>
        </is>
      </c>
      <c r="J24" s="67" t="inlineStr">
        <is>
          <t>https://www.elwis.de/DE/Schifffahrtsrecht/Seeschifffahrtsrecht/SeeSchStrO/Achter-Abschnitt/58/58-node.html
https://www.wsa-elbe-nordsee.wsv.de/Webs/WSA/Elbe-Nordsee/DE/2_Schifffahrt/4_Verkehrszentralen/2_Cuxhaven/Cuxhaven_node.html
https://www.elwis.de/DE/Seeschifffahrt/Verkehrs-und-Sicherheitsmanagement/Verkehrszentralen/Verkehrskanaele.pdf?__blob=publicationFile</t>
        </is>
      </c>
      <c r="K24" s="66" t="inlineStr">
        <is>
          <t>Reporting point NGN at 008° E marks the landward end of the Elbe approach; seaward coverage of the TSS itself is by German Bight Traffic. VHF (research note only, not for operational use): 71 (16).</t>
        </is>
      </c>
      <c r="L24" s="66" t="inlineStr">
        <is>
          <t>2026-09-29</t>
        </is>
      </c>
    </row>
    <row r="25" ht="60" customHeight="1" s="63">
      <c r="A25" s="66" t="inlineStr">
        <is>
          <t>VTS-019</t>
        </is>
      </c>
      <c r="B25" s="66" t="inlineStr">
        <is>
          <t>VTS North Sea Canal Area (IJmuiden Approaches / Sector IJmuiden)</t>
        </is>
      </c>
      <c r="C25" s="66" t="inlineStr">
        <is>
          <t>Approaches to IJmuiden within 12 nm radius of the IJmuiden breakwaters, including the extended IJ-geul deep water channel, and inward to the North Sea Canal</t>
        </is>
      </c>
      <c r="D25" s="66" t="inlineStr">
        <is>
          <t>Central Nautical Management North Sea Canal Area (Port of Amsterdam / Rijkswaterstaat)</t>
        </is>
      </c>
      <c r="E25" s="66" t="inlineStr">
        <is>
          <t>IJmuiden Approaches (VHF 07, information only), Sector IJmuiden (VHF 61), further inland sectors</t>
        </is>
      </c>
      <c r="F25" s="66" t="inlineStr">
        <is>
          <t>Additional coverage (no TSS link evidenced)</t>
        </is>
      </c>
      <c r="G25" s="66" t="inlineStr">
        <is>
          <t>Service described by primary source (Stage 4 first pass)</t>
        </is>
      </c>
      <c r="H25" s="66" t="inlineStr">
        <is>
          <t>Not assigned</t>
        </is>
      </c>
      <c r="I25" s="66" t="inlineStr">
        <is>
          <t>SRC-035</t>
        </is>
      </c>
      <c r="J25" s="67" t="inlineStr">
        <is>
          <t>https://www.portofamsterdam.com/sites/default/files/2025-09/2025-479_VTS%20communicatieregeling%202.0%20def_NLEN_rev.pdf</t>
        </is>
      </c>
      <c r="K25" s="66" t="inlineStr">
        <is>
          <t>Service confirmed; coverage of TSS 'In the approaches to IJmuiden' lanes is not established by the source (lead for TSS-0053). VHF (research note only, not for operational use): 07, 61.</t>
        </is>
      </c>
      <c r="L25" s="66" t="inlineStr">
        <is>
          <t>2026-09-29</t>
        </is>
      </c>
    </row>
    <row r="26" ht="60" customHeight="1" s="63">
      <c r="A26" s="66" t="inlineStr">
        <is>
          <t>VTS-020</t>
        </is>
      </c>
      <c r="B26" s="66" t="inlineStr">
        <is>
          <t>Netherlands Coastguard Vessel Traffic Monitoring (VTMon), Kustwachtcentrum Den Helder</t>
        </is>
      </c>
      <c r="C26" s="66" t="inlineStr">
        <is>
          <t>Netherlands North Sea, near wind farms and fairways</t>
        </is>
      </c>
      <c r="D26" s="66" t="inlineStr">
        <is>
          <t>Netherlands Coastguard (Kustwacht)</t>
        </is>
      </c>
      <c r="E26" s="66" t="inlineStr">
        <is>
          <t>Kustwachtcentrum (Den Helder)</t>
        </is>
      </c>
      <c r="F26" s="66" t="inlineStr">
        <is>
          <t>Stage 4 research lead (not counted)</t>
        </is>
      </c>
      <c r="G26" s="66" t="inlineStr">
        <is>
          <t>Lead only; service identity or coverage not established by primary source</t>
        </is>
      </c>
      <c r="H26" s="66" t="inlineStr">
        <is>
          <t>Not assigned</t>
        </is>
      </c>
      <c r="I26" s="66" t="inlineStr">
        <is>
          <t>SRC-036; SRC-037; SRC-038</t>
        </is>
      </c>
      <c r="J26" s="67" t="inlineStr">
        <is>
          <t>https://kustwacht.nl/en/merchant-shipping/advice-for-container-ships-near-west-frisian-islands/
https://kustwacht.nl/hulpverlening/vtm/
https://kustwacht.nl/maritieme-organisaties/verkeerscentrales/</t>
        </is>
      </c>
      <c r="K26" s="66" t="inlineStr">
        <is>
          <t>Coastguard describes VTMon as traffic monitoring and distinguishes VTS as provided by traffic centres; it states it has no powers to impose traffic directions. Not treated as a VTS; recorded as a lead for Dutch offshore TSS records.</t>
        </is>
      </c>
      <c r="L26" s="66" t="inlineStr">
        <is>
          <t>2026-09-29</t>
        </is>
      </c>
    </row>
    <row r="27" ht="60" customHeight="1" s="63">
      <c r="A27" s="66" t="inlineStr">
        <is>
          <t>VTS-021</t>
        </is>
      </c>
      <c r="B27" s="66" t="inlineStr">
        <is>
          <t>Ouessant VTS (Corsen/Ouessant vessel traffic service, call sign 'Ushant Traffic'), CROSS Corsen</t>
        </is>
      </c>
      <c r="C27" s="66" t="inlineStr">
        <is>
          <t>Circular area of 35 nm radius centred on Ile d'Ouessant (Stiff radar tower), covering the whole Off Ushant TSS; information gathered for the wider CROSS Corsen area</t>
        </is>
      </c>
      <c r="D27" s="66" t="inlineStr">
        <is>
          <t>France: CROSS Corsen (Direction des Affaires Maritimes / DGAMPA)</t>
        </is>
      </c>
      <c r="E27" s="66" t="inlineStr">
        <is>
          <t>CROSS Corsen, radar at Stiff tower, Ouessant</t>
        </is>
      </c>
      <c r="F27" s="66" t="inlineStr">
        <is>
          <t>Core TSS screen</t>
        </is>
      </c>
      <c r="G27" s="66" t="inlineStr">
        <is>
          <t>Service described by primary source (Stage 4 first pass)</t>
        </is>
      </c>
      <c r="H27" s="66" t="inlineStr">
        <is>
          <t>Not assigned</t>
        </is>
      </c>
      <c r="I27" s="66" t="inlineStr">
        <is>
          <t>SRC-039; SRC-040; SRC-042</t>
        </is>
      </c>
      <c r="J27" s="67" t="inlineStr">
        <is>
          <t>https://wwwcdn.imo.org/localresources/en/KnowledgeCentre/IndexofIMOResolutions/MSCResolutions/MSC.52(66).pdf
https://wwwcdn.imo.org/localresources/en/KnowledgeCentre/IndexofIMOResolutions/MSCResolutions/MSC.251(83).pdf
https://www.statistiques.developpement-durable.gouv.fr/edition-numerique/chiffres-cles-mer-littoral/18-surveillance-de-la-navigation-maritime</t>
        </is>
      </c>
      <c r="K27" s="66" t="inlineStr">
        <is>
          <t>IMO text (1996, amended 2007) plus French ministry 2024 publication confirming CROSS Corsen competence for DST Ouessant. VHF (research note only, not for operational use): 13 (primary), 79 and 80 (safety information).</t>
        </is>
      </c>
      <c r="L27" s="66" t="inlineStr">
        <is>
          <t>2026-09-29</t>
        </is>
      </c>
    </row>
    <row r="28" ht="60" customHeight="1" s="63">
      <c r="A28" s="66" t="inlineStr">
        <is>
          <t>VTS-022</t>
        </is>
      </c>
      <c r="B28" s="66" t="inlineStr">
        <is>
          <t>Finisterre Traffic VTS (Centro de Coordinación de Salvamento Finisterre)</t>
        </is>
      </c>
      <c r="C28" s="66" t="inlineStr">
        <is>
          <t>FINREP area between the coast, bearing 130° to Cape Villano lighthouse, bearing 075° to Cape Finisterre lighthouse and meridian 010° 10.0' W</t>
        </is>
      </c>
      <c r="D28" s="66" t="inlineStr">
        <is>
          <t>Spain: Sociedad de Salvamento y Seguridad Marítima (SASEMAR) / Dirección General de la Marina Mercante</t>
        </is>
      </c>
      <c r="E28" s="66" t="inlineStr">
        <is>
          <t>CCS Finisterre (Fisterra)</t>
        </is>
      </c>
      <c r="F28" s="66" t="inlineStr">
        <is>
          <t>Core TSS screen</t>
        </is>
      </c>
      <c r="G28" s="66" t="inlineStr">
        <is>
          <t>Service described by primary source (Stage 4 first pass)</t>
        </is>
      </c>
      <c r="H28" s="66" t="inlineStr">
        <is>
          <t>Not assigned</t>
        </is>
      </c>
      <c r="I28" s="66" t="inlineStr">
        <is>
          <t>SRC-043; SRC-045</t>
        </is>
      </c>
      <c r="J28" s="67" t="inlineStr">
        <is>
          <t>https://wwwcdn.imo.org/localresources/en/KnowledgeCentre/IndexofIMOResolutions/MSCResolutions/MSC.63(67).pdf
https://metropolitano.gal/extra/el-centro-de-coordinacion-de-salvamento-maritimo-de-vigo-rescato-a-316-personas-en-el-2024</t>
        </is>
      </c>
      <c r="K28" s="66" t="inlineStr">
        <is>
          <t>Primary evidence is the 1996 IMO resolution; current operation supported only by a 2025 news lead (S22). Salvamento Marítimo website returned HTTP 503 and failed TLS; VHF channel not retrieved.</t>
        </is>
      </c>
      <c r="L28" s="66" t="inlineStr">
        <is>
          <t>2026-09-29</t>
        </is>
      </c>
    </row>
    <row r="29" ht="60" customHeight="1" s="63">
      <c r="A29" s="66" t="inlineStr">
        <is>
          <t>VTS-023</t>
        </is>
      </c>
      <c r="B29" s="66" t="inlineStr">
        <is>
          <t>VTS costeiro do continente (Centro de Controlo de Tráfego Marítimo do Continente, call sign 'Roca Control')</t>
        </is>
      </c>
      <c r="C29" s="66" t="inlineStr">
        <is>
          <t>Portuguese continental coast out to 50 nm: north limit 41° 51' 5" N; west/south line 41° 51' 5" N 10° 14' W, 38° 41' N 10° 14' W, 36° 30' N 9° 35' W, 36° 12' N 7° 24' W; east 7° 24' W</t>
        </is>
      </c>
      <c r="D29" s="66" t="inlineStr">
        <is>
          <t>Portugal: IPTM in 2009 statute (functions now reported to sit with DGRM, not verified from a DGRM page)</t>
        </is>
      </c>
      <c r="E29" s="66" t="inlineStr">
        <is>
          <t>CCTMC, Paço de Arcos</t>
        </is>
      </c>
      <c r="F29" s="66" t="inlineStr">
        <is>
          <t>Core TSS screen</t>
        </is>
      </c>
      <c r="G29" s="66" t="inlineStr">
        <is>
          <t>Service described by primary source (Stage 4 first pass)</t>
        </is>
      </c>
      <c r="H29" s="66" t="inlineStr">
        <is>
          <t>Not assigned</t>
        </is>
      </c>
      <c r="I29" s="66" t="inlineStr">
        <is>
          <t>SRC-046; SRC-047; SRC-048</t>
        </is>
      </c>
      <c r="J29" s="67" t="inlineStr">
        <is>
          <t>https://www.marinha.pt/Conteudos_Externos/LexMar2/PGPAT%20100/PGPAT%201000%20-%20Cap%C3%ADtulos/Capitulo%20K%20EST/Decreto-Lei%20198-2006%20(19OUT2006).pdf
https://www.marinha.pt/Conteudos_Externos/LexMar2/PGPAT%20100/PGPAT%201000%20-%20Cap%C3%ADtulos/Capitulo%20K%20EST/Dec.%20Lei%20263_2009,%20de%2028Set.pdf
https://wwwcdn.imo.org/localresources/en/KnowledgeCentre/IndexofIMOResolutions/MSCResolutions/MSC.278(85).pdf</t>
        </is>
      </c>
      <c r="K29" s="66" t="inlineStr">
        <is>
          <t>Statute gives CCTMC supervision of TSS rules; both Portuguese TSS lie within the statutory area on coordinate comparison. VHF (research note only, not for operational use): 22 and 79 (primary), 69 (secondary).</t>
        </is>
      </c>
      <c r="L29" s="66" t="inlineStr">
        <is>
          <t>2026-09-29</t>
        </is>
      </c>
    </row>
    <row r="30" ht="60" customHeight="1" s="63">
      <c r="A30" s="66" t="inlineStr">
        <is>
          <t>VTS-024</t>
        </is>
      </c>
      <c r="B30" s="66" t="inlineStr">
        <is>
          <t>MRCC Las Palmas and MRCC Tenerife (Salvamento Marítimo)</t>
        </is>
      </c>
      <c r="C30" s="66" t="inlineStr">
        <is>
          <t>Canary Islands; CANREP area and voluntary TSS notification</t>
        </is>
      </c>
      <c r="D30" s="66" t="inlineStr">
        <is>
          <t>Spain: SASEMAR</t>
        </is>
      </c>
      <c r="E30" s="66" t="inlineStr">
        <is>
          <t>MRCC Las Palmas (entries east of 015° 30' W), MRCC Tenerife (west of 015° 30' W)</t>
        </is>
      </c>
      <c r="F30" s="66" t="inlineStr">
        <is>
          <t>Stage 4 research lead (not counted)</t>
        </is>
      </c>
      <c r="G30" s="66" t="inlineStr">
        <is>
          <t>Lead only; service identity or coverage not established by primary source</t>
        </is>
      </c>
      <c r="H30" s="66" t="inlineStr">
        <is>
          <t>Not assigned</t>
        </is>
      </c>
      <c r="I30" s="66" t="inlineStr">
        <is>
          <t>SRC-051; SRC-052</t>
        </is>
      </c>
      <c r="J30" s="67" t="inlineStr">
        <is>
          <t>https://cimrc.shmtu.edu.cn/_upload/article/files/63/dc/35c66be74d12873254dc88a2ef00/8c6a3c5f-5a85-4450-980a-5534de9fcd0a.pdf
https://wwwcdn.imo.org/localresources/en/KnowledgeCentre/IndexofIMOResolutions/MSCResolutions/MSC.213(81).pdf</t>
        </is>
      </c>
      <c r="K30" s="66" t="inlineStr">
        <is>
          <t>Primary sources describe these as MRCCs receiving reports, not as a VTS; no evidence of a designated VTS covering the Canary TSS was retrieved. VHF (research note only, not for operational use): 16 and 70 (CANREP); 16 (voluntary TSS notification).</t>
        </is>
      </c>
      <c r="L30" s="66" t="inlineStr">
        <is>
          <t>2026-09-29</t>
        </is>
      </c>
    </row>
    <row r="31" ht="60" customHeight="1" s="63">
      <c r="A31" s="66" t="inlineStr">
        <is>
          <t>VTS-025</t>
        </is>
      </c>
      <c r="B31" s="66" t="inlineStr">
        <is>
          <t>Tarifa Traffic (Centro de Coordinación de Salvamento Marítimo de Tarifa)</t>
        </is>
      </c>
      <c r="C31" s="66" t="inlineStr">
        <is>
          <t>Strait of Gibraltar TSS and GIBREP area (005°58'W to 005°15'W), Spanish side</t>
        </is>
      </c>
      <c r="D31" s="66" t="inlineStr">
        <is>
          <t>Salvamento Marítimo (SASEMAR), Spain</t>
        </is>
      </c>
      <c r="E31" s="66" t="inlineStr">
        <is>
          <t>CCS Tarifa</t>
        </is>
      </c>
      <c r="F31" s="66" t="inlineStr">
        <is>
          <t>Core TSS screen</t>
        </is>
      </c>
      <c r="G31" s="66" t="inlineStr">
        <is>
          <t>Service described by primary source (Stage 4 first pass)</t>
        </is>
      </c>
      <c r="H31" s="66" t="inlineStr">
        <is>
          <t>Not assigned</t>
        </is>
      </c>
      <c r="I31" s="66" t="inlineStr">
        <is>
          <t>SRC-055; SRC-056</t>
        </is>
      </c>
      <c r="J31" s="67" t="inlineStr">
        <is>
          <t>https://wwwcdn.imo.org/localresources/en/KnowledgeCentre/IndexofIMOResolutions/MSCResolutions/MSC.300(87).pdf
https://www.transportes.gob.es/recursos_mfom/comodin/recursos/06_los_dst_autopistas_del_mar.pdf</t>
        </is>
      </c>
      <c r="K31" s="66" t="inlineStr">
        <is>
          <t>S11 describes CCS Tarifa ('Tarifa Tráfico') as providing the maritime traffic service in the Strait. Press and petition leads (not primary) refer to a proposed or provisional transfer of Tarifa Tráfico functions to Algeciras; unverified. VHF (research note only, not for operational use): Ch 10 (Ch 67 supplementary).</t>
        </is>
      </c>
      <c r="L31" s="66" t="inlineStr">
        <is>
          <t>2026-09-29</t>
        </is>
      </c>
    </row>
    <row r="32" ht="60" customHeight="1" s="63">
      <c r="A32" s="66" t="inlineStr">
        <is>
          <t>VTS-026</t>
        </is>
      </c>
      <c r="B32" s="66" t="inlineStr">
        <is>
          <t>Tangier Traffic (Centre de Surveillance du Trafic Maritime de Tanger)</t>
        </is>
      </c>
      <c r="C32" s="66" t="inlineStr">
        <is>
          <t>Strait of Gibraltar TSS, Moroccan side</t>
        </is>
      </c>
      <c r="D32" s="66" t="inlineStr">
        <is>
          <t>Moroccan Merchant Marine Directorate</t>
        </is>
      </c>
      <c r="E32" s="66" t="inlineStr">
        <is>
          <t>CSTM Tanger</t>
        </is>
      </c>
      <c r="F32" s="66" t="inlineStr">
        <is>
          <t>Core TSS screen</t>
        </is>
      </c>
      <c r="G32" s="66" t="inlineStr">
        <is>
          <t>Service described by primary source (Stage 4 first pass)</t>
        </is>
      </c>
      <c r="H32" s="66" t="inlineStr">
        <is>
          <t>Not assigned</t>
        </is>
      </c>
      <c r="I32" s="66" t="inlineStr">
        <is>
          <t>SRC-055</t>
        </is>
      </c>
      <c r="J32" s="67" t="inlineStr">
        <is>
          <t>https://wwwcdn.imo.org/localresources/en/KnowledgeCentre/IndexofIMOResolutions/MSCResolutions/MSC.300(87).pdf</t>
        </is>
      </c>
      <c r="K32" s="66" t="inlineStr">
        <is>
          <t>Operational from 4 January 2010 per MSC.300(87) preamble. VHF (research note only, not for operational use): Ch 69 (Ch 68 supplementary).</t>
        </is>
      </c>
      <c r="L32" s="66" t="inlineStr">
        <is>
          <t>2026-09-29</t>
        </is>
      </c>
    </row>
    <row r="33" ht="60" customHeight="1" s="63">
      <c r="A33" s="66" t="inlineStr">
        <is>
          <t>VTS-027</t>
        </is>
      </c>
      <c r="B33" s="66" t="inlineStr">
        <is>
          <t>Salvamento Marítimo maritime traffic service, DST Cabo de Gata</t>
        </is>
      </c>
      <c r="C33" s="66" t="inlineStr">
        <is>
          <t>Off Cabo de Gata TSS</t>
        </is>
      </c>
      <c r="D33" s="66" t="inlineStr">
        <is>
          <t>Salvamento Marítimo (SASEMAR), Spain</t>
        </is>
      </c>
      <c r="E33" s="66" t="inlineStr">
        <is>
          <t>Centre not named in fetched primary source; CCS Almería per unfetched search snippets (lead)</t>
        </is>
      </c>
      <c r="F33" s="66" t="inlineStr">
        <is>
          <t>Core TSS screen</t>
        </is>
      </c>
      <c r="G33" s="66" t="inlineStr">
        <is>
          <t>Service described by primary source (Stage 4 first pass)</t>
        </is>
      </c>
      <c r="H33" s="66" t="inlineStr">
        <is>
          <t>Not assigned</t>
        </is>
      </c>
      <c r="I33" s="66" t="inlineStr">
        <is>
          <t>SRC-056; SRC-057</t>
        </is>
      </c>
      <c r="J33" s="67" t="inlineStr">
        <is>
          <t>https://www.transportes.gob.es/recursos_mfom/comodin/recursos/06_los_dst_autopistas_del_mar.pdf
https://www.lamoncloa.gob.es/serviciosdeprensa/notasprensa/mfom/Paginas/2015/140115-tarifa.aspx</t>
        </is>
      </c>
      <c r="K33" s="66" t="inlineStr">
        <is>
          <t>Service control of the Cabo de Gata DST confirmed; attribution to CCS Almería is lead only because salvamentomaritimo.es returned HTTP 503.</t>
        </is>
      </c>
      <c r="L33" s="66" t="inlineStr">
        <is>
          <t>2026-09-29</t>
        </is>
      </c>
    </row>
    <row r="34" ht="60" customHeight="1" s="63">
      <c r="A34" s="66" t="inlineStr">
        <is>
          <t>VTS-028</t>
        </is>
      </c>
      <c r="B34" s="66" t="inlineStr">
        <is>
          <t>Salvamento Marítimo CCS Cartagena (lead)</t>
        </is>
      </c>
      <c r="C34" s="66" t="inlineStr">
        <is>
          <t>Murcia coast incl. waters off Cabo de Palos (assumed)</t>
        </is>
      </c>
      <c r="D34" s="66" t="inlineStr">
        <is>
          <t>Salvamento Marítimo (SASEMAR), Spain</t>
        </is>
      </c>
      <c r="E34" s="66" t="inlineStr">
        <is>
          <t>CCS Cartagena</t>
        </is>
      </c>
      <c r="F34" s="66" t="inlineStr">
        <is>
          <t>Stage 4 research lead (not counted)</t>
        </is>
      </c>
      <c r="G34" s="66" t="inlineStr">
        <is>
          <t>Lead only; service identity or coverage not established by primary source</t>
        </is>
      </c>
      <c r="H34" s="66" t="inlineStr">
        <is>
          <t>Not assigned</t>
        </is>
      </c>
      <c r="I34" s="66" t="inlineStr"/>
      <c r="J34" s="67" t="inlineStr"/>
      <c r="K34" s="66" t="inlineStr">
        <is>
          <t>Named only in search result titles; no fetched source establishes DST Cabo de Palos coverage. S11 omits Palos from the DSTs Salvamento Marítimo controls.</t>
        </is>
      </c>
      <c r="L34" s="66" t="inlineStr">
        <is>
          <t>2026-09-29</t>
        </is>
      </c>
    </row>
    <row r="35" ht="60" customHeight="1" s="63">
      <c r="A35" s="66" t="inlineStr">
        <is>
          <t>VTS-029</t>
        </is>
      </c>
      <c r="B35" s="66" t="inlineStr">
        <is>
          <t>Salvamento Marítimo CCS Valencia (lead)</t>
        </is>
      </c>
      <c r="C35" s="66" t="inlineStr">
        <is>
          <t>Valencian coast incl. waters off Cabo de la Nao (assumed)</t>
        </is>
      </c>
      <c r="D35" s="66" t="inlineStr">
        <is>
          <t>Salvamento Marítimo (SASEMAR), Spain</t>
        </is>
      </c>
      <c r="E35" s="66" t="inlineStr">
        <is>
          <t>CCS Valencia</t>
        </is>
      </c>
      <c r="F35" s="66" t="inlineStr">
        <is>
          <t>Stage 4 research lead (not counted)</t>
        </is>
      </c>
      <c r="G35" s="66" t="inlineStr">
        <is>
          <t>Lead only; service identity or coverage not established by primary source</t>
        </is>
      </c>
      <c r="H35" s="66" t="inlineStr">
        <is>
          <t>Not assigned</t>
        </is>
      </c>
      <c r="I35" s="66" t="inlineStr"/>
      <c r="J35" s="67" t="inlineStr"/>
      <c r="K35" s="66" t="inlineStr">
        <is>
          <t>Region hint only; no fetched source. S11 omits La Nao from the DSTs Salvamento Marítimo controls.</t>
        </is>
      </c>
      <c r="L35" s="66" t="inlineStr">
        <is>
          <t>2026-09-29</t>
        </is>
      </c>
    </row>
    <row r="36" ht="60" customHeight="1" s="63">
      <c r="A36" s="66" t="inlineStr">
        <is>
          <t>VTS-030</t>
        </is>
      </c>
      <c r="B36" s="66" t="inlineStr">
        <is>
          <t>Koper VTS</t>
        </is>
      </c>
      <c r="C36" s="66" t="inlineStr">
        <is>
          <t>Internal waters and territorial sea of Slovenia, incl. TSS in the Gulf of Trieste and approaches to/from Koper (Slovenian part)</t>
        </is>
      </c>
      <c r="D36" s="66" t="inlineStr">
        <is>
          <t>Slovenian Maritime Administration (URSP)</t>
        </is>
      </c>
      <c r="E36" s="66" t="inlineStr">
        <is>
          <t>Koper</t>
        </is>
      </c>
      <c r="F36" s="66" t="inlineStr">
        <is>
          <t>Core TSS screen</t>
        </is>
      </c>
      <c r="G36" s="66" t="inlineStr">
        <is>
          <t>Service described by primary source (Stage 4 first pass)</t>
        </is>
      </c>
      <c r="H36" s="66" t="inlineStr">
        <is>
          <t>Not assigned</t>
        </is>
      </c>
      <c r="I36" s="66" t="inlineStr">
        <is>
          <t>SRC-060</t>
        </is>
      </c>
      <c r="J36" s="67" t="inlineStr">
        <is>
          <t>https://www.gov.si/assets/organi-v-sestavi/URSP/Dokumenti/VTS/Koper-VTS-Users-Manual.pdf</t>
        </is>
      </c>
      <c r="K36" s="66" t="inlineStr">
        <is>
          <t>Also listed in ADRIREP as MRCC Koper, Ch 12 (S13). VHF (research note only, not for operational use): Ch 69 primary, Ch 72 backup, Ch 07 MSI.</t>
        </is>
      </c>
      <c r="L36" s="66" t="inlineStr">
        <is>
          <t>2026-09-29</t>
        </is>
      </c>
    </row>
    <row r="37" ht="60" customHeight="1" s="63">
      <c r="A37" s="66" t="inlineStr">
        <is>
          <t>VTS-031</t>
        </is>
      </c>
      <c r="B37" s="66" t="inlineStr">
        <is>
          <t>VTS Trieste</t>
        </is>
      </c>
      <c r="C37" s="66" t="inlineStr">
        <is>
          <t>Italian territorial waters off Trieste bounded by points A to G (Manuale Utente), incl. part of Gulf of Trieste TSS and final part of Monfalcone approach TSS</t>
        </is>
      </c>
      <c r="D37" s="66" t="inlineStr">
        <is>
          <t>Guardia Costiera, Capitaneria di Porto di Trieste</t>
        </is>
      </c>
      <c r="E37" s="66" t="inlineStr">
        <is>
          <t>Trieste (RRS Monte Belvedere and Molo V)</t>
        </is>
      </c>
      <c r="F37" s="66" t="inlineStr">
        <is>
          <t>Core TSS screen</t>
        </is>
      </c>
      <c r="G37" s="66" t="inlineStr">
        <is>
          <t>Service described by primary source (Stage 4 first pass)</t>
        </is>
      </c>
      <c r="H37" s="66" t="inlineStr">
        <is>
          <t>Not assigned</t>
        </is>
      </c>
      <c r="I37" s="66" t="inlineStr">
        <is>
          <t>SRC-061; SRC-063; SRC-064; SRC-058</t>
        </is>
      </c>
      <c r="J37" s="67" t="inlineStr">
        <is>
          <t>https://www.guardiacostiera.gov.it/portale/documents/d/guest/it_trieste_manuale_utentevts
https://www.guardiacostiera.gov.it/portale/vessel-traffic-service
https://documenti.camera.it/leg19/documentiAcquisiti/COM08/Audizioni/leg19.com08.Audizioni.Memoria.PUBBLICO.ideGes.7923.15-06-2023-16-25-26.360.pdf
https://wwwcdn.imo.org/localresources/en/KnowledgeCentre/IndexofIMOResolutions/MSCResolutions/MSC.598(111).pdf</t>
        </is>
      </c>
      <c r="K37" s="66" t="inlineStr">
        <is>
          <t>Manual dated January 2018; current edition not checked. VHF (research note only, not for operational use): Ch 11 working; Ch 14 technical-nautical services; Ch 16.</t>
        </is>
      </c>
      <c r="L37" s="66" t="inlineStr">
        <is>
          <t>2026-09-29</t>
        </is>
      </c>
    </row>
    <row r="38" ht="60" customHeight="1" s="63">
      <c r="A38" s="66" t="inlineStr">
        <is>
          <t>VTS-032</t>
        </is>
      </c>
      <c r="B38" s="66" t="inlineStr">
        <is>
          <t>Venice VTS (VTS Venezia)</t>
        </is>
      </c>
      <c r="C38" s="66" t="inlineStr">
        <is>
          <t>Waters off the Lido, Malamocco and Chioggia inlets, points A to E (to 012°35'E)</t>
        </is>
      </c>
      <c r="D38" s="66" t="inlineStr">
        <is>
          <t>Guardia Costiera, Capitaneria di Porto di Venezia</t>
        </is>
      </c>
      <c r="E38" s="66" t="inlineStr">
        <is>
          <t>Venice (Santa Marta)</t>
        </is>
      </c>
      <c r="F38" s="66" t="inlineStr">
        <is>
          <t>Core TSS screen</t>
        </is>
      </c>
      <c r="G38" s="66" t="inlineStr">
        <is>
          <t>Service described by primary source (Stage 4 first pass)</t>
        </is>
      </c>
      <c r="H38" s="66" t="inlineStr">
        <is>
          <t>Not assigned</t>
        </is>
      </c>
      <c r="I38" s="66" t="inlineStr">
        <is>
          <t>SRC-062; SRC-063; SRC-064; SRC-058</t>
        </is>
      </c>
      <c r="J38" s="67" t="inlineStr">
        <is>
          <t>https://www.guardiacostiera.gov.it/portale/documents/d/guest/en_venezia_manuale_utentevts
https://www.guardiacostiera.gov.it/portale/vessel-traffic-service
https://documenti.camera.it/leg19/documentiAcquisiti/COM08/Audizioni/leg19.com08.Audizioni.Memoria.PUBBLICO.ideGes.7923.15-06-2023-16-25-26.360.pdf
https://wwwcdn.imo.org/localresources/en/KnowledgeCentre/IndexofIMOResolutions/MSCResolutions/MSC.598(111).pdf</t>
        </is>
      </c>
      <c r="K38" s="66" t="inlineStr">
        <is>
          <t>Procedures last updated 19/09/17. VHF (research note only, not for operational use): Ch 9 primary, Ch 11 secondary.</t>
        </is>
      </c>
      <c r="L38" s="66" t="inlineStr">
        <is>
          <t>2026-09-29</t>
        </is>
      </c>
    </row>
    <row r="39" ht="60" customHeight="1" s="63">
      <c r="A39" s="66" t="inlineStr">
        <is>
          <t>VTS-033</t>
        </is>
      </c>
      <c r="B39" s="66" t="inlineStr">
        <is>
          <t>VTS Croatia (VTS Hrvatska)</t>
        </is>
      </c>
      <c r="C39" s="66" t="inlineStr">
        <is>
          <t>Croatian internal waters, territorial sea and Protected Ecological-Fisheries Zone (ZERP); Sector A = ZERP</t>
        </is>
      </c>
      <c r="D39" s="66" t="inlineStr">
        <is>
          <t>Ministry of the Sea, Transport and Infrastructure, Croatia (Harbour Master's Offices)</t>
        </is>
      </c>
      <c r="E39" s="66" t="inlineStr">
        <is>
          <t>VTS Hrvatska Rijeka (north of 43°20'N), Split, Dubrovnik; sectors A, B and management sectors</t>
        </is>
      </c>
      <c r="F39" s="66" t="inlineStr">
        <is>
          <t>Additional coverage (no TSS link evidenced)</t>
        </is>
      </c>
      <c r="G39" s="66" t="inlineStr">
        <is>
          <t>Service described by primary source (Stage 4 first pass)</t>
        </is>
      </c>
      <c r="H39" s="66" t="inlineStr">
        <is>
          <t>Not assigned</t>
        </is>
      </c>
      <c r="I39" s="66" t="inlineStr">
        <is>
          <t>SRC-065; SRC-058</t>
        </is>
      </c>
      <c r="J39" s="67" t="inlineStr">
        <is>
          <t>https://www.hhi.hr/Portals/0/adam/HHI/a14_Qn4yJECeVbpwF_KLag/CouponFiles/VTS_RS_2015.pdf
https://wwwcdn.imo.org/localresources/en/KnowledgeCentre/IndexofIMOResolutions/MSCResolutions/MSC.598(111).pdf</t>
        </is>
      </c>
      <c r="K39" s="66" t="inlineStr">
        <is>
          <t>Source dated 2015; newer Croatian regulations and VTS chart reported by HHI (not fetched). Coverage of specific North Adriatic TSS components not geometrically verified. VHF (research note only, not for operational use): Sector A and B: Ch 10, 60.</t>
        </is>
      </c>
      <c r="L39" s="66" t="inlineStr">
        <is>
          <t>2026-09-29</t>
        </is>
      </c>
    </row>
    <row r="40" ht="60" customHeight="1" s="63">
      <c r="A40" s="66" t="inlineStr">
        <is>
          <t>VTS-034</t>
        </is>
      </c>
      <c r="B40" s="66" t="inlineStr">
        <is>
          <t>Turkish Straits Vessel Traffic Services (TSVTS; Türk Boğazları Gemi Trafik Hizmetleri, TBGTH)</t>
        </is>
      </c>
      <c r="C40" s="66" t="inlineStr">
        <is>
          <t>Istanbul Strait (17 NM), Marmara Sea (110 NM, including the Marmara TSS since 2008) and Çanakkale Strait (37 NM)</t>
        </is>
      </c>
      <c r="D40" s="66" t="inlineStr">
        <is>
          <t>Directorate General of Coastal Safety (KEGM) on behalf of the Ministry of Transport and Infrastructure, Türkiye</t>
        </is>
      </c>
      <c r="E40" s="66" t="inlineStr">
        <is>
          <t>Two VTS centres: İstinye (Istanbul) and Akbaş (Çanakkale). Sector names (Türkeli, Kandilli, Kadıköy, Marmara; Gelibolu, Nara, Kumkale) are search-snippet leads only</t>
        </is>
      </c>
      <c r="F40" s="66" t="inlineStr">
        <is>
          <t>Core TSS screen</t>
        </is>
      </c>
      <c r="G40" s="66" t="inlineStr">
        <is>
          <t>Service described by primary source (Stage 4 first pass)</t>
        </is>
      </c>
      <c r="H40" s="66" t="inlineStr">
        <is>
          <t>Not assigned</t>
        </is>
      </c>
      <c r="I40" s="66" t="inlineStr">
        <is>
          <t>SRC-066; SRC-067; SRC-070; SRC-071</t>
        </is>
      </c>
      <c r="J40" s="67" t="inlineStr">
        <is>
          <t>https://kiyiemniyeti.gov.tr/vessel_traffic_and_pilotage_services
https://www.resmigazete.gov.tr/eskiler/2019/08/20190815-18.pdf
https://www.kiyiemniyeti.gov.tr/gemi_trafik_ve_kilavuzluk_hizmeti
https://denizcilik.uab.gov.tr/uploads/pages/yonerge-talimat/tbdtduy.pdf</t>
        </is>
      </c>
      <c r="K40" s="66" t="inlineStr">
        <is>
          <t>Operational since 30 December 2003; extended to Marmara Sea in 2008. Treat as one service with two centres. VHF (research note only, not for operational use): Not stated on fetched primary pages (search snippets give Gelibolu Ch 11, Nara Ch 12, Kumkale Ch 13: unverified).</t>
        </is>
      </c>
      <c r="L40" s="66" t="inlineStr">
        <is>
          <t>2026-09-29</t>
        </is>
      </c>
    </row>
    <row r="41" ht="60" customHeight="1" s="63">
      <c r="A41" s="66" t="inlineStr">
        <is>
          <t>VTS-035</t>
        </is>
      </c>
      <c r="B41" s="66" t="inlineStr">
        <is>
          <t>Piraeus VTS (Hellenic Coast Guard) (lead)</t>
        </is>
      </c>
      <c r="C41" s="66" t="inlineStr">
        <is>
          <t>Wider sea area of Piraeus (per lead)</t>
        </is>
      </c>
      <c r="D41" s="66" t="inlineStr">
        <is>
          <t>Hellenic Coast Guard</t>
        </is>
      </c>
      <c r="E41" s="66" t="inlineStr">
        <is>
          <t>Piraeus; linked to national VTMIS centre</t>
        </is>
      </c>
      <c r="F41" s="66" t="inlineStr">
        <is>
          <t>Stage 4 research lead (not counted)</t>
        </is>
      </c>
      <c r="G41" s="66" t="inlineStr">
        <is>
          <t>Lead only; service identity or coverage not established by primary source</t>
        </is>
      </c>
      <c r="H41" s="66" t="inlineStr">
        <is>
          <t>Not assigned</t>
        </is>
      </c>
      <c r="I41" s="66" t="inlineStr">
        <is>
          <t>SRC-069</t>
        </is>
      </c>
      <c r="J41" s="67" t="inlineStr">
        <is>
          <t>https://maredu.hcg.gr/modules/document/file.php/MAK264/%CE%9D%CE%B1%CF%85%CF%84%CE%B9%CE%BA%CE%AD%CF%82%20%CE%95%CF%80%CE%B9%CE%BA%CE%BF%CE%B9%CE%BD%CF%89%CE%BD%CE%AF%CE%B5%CF%82%20-%20%CE%9D%CE%97%CE%9F/%CE%A3%CF%85%CF%83%CF%84%CE%AE%CE%BC%CE%B1%CF%84%CE%B1%20%CF%80%CE%B1%CF%81%CE%B1%CE%BA%CE%BF%CE%BB%CE%BF%CF%8D%CE%B8%CE%B7%CF%83%CE%B7%CF%82%20%CF%80%CE%BB%CE%BF%CE%AF%CF%89%CE%BD%20%CE%B1%CE%BD%CE%AC%20%CF%84%CE%B7%CE%BD%20%CF%85%CF%86%CE%AE%CE%BB%CE%B9%CE%BF%20%CE%BA%CE%B1%CE%B9%20%CE%B5%CE%BE%CE%BF%CF%80%CE%BB%CE%B9%CF%83%CE%BC%CF%8C%CF%82%20%CE%B5%CF%80%CE%AF%20%CF%84%CE%BF%CF%85%20%CF%80%CE%BB%CE%BF%CE%AF%CE%BF%CF%85.pdf</t>
        </is>
      </c>
      <c r="K41" s="66" t="inlineStr">
        <is>
          <t>hcg.gr returned HTTP 403; no primary source fetched that defines the VTS area or Saronikos TSS coverage.</t>
        </is>
      </c>
      <c r="L41" s="66" t="inlineStr">
        <is>
          <t>2026-09-29</t>
        </is>
      </c>
    </row>
    <row r="42" ht="60" customHeight="1" s="63">
      <c r="A42" s="66" t="inlineStr">
        <is>
          <t>VTS-036</t>
        </is>
      </c>
      <c r="B42" s="66" t="inlineStr">
        <is>
          <t>VTCP Odesa (vessel traffic service of the Delta-Lotsman branch of SE USPA)</t>
        </is>
      </c>
      <c r="C42" s="66" t="inlineStr">
        <is>
          <t>Not defined on fetched pages; wartime approach corridor to Chornomorsk, Odesa and Pivdennyi referenced</t>
        </is>
      </c>
      <c r="D42" s="66" t="inlineStr">
        <is>
          <t>State Enterprise Ukrainian Sea Ports Authority (USPA), Delta-Lotsman (Delta Pilot) branch</t>
        </is>
      </c>
      <c r="E42" s="66" t="inlineStr">
        <is>
          <t>Not stated</t>
        </is>
      </c>
      <c r="F42" s="66" t="inlineStr">
        <is>
          <t>Additional coverage (no TSS link evidenced)</t>
        </is>
      </c>
      <c r="G42" s="66" t="inlineStr">
        <is>
          <t>Service described by primary source (Stage 4 first pass)</t>
        </is>
      </c>
      <c r="H42" s="66" t="inlineStr">
        <is>
          <t>Not assigned</t>
        </is>
      </c>
      <c r="I42" s="66" t="inlineStr">
        <is>
          <t>SRC-077; SRC-075</t>
        </is>
      </c>
      <c r="J42" s="67" t="inlineStr">
        <is>
          <t>https://www.uspa.gov.ua/en/announcements-en/information-for-shipowners-agents-port-operators
https://marad.gov.ua/storage/app/sites/1/international-activities/Propozicii_sistemi_rozpodilu_ryhu_en.pdf</t>
        </is>
      </c>
      <c r="K42" s="66" t="inlineStr">
        <is>
          <t>Existence confirmed (USPA 2022 notice; Marad TSS proposal cites 'The VTS of ... Delta Pilot'). Coverage of the TSS not evidenced. Conflict-affected area. VHF (research note only, not for operational use): Corridor inter-ship working Ch 69 (reserve 73); Odesa branch coordination Ch 6 (reserve 8, 67) as stated in 2022 notice; VTS channel not stated.</t>
        </is>
      </c>
      <c r="L42" s="66" t="inlineStr">
        <is>
          <t>2026-09-29</t>
        </is>
      </c>
    </row>
    <row r="43" ht="60" customHeight="1" s="63">
      <c r="A43" s="66" t="inlineStr">
        <is>
          <t>VTS-037</t>
        </is>
      </c>
      <c r="B43" s="66" t="inlineStr">
        <is>
          <t>Gulf of Suez Vessel Traffic Information Management System (VTIMS)</t>
        </is>
      </c>
      <c r="C43" s="66" t="inlineStr">
        <is>
          <t>Gulf of Suez (trade press describes 175 NM gulf) and Port of Safaga</t>
        </is>
      </c>
      <c r="D43" s="66" t="inlineStr">
        <is>
          <t>Ports and Lighthouses Administration, Egypt (as customer, per 2002 trade press)</t>
        </is>
      </c>
      <c r="E43" s="66" t="inlineStr">
        <is>
          <t>Three vessel traffic centres, two on the Gulf and one at Safaga (per 2002 trade press)</t>
        </is>
      </c>
      <c r="F43" s="66" t="inlineStr">
        <is>
          <t>Stage 4 research lead (not counted)</t>
        </is>
      </c>
      <c r="G43" s="66" t="inlineStr">
        <is>
          <t>Lead only; service identity or coverage not established by primary source</t>
        </is>
      </c>
      <c r="H43" s="66" t="inlineStr">
        <is>
          <t>Not assigned</t>
        </is>
      </c>
      <c r="I43" s="66" t="inlineStr">
        <is>
          <t>SRC-080</t>
        </is>
      </c>
      <c r="J43" s="67" t="inlineStr">
        <is>
          <t>https://www.marinelink.com/news/307563</t>
        </is>
      </c>
      <c r="K43" s="66" t="inlineStr">
        <is>
          <t>No current primary Egyptian source retrieved; operating status in 2026 unknown.</t>
        </is>
      </c>
      <c r="L43" s="66" t="inlineStr">
        <is>
          <t>2026-09-29</t>
        </is>
      </c>
    </row>
    <row r="44" ht="60" customHeight="1" s="63">
      <c r="A44" s="66" t="inlineStr">
        <is>
          <t>VTS-038</t>
        </is>
      </c>
      <c r="B44" s="66" t="inlineStr">
        <is>
          <t>Das VTIS</t>
        </is>
      </c>
      <c r="C44" s="66" t="inlineStr">
        <is>
          <t>Das Island offshore area including the Zaqqum TSS (full limits not stated)</t>
        </is>
      </c>
      <c r="D44" s="66" t="inlineStr">
        <is>
          <t>ADNOC, Harbour Master, Port of Das, Zirku &amp; Mubarraz</t>
        </is>
      </c>
      <c r="E44" s="66" t="inlineStr">
        <is>
          <t>Das Island</t>
        </is>
      </c>
      <c r="F44" s="66" t="inlineStr">
        <is>
          <t>Additional coverage (no TSS link evidenced)</t>
        </is>
      </c>
      <c r="G44" s="66" t="inlineStr">
        <is>
          <t>Service described by primary source (Stage 4 first pass)</t>
        </is>
      </c>
      <c r="H44" s="66" t="inlineStr">
        <is>
          <t>Not assigned</t>
        </is>
      </c>
      <c r="I44" s="66" t="inlineStr">
        <is>
          <t>SRC-089</t>
        </is>
      </c>
      <c r="J44" s="67" t="inlineStr">
        <is>
          <t>https://ppa.adnoc.ae/-/media/ppa/files/marine-notices/local-marine-notices/das/2023/marine-notice-019-2023---pipe-laying-operation---traffic-arrangement-in-zaqqum-tss.ashx</t>
        </is>
      </c>
      <c r="K44" s="66" t="inlineStr">
        <is>
          <t>Standing description of the service area not found. VHF (research note only, not for operational use): 23.</t>
        </is>
      </c>
      <c r="L44" s="66" t="inlineStr">
        <is>
          <t>2026-09-29</t>
        </is>
      </c>
    </row>
    <row r="45" ht="60" customHeight="1" s="63">
      <c r="A45" s="66" t="inlineStr">
        <is>
          <t>VTS-039</t>
        </is>
      </c>
      <c r="B45" s="66" t="inlineStr">
        <is>
          <t>Bandar Abbas VTS (Vessel Traffic Centre)</t>
        </is>
      </c>
      <c r="C45" s="66" t="inlineStr">
        <is>
          <t>Approaches to Bandar Abbas between Larak, Hormuz and Qeshm islands (lead)</t>
        </is>
      </c>
      <c r="D45" s="66" t="inlineStr">
        <is>
          <t>Ports and Maritime Organization of Iran (lead)</t>
        </is>
      </c>
      <c r="E45" s="66" t="inlineStr">
        <is>
          <t>Bandar Abbas</t>
        </is>
      </c>
      <c r="F45" s="66" t="inlineStr">
        <is>
          <t>Stage 4 research lead (not counted)</t>
        </is>
      </c>
      <c r="G45" s="66" t="inlineStr">
        <is>
          <t>Lead only; service identity or coverage not established by primary source</t>
        </is>
      </c>
      <c r="H45" s="66" t="inlineStr">
        <is>
          <t>Not assigned</t>
        </is>
      </c>
      <c r="I45" s="66" t="inlineStr"/>
      <c r="J45" s="67" t="inlineStr"/>
      <c r="K45" s="66" t="inlineStr">
        <is>
          <t>Search snippet from a puertos.es document that returned HTTP 403; not retrieved, not linked to the IMO Hormuz TSS. VHF (research note only, not for operational use): 13 (lead).</t>
        </is>
      </c>
      <c r="L45" s="66" t="inlineStr">
        <is>
          <t>2026-09-29</t>
        </is>
      </c>
    </row>
    <row r="46" ht="60" customHeight="1" s="63">
      <c r="A46" s="66" t="inlineStr">
        <is>
          <t>VTS-040</t>
        </is>
      </c>
      <c r="B46" s="66" t="inlineStr">
        <is>
          <t>Ras Tanura Port Control (Saudi Aramco VTMS)</t>
        </is>
      </c>
      <c r="C46" s="66" t="inlineStr">
        <is>
          <t>Port of Ras Tanura and Ju'aymah terminals (lead)</t>
        </is>
      </c>
      <c r="D46" s="66" t="inlineStr">
        <is>
          <t>Saudi Aramco (lead)</t>
        </is>
      </c>
      <c r="E46" s="66" t="inlineStr">
        <is>
          <t>Ras Tanura</t>
        </is>
      </c>
      <c r="F46" s="66" t="inlineStr">
        <is>
          <t>Stage 4 research lead (not counted)</t>
        </is>
      </c>
      <c r="G46" s="66" t="inlineStr">
        <is>
          <t>Lead only; service identity or coverage not established by primary source</t>
        </is>
      </c>
      <c r="H46" s="66" t="inlineStr">
        <is>
          <t>Not assigned</t>
        </is>
      </c>
      <c r="I46" s="66" t="inlineStr"/>
      <c r="J46" s="67" t="inlineStr"/>
      <c r="K46" s="66" t="inlineStr">
        <is>
          <t>Search snippets from Aramco Ports and Terminals PDFs; all returned 404/403 on fetch. VHF (research note only, not for operational use): 10, 16 (lead).</t>
        </is>
      </c>
      <c r="L46" s="66" t="inlineStr">
        <is>
          <t>2026-09-29</t>
        </is>
      </c>
    </row>
    <row r="47" ht="60" customHeight="1" s="63">
      <c r="A47" s="66" t="inlineStr">
        <is>
          <t>VTS-041</t>
        </is>
      </c>
      <c r="B47" s="66" t="inlineStr">
        <is>
          <t>Merak VTS</t>
        </is>
      </c>
      <c r="C47" s="66" t="inlineStr">
        <is>
          <t>Sunda Strait TSS</t>
        </is>
      </c>
      <c r="D47" s="66" t="inlineStr">
        <is>
          <t>Directorate General of Sea Transportation, Ministry of Transportation, Indonesia</t>
        </is>
      </c>
      <c r="E47" s="66" t="inlineStr">
        <is>
          <t>Merak (Banten)</t>
        </is>
      </c>
      <c r="F47" s="66" t="inlineStr">
        <is>
          <t>Core TSS screen</t>
        </is>
      </c>
      <c r="G47" s="66" t="inlineStr">
        <is>
          <t>Service described by primary source (Stage 4 first pass)</t>
        </is>
      </c>
      <c r="H47" s="66" t="inlineStr">
        <is>
          <t>Not assigned</t>
        </is>
      </c>
      <c r="I47" s="66" t="inlineStr">
        <is>
          <t>SRC-096</t>
        </is>
      </c>
      <c r="J47" s="67" t="inlineStr">
        <is>
          <t>https://hubla.dephub.go.id/home/post/read/7657/berlaku-1-juli-2020-kemenhub-jelaskan-sistem-pelaporan-kapal-di-tss-selat-sunda-dan-selat-lombok</t>
        </is>
      </c>
      <c r="K47" s="66" t="inlineStr">
        <is>
          <t>Call sign 'Merak VTS'. Operates SUNDAREP. VHF (research note only, not for operational use): Ch 22 or 68.</t>
        </is>
      </c>
      <c r="L47" s="66" t="inlineStr">
        <is>
          <t>2026-09-29</t>
        </is>
      </c>
    </row>
    <row r="48" ht="60" customHeight="1" s="63">
      <c r="A48" s="66" t="inlineStr">
        <is>
          <t>VTS-042</t>
        </is>
      </c>
      <c r="B48" s="66" t="inlineStr">
        <is>
          <t>Benoa VTS</t>
        </is>
      </c>
      <c r="C48" s="66" t="inlineStr">
        <is>
          <t>Lombok Strait TSS</t>
        </is>
      </c>
      <c r="D48" s="66" t="inlineStr">
        <is>
          <t>Directorate General of Sea Transportation, Ministry of Transportation, Indonesia</t>
        </is>
      </c>
      <c r="E48" s="66" t="inlineStr">
        <is>
          <t>Benoa (Bali)</t>
        </is>
      </c>
      <c r="F48" s="66" t="inlineStr">
        <is>
          <t>Core TSS screen</t>
        </is>
      </c>
      <c r="G48" s="66" t="inlineStr">
        <is>
          <t>Service described by primary source (Stage 4 first pass)</t>
        </is>
      </c>
      <c r="H48" s="66" t="inlineStr">
        <is>
          <t>Not assigned</t>
        </is>
      </c>
      <c r="I48" s="66" t="inlineStr">
        <is>
          <t>SRC-096</t>
        </is>
      </c>
      <c r="J48" s="67" t="inlineStr">
        <is>
          <t>https://hubla.dephub.go.id/home/post/read/7657/berlaku-1-juli-2020-kemenhub-jelaskan-sistem-pelaporan-kapal-di-tss-selat-sunda-dan-selat-lombok</t>
        </is>
      </c>
      <c r="K48" s="66" t="inlineStr">
        <is>
          <t>Call sign 'Benoa VTS' (not 'Lombok VTS'). Operates LOMBOKREP. VHF (research note only, not for operational use): Ch 16 or 68.</t>
        </is>
      </c>
      <c r="L48" s="66" t="inlineStr">
        <is>
          <t>2026-09-29</t>
        </is>
      </c>
    </row>
    <row r="49" ht="60" customHeight="1" s="63">
      <c r="A49" s="66" t="inlineStr">
        <is>
          <t>VTS-043</t>
        </is>
      </c>
      <c r="B49" s="66" t="inlineStr">
        <is>
          <t>Hong Kong Vessel Traffic Service</t>
        </is>
      </c>
      <c r="C49" s="66" t="inlineStr">
        <is>
          <t>All navigable waters of Hong Kong used by sea-going vessels and ferries</t>
        </is>
      </c>
      <c r="D49" s="66" t="inlineStr">
        <is>
          <t>Marine Department, HKSAR Government (Vessel Traffic Centre)</t>
        </is>
      </c>
      <c r="E49" s="66" t="inlineStr">
        <is>
          <t>Vessel Traffic Centre; VHF sectors Eastern Approaches, Harbour East, Harbour, Western Approaches, Lantau South, Kwai Chung Control Station</t>
        </is>
      </c>
      <c r="F49" s="66" t="inlineStr">
        <is>
          <t>Core TSS screen</t>
        </is>
      </c>
      <c r="G49" s="66" t="inlineStr">
        <is>
          <t>Service described by primary source (Stage 4 first pass)</t>
        </is>
      </c>
      <c r="H49" s="66" t="inlineStr">
        <is>
          <t>Not assigned</t>
        </is>
      </c>
      <c r="I49" s="66" t="inlineStr">
        <is>
          <t>SRC-098; SRC-099; SRC-101</t>
        </is>
      </c>
      <c r="J49" s="67" t="inlineStr">
        <is>
          <t>https://www.mardep.gov.hk/en/materials-and-publications/publications/hk-fact-sheet/index.html
https://www.mardep.gov.hk/filemanager/en/share/publications/pdf/materials/vtc_pamphlet.pdf
https://www.mardep.gov.hk/filemanager/en/share/pub-services/pdf/vts_vscp.pdf</t>
        </is>
      </c>
      <c r="K49" s="66" t="inlineStr">
        <is>
          <t>Tathong Channel Separation Buoy No. 1 and Lamma Patch are Eastern Approaches calling-in points. VHF (research note only, not for operational use): Eastern Approaches Ch 12; Harbour East Ch 02; Harbour Ch 14; Western Approaches Ch 67; Lantau South Ch 63; Kwai Chung Ch 74.</t>
        </is>
      </c>
      <c r="L49" s="66" t="inlineStr">
        <is>
          <t>2026-09-29</t>
        </is>
      </c>
    </row>
    <row r="50" ht="60" customHeight="1" s="63">
      <c r="A50" s="66" t="inlineStr">
        <is>
          <t>VTS-044</t>
        </is>
      </c>
      <c r="B50" s="66" t="inlineStr">
        <is>
          <t>Guangzhou VTS Centre (广州海事局船舶交通管理中心, Pearl River Estuary VTS)</t>
        </is>
      </c>
      <c r="C50" s="66" t="inlineStr">
        <is>
          <t>Pearl River Estuary waters including the Dangan Channel TSS</t>
        </is>
      </c>
      <c r="D50" s="66" t="inlineStr">
        <is>
          <t>Guangzhou Maritime Safety Administration (China MSA)</t>
        </is>
      </c>
      <c r="E50" s="66" t="inlineStr">
        <is>
          <t>Guangzhou VTS Centre; 'Dangan' monitoring station on trial from 8 April 2026 (lead)</t>
        </is>
      </c>
      <c r="F50" s="66" t="inlineStr">
        <is>
          <t>Core TSS screen</t>
        </is>
      </c>
      <c r="G50" s="66" t="inlineStr">
        <is>
          <t>Service described by primary source (Stage 4 first pass)</t>
        </is>
      </c>
      <c r="H50" s="66" t="inlineStr">
        <is>
          <t>Not assigned</t>
        </is>
      </c>
      <c r="I50" s="66" t="inlineStr">
        <is>
          <t>SRC-102; SRC-104; SRC-103</t>
        </is>
      </c>
      <c r="J50" s="67" t="inlineStr">
        <is>
          <t>https://m.thepaper.cn/newsDetail_forward_30326627
https://www.gd.msa.gov.cn/288d370277a13952929caab591b72d65/784a5ef27d1d402db548f019c88978b6.jhtml
https://www.chinanews.com.cn/dwq/2026/04-08/10600653.shtml</t>
        </is>
      </c>
      <c r="K50" s="66" t="inlineStr">
        <is>
          <t>Call name in S13: 广州交管中心. Shenzhen VTS not evidenced for Dangan. VHF (research note only, not for operational use): Ch 08/09 (for assistance, per S13).</t>
        </is>
      </c>
      <c r="L50" s="66" t="inlineStr">
        <is>
          <t>2026-09-29</t>
        </is>
      </c>
    </row>
    <row r="51" ht="60" customHeight="1" s="63">
      <c r="A51" s="66" t="inlineStr">
        <is>
          <t>VTS-045</t>
        </is>
      </c>
      <c r="B51" s="66" t="inlineStr">
        <is>
          <t>Chengshan Jiao VTS Centre</t>
        </is>
      </c>
      <c r="C51" s="66" t="inlineStr">
        <is>
          <t>Circle of 24 nm radius centred 37°23.65'N 122°42.12'E</t>
        </is>
      </c>
      <c r="D51" s="66" t="inlineStr">
        <is>
          <t>Weihai Maritime Safety Administration, China</t>
        </is>
      </c>
      <c r="E51" s="66" t="inlineStr">
        <is>
          <t>Chengshan Jiao VTS Centre</t>
        </is>
      </c>
      <c r="F51" s="66" t="inlineStr">
        <is>
          <t>Core TSS screen</t>
        </is>
      </c>
      <c r="G51" s="66" t="inlineStr">
        <is>
          <t>Service described by primary source (Stage 4 first pass)</t>
        </is>
      </c>
      <c r="H51" s="66" t="inlineStr">
        <is>
          <t>Not assigned</t>
        </is>
      </c>
      <c r="I51" s="66" t="inlineStr">
        <is>
          <t>SRC-105</t>
        </is>
      </c>
      <c r="J51" s="67" t="inlineStr">
        <is>
          <t>https://wwwcdn.imo.org/localresources/en/KnowledgeCentre/IndexofIMOResolutions/MSCResolutions/MSC%20389%2094.pdf</t>
        </is>
      </c>
      <c r="K51" s="66" t="inlineStr">
        <is>
          <t>Also operates the IMO mandatory SRS 'Off Chengshan Jiao Promontory'. VHF (research note only, not for operational use): Primary Ch 08; secondary Ch 09 or 65.</t>
        </is>
      </c>
      <c r="L51" s="66" t="inlineStr">
        <is>
          <t>2026-09-29</t>
        </is>
      </c>
    </row>
    <row r="52" ht="60" customHeight="1" s="63">
      <c r="A52" s="66" t="inlineStr">
        <is>
          <t>VTS-046</t>
        </is>
      </c>
      <c r="B52" s="66" t="inlineStr">
        <is>
          <t>Regional VTS of Peter the Great Gulf (РСУДС залива Петра Великого), Nakhodka sector</t>
        </is>
      </c>
      <c r="C52" s="66" t="inlineStr">
        <is>
          <t>Sector 2 (Nakhodka Gulf) and Sector 1B (approaches, 132°28'E to 133°43'E, south to territorial sea boundary)</t>
        </is>
      </c>
      <c r="D52" s="66" t="inlineStr">
        <is>
          <t>Captain of the seaport Nakhodka / Russian port administration (Ministry of Transport rules)</t>
        </is>
      </c>
      <c r="E52" s="66" t="inlineStr">
        <is>
          <t>Sector 1B (Ch 9), Sector 2 (Ch 13, call sign 'Находка-Трафик')</t>
        </is>
      </c>
      <c r="F52" s="66" t="inlineStr">
        <is>
          <t>Core TSS screen</t>
        </is>
      </c>
      <c r="G52" s="66" t="inlineStr">
        <is>
          <t>Service described by primary source (Stage 4 first pass)</t>
        </is>
      </c>
      <c r="H52" s="66" t="inlineStr">
        <is>
          <t>Not assigned</t>
        </is>
      </c>
      <c r="I52" s="66" t="inlineStr">
        <is>
          <t>SRC-107</t>
        </is>
      </c>
      <c r="J52" s="67" t="inlineStr">
        <is>
          <t>https://rg.ru/documents/2011/07/05/naxodka-site-dok.html</t>
        </is>
      </c>
      <c r="K52" s="66" t="inlineStr">
        <is>
          <t>Based on 2011 original text; amended to 2017 (S19); current consolidated text not retrieved. VHF (research note only, not for operational use): Ch 9 (sector 1B); Ch 13 and 16 (sector 2).</t>
        </is>
      </c>
      <c r="L52" s="66" t="inlineStr">
        <is>
          <t>2026-09-29</t>
        </is>
      </c>
    </row>
    <row r="53" ht="60" customHeight="1" s="63">
      <c r="A53" s="66" t="inlineStr">
        <is>
          <t>VTS-047</t>
        </is>
      </c>
      <c r="B53" s="66" t="inlineStr">
        <is>
          <t>Korsakov port VTS (СУДС морского порта Корсаков)</t>
        </is>
      </c>
      <c r="C53" s="66" t="inlineStr">
        <is>
          <t>Korsakov seaport, Aniva Bay</t>
        </is>
      </c>
      <c r="D53" s="66" t="inlineStr">
        <is>
          <t>Russian port administration (Ministry of Transport rules)</t>
        </is>
      </c>
      <c r="E53" s="66" t="inlineStr">
        <is>
          <t>Not established</t>
        </is>
      </c>
      <c r="F53" s="66" t="inlineStr">
        <is>
          <t>Stage 4 research lead (not counted)</t>
        </is>
      </c>
      <c r="G53" s="66" t="inlineStr">
        <is>
          <t>Lead only; service identity or coverage not established by primary source</t>
        </is>
      </c>
      <c r="H53" s="66" t="inlineStr">
        <is>
          <t>Not assigned</t>
        </is>
      </c>
      <c r="I53" s="66" t="inlineStr"/>
      <c r="J53" s="67" t="inlineStr"/>
      <c r="K53" s="66" t="inlineStr">
        <is>
          <t>Only a search snippet; mintrans.gov.ru documents would not load. Coverage of the Aniva Cape TSS not evidenced.</t>
        </is>
      </c>
      <c r="L53" s="66" t="inlineStr">
        <is>
          <t>2026-09-29</t>
        </is>
      </c>
    </row>
    <row r="54" ht="60" customHeight="1" s="63">
      <c r="A54" s="66" t="inlineStr">
        <is>
          <t>VTS-048</t>
        </is>
      </c>
      <c r="B54" s="66" t="inlineStr">
        <is>
          <t>Victoria Traffic (CCG MCTS Victoria, Victoria VTS Zone)</t>
        </is>
      </c>
      <c r="C54" s="66" t="inlineStr">
        <is>
          <t>Victoria VTS Zone Sector 1: Canadian waters from 124°40'W through Strait of Juan de Fuca, Haro Strait, Boundary Pass and Strait of Georgia (plus Sectors 2 to 4: Fraser River, Vancouver harbour/Howe Sound, northern Strait of Georgia to Cape Caution)</t>
        </is>
      </c>
      <c r="D54" s="66" t="inlineStr">
        <is>
          <t>Canadian Coast Guard, Marine Communications and Traffic Services</t>
        </is>
      </c>
      <c r="E54" s="66" t="inlineStr">
        <is>
          <t>Victoria MCTS Centre; Sector 1 Ch 11, Sector 2 Ch 74, Sector 3 Ch 12, Sector 4 Ch 71; Seattle Traffic Ch 5A for CIPs 1, 3, 5, 8 in Sector 1</t>
        </is>
      </c>
      <c r="F54" s="66" t="inlineStr">
        <is>
          <t>Core TSS screen</t>
        </is>
      </c>
      <c r="G54" s="66" t="inlineStr">
        <is>
          <t>Service described by primary source (Stage 4 first pass)</t>
        </is>
      </c>
      <c r="H54" s="66" t="inlineStr">
        <is>
          <t>Not assigned</t>
        </is>
      </c>
      <c r="I54" s="66" t="inlineStr">
        <is>
          <t>SRC-116; SRC-113; SRC-114; SRC-119; SRC-117; SRC-017</t>
        </is>
      </c>
      <c r="J54" s="67" t="inlineStr">
        <is>
          <t>https://laws-lois.justice.gc.ca/eng/regulations/SOR-2025-275/FullText.html
https://www.ecfr.gov/current/title-33/part-161/section-161.12
https://www.ecfr.gov/current/title-33/part-161/section-161.55
https://www.canada.ca/content/dam/ccg-gcc/documents/publications/mcts-sctm/ramn-arnm-2026-eng.pdf
https://www.ecfr.gov/api/versioner/v1/full/2026-09-01/title-33.xml?part=161
https://www.navcen.uscg.gov/vessel-traffic-services-locations</t>
        </is>
      </c>
      <c r="K54" s="66" t="inlineStr">
        <is>
          <t>Separate Canadian service for TSS-0131. 33 CFR 161.55 still names a Vancouver centre; CCG RAMN 2026 lists Victoria Traffic for these sectors. Applies under Vessel Traffic Services Zones Regulations SOR/2025-275 (vessels 300 GT+, tows 500 GT+, pollutant/dangerous goods carriers). VHF (research note only, not for operational use): Ch 11 (Sector 1); Ch 74; Ch 12; Ch 71.</t>
        </is>
      </c>
      <c r="L54" s="66" t="inlineStr">
        <is>
          <t>2026-09-29</t>
        </is>
      </c>
    </row>
    <row r="55" ht="60" customHeight="1" s="63">
      <c r="A55" s="66" t="inlineStr">
        <is>
          <t>VTS-049</t>
        </is>
      </c>
      <c r="B55" s="66" t="inlineStr">
        <is>
          <t>Salina Cruz Port Vessel Traffic Supervisor</t>
        </is>
      </c>
      <c r="C55" s="66" t="inlineStr">
        <is>
          <t>Salina Cruz port area and approaches TSS/precautionary area</t>
        </is>
      </c>
      <c r="D55" s="66" t="inlineStr">
        <is>
          <t>Mexico (port authority/Capitanía de Puerto, not stated in source)</t>
        </is>
      </c>
      <c r="E55" s="66" t="inlineStr">
        <is>
          <t>Not stated</t>
        </is>
      </c>
      <c r="F55" s="66" t="inlineStr">
        <is>
          <t>Stage 4 research lead (not counted)</t>
        </is>
      </c>
      <c r="G55" s="66" t="inlineStr">
        <is>
          <t>Lead only; service identity or coverage not established by primary source</t>
        </is>
      </c>
      <c r="H55" s="66" t="inlineStr">
        <is>
          <t>Not assigned</t>
        </is>
      </c>
      <c r="I55" s="66" t="inlineStr">
        <is>
          <t>SRC-054; SRC-072</t>
        </is>
      </c>
      <c r="J55" s="67" t="inlineStr">
        <is>
          <t>https://www.transportstyrelsen.se/globalassets/global/sjofart/dokument/sjotrafik_dok/imo_colreg.2_cirkular.pdf?id=58526
https://wwwcdn.imo.org/localresources/en/KnowledgeCentre/IndexofIMOResolutions/AssemblyDocuments/A.827(19).pdf</t>
        </is>
      </c>
      <c r="K55" s="66" t="inlineStr">
        <is>
          <t>Described in IMO COLREG.2/Circ.40 (1994) and A.827(19) (1995) as supervising the port area 24 h; current existence, name and status as a VTS not verified from a current Mexican (SEMAR) source. VHF (research note only, not for operational use): Ch 6 (as of 1994/1995 IMO texts).</t>
        </is>
      </c>
      <c r="L55" s="66" t="inlineStr">
        <is>
          <t>2026-09-29</t>
        </is>
      </c>
    </row>
    <row r="56" ht="60" customHeight="1" s="63">
      <c r="A56" s="66" t="inlineStr">
        <is>
          <t>VTS-050</t>
        </is>
      </c>
      <c r="B56" s="66" t="inlineStr">
        <is>
          <t>VTS Callao</t>
        </is>
      </c>
      <c r="C56" s="66" t="inlineStr">
        <is>
          <t>Port of Callao (extent not established)</t>
        </is>
      </c>
      <c r="D56" s="66" t="inlineStr">
        <is>
          <t>DICAPI / Capitanía de Puerto del Callao (Marina de Guerra del Perú)</t>
        </is>
      </c>
      <c r="E56" s="66" t="inlineStr">
        <is>
          <t>Not established</t>
        </is>
      </c>
      <c r="F56" s="66" t="inlineStr">
        <is>
          <t>Stage 4 research lead (not counted)</t>
        </is>
      </c>
      <c r="G56" s="66" t="inlineStr">
        <is>
          <t>Lead only; service identity or coverage not established by primary source</t>
        </is>
      </c>
      <c r="H56" s="66" t="inlineStr">
        <is>
          <t>Not assigned</t>
        </is>
      </c>
      <c r="I56" s="66" t="inlineStr"/>
      <c r="J56" s="67" t="inlineStr"/>
      <c r="K56" s="66" t="inlineStr">
        <is>
          <t>Search leads only: Revista de Marina 2023 article 'Los servicios de tráfico marítimo del Callao - VTS Callao' (URL returned 404) and Wartsila/Marine Log reports (2020) of a VTS order by DIRCOMAT (article 404 on fetch; industry reports not fetched). No coverage of the Callao TSS evidenced.</t>
        </is>
      </c>
      <c r="L56" s="66" t="inlineStr">
        <is>
          <t>2026-09-29</t>
        </is>
      </c>
    </row>
    <row r="57" ht="60" customHeight="1" s="63">
      <c r="A57" s="66" t="inlineStr">
        <is>
          <t>VTS-051</t>
        </is>
      </c>
      <c r="B57" s="66" t="inlineStr">
        <is>
          <t>VTS Valparaíso (CBV-20)</t>
        </is>
      </c>
      <c r="C57" s="66" t="inlineStr">
        <is>
          <t>Valparaíso Bay (extent not established)</t>
        </is>
      </c>
      <c r="D57" s="66" t="inlineStr">
        <is>
          <t>DIRECTEMAR / Gobernación Marítima de Valparaíso (inferred)</t>
        </is>
      </c>
      <c r="E57" s="66" t="inlineStr">
        <is>
          <t>Call sign CBV-20</t>
        </is>
      </c>
      <c r="F57" s="66" t="inlineStr">
        <is>
          <t>Stage 4 research lead (not counted)</t>
        </is>
      </c>
      <c r="G57" s="66" t="inlineStr">
        <is>
          <t>Lead only; service identity or coverage not established by primary source</t>
        </is>
      </c>
      <c r="H57" s="66" t="inlineStr">
        <is>
          <t>Not assigned</t>
        </is>
      </c>
      <c r="I57" s="66" t="inlineStr">
        <is>
          <t>SRC-122</t>
        </is>
      </c>
      <c r="J57" s="67" t="inlineStr">
        <is>
          <t>https://vlex.cl/vid/resolucion-n-12-000-927122110</t>
        </is>
      </c>
      <c r="K57" s="66" t="inlineStr">
        <is>
          <t>Only evidenced via vLex reproduction of a DIRECTEMAR anchorage resolution requiring 2-hour arrival confirmation; coverage of the Valparaíso TSS not evidenced. VHF (research note only, not for operational use): Ch 16 (per 2018 anchorage resolution).</t>
        </is>
      </c>
      <c r="L57" s="66" t="inlineStr">
        <is>
          <t>2026-09-29</t>
        </is>
      </c>
    </row>
    <row r="58" ht="60" customHeight="1" s="63">
      <c r="A58" s="66" t="inlineStr">
        <is>
          <t>VTS-052</t>
        </is>
      </c>
      <c r="B58" s="66" t="inlineStr">
        <is>
          <t>Fundy Traffic (Bay of Fundy VTS Zone)</t>
        </is>
      </c>
      <c r="C58" s="66" t="inlineStr">
        <is>
          <t>Bay of Fundy Local Eastern VTS Zone, SOR/2025-275 Sch. 3 item 7</t>
        </is>
      </c>
      <c r="D58" s="66" t="inlineStr">
        <is>
          <t>Canadian Coast Guard MCTS (Halifax MCTS Centre)</t>
        </is>
      </c>
      <c r="E58" s="66" t="inlineStr">
        <is>
          <t>Sectors 1-3</t>
        </is>
      </c>
      <c r="F58" s="66" t="inlineStr">
        <is>
          <t>Core TSS screen</t>
        </is>
      </c>
      <c r="G58" s="66" t="inlineStr">
        <is>
          <t>Service described by primary source (Stage 4 first pass)</t>
        </is>
      </c>
      <c r="H58" s="66" t="inlineStr">
        <is>
          <t>Not assigned</t>
        </is>
      </c>
      <c r="I58" s="66" t="inlineStr">
        <is>
          <t>SRC-116; SRC-129; SRC-130</t>
        </is>
      </c>
      <c r="J58"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t>
        </is>
      </c>
      <c r="K58" s="66" t="inlineStr">
        <is>
          <t>Monitors by radar and AIS. VHF (research note only, not for operational use): Ch 14 (sector 1), Ch 12 (sector 2), Ch 71 (sector 3).</t>
        </is>
      </c>
      <c r="L58" s="66" t="inlineStr">
        <is>
          <t>2026-09-29</t>
        </is>
      </c>
    </row>
    <row r="59" ht="60" customHeight="1" s="63">
      <c r="A59" s="66" t="inlineStr">
        <is>
          <t>VTS-053</t>
        </is>
      </c>
      <c r="B59" s="66" t="inlineStr">
        <is>
          <t>Canso Traffic (Strait of Canso and Eastern Approaches VTS Zone)</t>
        </is>
      </c>
      <c r="C59" s="66" t="inlineStr">
        <is>
          <t>Strait of Canso and Eastern Approaches Local Eastern VTS Zone, SOR/2025-275 Sch. 3 item 5</t>
        </is>
      </c>
      <c r="D59" s="66" t="inlineStr">
        <is>
          <t>Canadian Coast Guard MCTS (Sydney MCTS Centre)</t>
        </is>
      </c>
      <c r="E59" s="66" t="inlineStr">
        <is>
          <t>Single sector</t>
        </is>
      </c>
      <c r="F59" s="66" t="inlineStr">
        <is>
          <t>Core TSS screen</t>
        </is>
      </c>
      <c r="G59" s="66" t="inlineStr">
        <is>
          <t>Service described by primary source (Stage 4 first pass)</t>
        </is>
      </c>
      <c r="H59" s="66" t="inlineStr">
        <is>
          <t>Not assigned</t>
        </is>
      </c>
      <c r="I59" s="66" t="inlineStr">
        <is>
          <t>SRC-116; SRC-129; SRC-130</t>
        </is>
      </c>
      <c r="J59"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t>
        </is>
      </c>
      <c r="K59" s="66" t="inlineStr">
        <is>
          <t>Monitors by radar and AIS. VHF (research note only, not for operational use): Ch 14.</t>
        </is>
      </c>
      <c r="L59" s="66" t="inlineStr">
        <is>
          <t>2026-09-29</t>
        </is>
      </c>
    </row>
    <row r="60" ht="60" customHeight="1" s="63">
      <c r="A60" s="66" t="inlineStr">
        <is>
          <t>VTS-054</t>
        </is>
      </c>
      <c r="B60" s="66" t="inlineStr">
        <is>
          <t>Cristobal Signal Station (Panama Canal Authority)</t>
        </is>
      </c>
      <c r="C60" s="66" t="inlineStr">
        <is>
          <t>Atlantic entrance, anchorages and Cristobal harbour</t>
        </is>
      </c>
      <c r="D60" s="66" t="inlineStr">
        <is>
          <t>Panama Canal Authority (ACP), Transit Operations</t>
        </is>
      </c>
      <c r="E60" s="66" t="inlineStr">
        <is>
          <t>Port Entry Coordinator at Cristobal Signal Station</t>
        </is>
      </c>
      <c r="F60" s="66" t="inlineStr">
        <is>
          <t>Stage 4 research lead (not counted)</t>
        </is>
      </c>
      <c r="G60" s="66" t="inlineStr">
        <is>
          <t>Lead only; service identity or coverage not established by primary source</t>
        </is>
      </c>
      <c r="H60" s="66" t="inlineStr">
        <is>
          <t>Not assigned</t>
        </is>
      </c>
      <c r="I60" s="66" t="inlineStr">
        <is>
          <t>SRC-134</t>
        </is>
      </c>
      <c r="J60" s="67" t="inlineStr">
        <is>
          <t>https://pancanal.com/wp-content/uploads/2021/08/N02-2026-Harbor-Operations_BMV.pdf</t>
        </is>
      </c>
      <c r="K60" s="66" t="inlineStr">
        <is>
          <t>Existence and duties confirmed by ACP N-2-2026, but ACP does not call it a VTS and TSS coverage is not stated; lead for the VTS question. VHF (research note only, not for operational use): Ch 12.</t>
        </is>
      </c>
      <c r="L60" s="66" t="inlineStr">
        <is>
          <t>2026-09-29</t>
        </is>
      </c>
    </row>
    <row r="61" ht="60" customHeight="1" s="63">
      <c r="A61" s="66" t="inlineStr">
        <is>
          <t>VTS-055</t>
        </is>
      </c>
      <c r="B61" s="66" t="inlineStr">
        <is>
          <t>Flamenco Signal Station (Panama Canal Authority)</t>
        </is>
      </c>
      <c r="C61" s="66" t="inlineStr">
        <is>
          <t>Pacific entrance, anchorages and Balboa harbour</t>
        </is>
      </c>
      <c r="D61" s="66" t="inlineStr">
        <is>
          <t>Panama Canal Authority (ACP)</t>
        </is>
      </c>
      <c r="E61" s="66" t="inlineStr">
        <is>
          <t>Port Entry Coordinator at Flamenco Signal Station</t>
        </is>
      </c>
      <c r="F61" s="66" t="inlineStr">
        <is>
          <t>Stage 4 research lead (not counted)</t>
        </is>
      </c>
      <c r="G61" s="66" t="inlineStr">
        <is>
          <t>Lead only; service identity or coverage not established by primary source</t>
        </is>
      </c>
      <c r="H61" s="66" t="inlineStr">
        <is>
          <t>Not assigned</t>
        </is>
      </c>
      <c r="I61" s="66" t="inlineStr">
        <is>
          <t>SRC-134</t>
        </is>
      </c>
      <c r="J61" s="67" t="inlineStr">
        <is>
          <t>https://pancanal.com/wp-content/uploads/2021/08/N02-2026-Harbor-Operations_BMV.pdf</t>
        </is>
      </c>
      <c r="K61" s="66" t="inlineStr">
        <is>
          <t>As for Cristobal Signal Station. VHF (research note only, not for operational use): Ch 12.</t>
        </is>
      </c>
      <c r="L61" s="66" t="inlineStr">
        <is>
          <t>2026-09-29</t>
        </is>
      </c>
    </row>
    <row r="62" ht="60" customHeight="1" s="63">
      <c r="A62" s="66" t="inlineStr">
        <is>
          <t>VTS-056</t>
        </is>
      </c>
      <c r="B62" s="66" t="inlineStr">
        <is>
          <t>Maritime traffic control system of the Port of Veracruz (name unverified)</t>
        </is>
      </c>
      <c r="C62" s="66" t="inlineStr">
        <is>
          <t>Port of Veracruz</t>
        </is>
      </c>
      <c r="D62" s="66" t="inlineStr">
        <is>
          <t>Unverified (APIVER / SEMAR)</t>
        </is>
      </c>
      <c r="E62" s="66" t="inlineStr">
        <is>
          <t>Radar at Isla de Sacrificios (lead)</t>
        </is>
      </c>
      <c r="F62" s="66" t="inlineStr">
        <is>
          <t>Stage 4 research lead (not counted)</t>
        </is>
      </c>
      <c r="G62" s="66" t="inlineStr">
        <is>
          <t>Lead only; service identity or coverage not established by primary source</t>
        </is>
      </c>
      <c r="H62" s="66" t="inlineStr">
        <is>
          <t>Not assigned</t>
        </is>
      </c>
      <c r="I62" s="66" t="inlineStr"/>
      <c r="J62" s="67" t="inlineStr"/>
      <c r="K62" s="66" t="inlineStr">
        <is>
          <t>Search-snippet lead only; source pages not retrievable.</t>
        </is>
      </c>
      <c r="L62" s="66" t="inlineStr">
        <is>
          <t>2026-09-29</t>
        </is>
      </c>
    </row>
    <row r="63" ht="60" customHeight="1" s="63">
      <c r="A63" s="66" t="inlineStr">
        <is>
          <t>VTS-057</t>
        </is>
      </c>
      <c r="B63" s="66" t="inlineStr">
        <is>
          <t>Maritime Exchange for the Delaware River and Bay (vessel reporting station, Cape Henlopen)</t>
        </is>
      </c>
      <c r="C63" s="66" t="inlineStr">
        <is>
          <t>Delaware Bay and River</t>
        </is>
      </c>
      <c r="D63" s="66" t="inlineStr">
        <is>
          <t>Maritime Exchange for the Delaware River and Bay (not-for-profit trade association)</t>
        </is>
      </c>
      <c r="E63" s="66" t="inlineStr">
        <is>
          <t>Cape Henlopen station (shared with Pilots' Association)</t>
        </is>
      </c>
      <c r="F63" s="66" t="inlineStr">
        <is>
          <t>Stage 4 research lead (not counted)</t>
        </is>
      </c>
      <c r="G63" s="66" t="inlineStr">
        <is>
          <t>Lead only; service identity or coverage not established by primary source</t>
        </is>
      </c>
      <c r="H63" s="66" t="inlineStr">
        <is>
          <t>Not assigned</t>
        </is>
      </c>
      <c r="I63" s="66" t="inlineStr"/>
      <c r="J63" s="67" t="inlineStr"/>
      <c r="K63" s="66" t="inlineStr">
        <is>
          <t>Not a USCG VTS. Search-snippet lead only; not fetched.</t>
        </is>
      </c>
      <c r="L63" s="66" t="inlineStr">
        <is>
          <t>2026-09-29</t>
        </is>
      </c>
    </row>
  </sheetData>
  <mergeCells count="2">
    <mergeCell ref="A1:H2"/>
    <mergeCell ref="A3:H4"/>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14" customWidth="1" style="63" min="1" max="1"/>
    <col width="18" customWidth="1" style="63" min="2" max="2"/>
    <col width="34" customWidth="1" style="63" min="3" max="3"/>
    <col width="28" customWidth="1" style="63" min="4" max="4"/>
    <col width="28" customWidth="1" style="63" min="5" max="5"/>
    <col width="28" customWidth="1" style="63" min="6" max="6"/>
    <col width="42" customWidth="1" style="63" min="7" max="7"/>
    <col width="28" customWidth="1" style="63" min="8" max="8"/>
    <col width="46" customWidth="1" style="63" min="9" max="9"/>
    <col width="48" customWidth="1" style="63" min="10" max="10"/>
    <col width="15" customWidth="1" style="63" min="11" max="11"/>
  </cols>
  <sheetData>
    <row r="1" ht="23" customHeight="1" s="63">
      <c r="A1" s="47" t="inlineStr">
        <is>
          <t>VESSEL REPORTING SCHEMES</t>
        </is>
      </c>
      <c r="B1" s="1" t="n"/>
      <c r="C1" s="1" t="n"/>
      <c r="D1" s="1" t="n"/>
      <c r="E1" s="1" t="n"/>
      <c r="F1" s="1" t="n"/>
      <c r="G1" s="1" t="n"/>
      <c r="H1" s="1" t="n"/>
    </row>
    <row r="2" ht="23" customHeight="1" s="63">
      <c r="A2" s="1" t="n"/>
      <c r="B2" s="1" t="n"/>
      <c r="C2" s="1" t="n"/>
      <c r="D2" s="1" t="n"/>
      <c r="E2" s="1" t="n"/>
      <c r="F2" s="1" t="n"/>
      <c r="G2" s="1" t="n"/>
      <c r="H2" s="1" t="n"/>
    </row>
    <row r="3" ht="21" customHeight="1" s="63">
      <c r="A3" s="15" t="inlineStr">
        <is>
          <t>Version 0.3 | 29 September 2026 | Reporting Schemes. Reconciled register; see Audit Findings and Overview for limits.</t>
        </is>
      </c>
      <c r="B3" s="1" t="n"/>
      <c r="C3" s="1" t="n"/>
      <c r="D3" s="1" t="n"/>
      <c r="E3" s="1" t="n"/>
      <c r="F3" s="1" t="n"/>
      <c r="G3" s="1" t="n"/>
      <c r="H3" s="1" t="n"/>
    </row>
    <row r="4" ht="21" customHeight="1" s="63">
      <c r="A4" s="1" t="n"/>
      <c r="B4" s="1" t="n"/>
      <c r="C4" s="1" t="n"/>
      <c r="D4" s="1" t="n"/>
      <c r="E4" s="1" t="n"/>
      <c r="F4" s="1" t="n"/>
      <c r="G4" s="1" t="n"/>
      <c r="H4" s="1" t="n"/>
    </row>
    <row r="6" ht="34" customHeight="1" s="63">
      <c r="A6" s="65" t="inlineStr">
        <is>
          <t>Reporting ID</t>
        </is>
      </c>
      <c r="B6" s="65" t="inlineStr">
        <is>
          <t>Scheme</t>
        </is>
      </c>
      <c r="C6" s="65" t="inlineStr">
        <is>
          <t>Area label</t>
        </is>
      </c>
      <c r="D6" s="65" t="inlineStr">
        <is>
          <t>Participation</t>
        </is>
      </c>
      <c r="E6" s="65" t="inlineStr">
        <is>
          <t>Related service IDs</t>
        </is>
      </c>
      <c r="F6" s="65" t="inlineStr">
        <is>
          <t>Scope</t>
        </is>
      </c>
      <c r="G6" s="65" t="inlineStr">
        <is>
          <t>Evidence status</t>
        </is>
      </c>
      <c r="H6" s="65" t="inlineStr">
        <is>
          <t>Source IDs</t>
        </is>
      </c>
      <c r="I6" s="65" t="inlineStr">
        <is>
          <t>Source URLs</t>
        </is>
      </c>
      <c r="J6" s="65" t="inlineStr">
        <is>
          <t>Counting / review note</t>
        </is>
      </c>
      <c r="K6" s="65" t="inlineStr">
        <is>
          <t>Accessed</t>
        </is>
      </c>
    </row>
    <row r="7" ht="160.5" customHeight="1" s="63">
      <c r="A7" s="66" t="inlineStr">
        <is>
          <t>SRS-001</t>
        </is>
      </c>
      <c r="B7" s="66" t="inlineStr">
        <is>
          <t>CALDOVREP</t>
        </is>
      </c>
      <c r="C7" s="66" t="inlineStr">
        <is>
          <t>Dover Strait</t>
        </is>
      </c>
      <c r="D7" s="66" t="inlineStr">
        <is>
          <t>Mandatory for applicable vessels</t>
        </is>
      </c>
      <c r="E7" s="66" t="inlineStr">
        <is>
          <t>VTS-001</t>
        </is>
      </c>
      <c r="F7" s="66" t="inlineStr">
        <is>
          <t>Core TSS screen</t>
        </is>
      </c>
      <c r="G7" s="66" t="inlineStr">
        <is>
          <t>Scheme identity and association evidenced</t>
        </is>
      </c>
      <c r="H7" s="66" t="inlineStr">
        <is>
          <t>SRC-004; SRC-005</t>
        </is>
      </c>
      <c r="I7" s="67" t="inlineStr">
        <is>
          <t>https://www.gov.uk/government/publications/dover-strait-crossings-channel-navigation-information-service/dover-strait-crossings-channel-navigation-information-service-cnis
https://www.gov.uk/government/publications/mgn-364-mf-amendment-2-navigation-safety-traffic-separation-schemes-application-of-rule-10-and-navigation-in-the-dover-strait/mgn-364-mf-amendment-2-navigation-safety-traffic-separation-schemes-application-of-rule-10-and-navigation-in-the-dover-strait</t>
        </is>
      </c>
      <c r="J7" s="66" t="inlineStr">
        <is>
          <t>Current thresholds, boundaries and directional reports require separate operational review.</t>
        </is>
      </c>
      <c r="K7" s="66" t="inlineStr">
        <is>
          <t>2026-09-29</t>
        </is>
      </c>
    </row>
    <row r="8" ht="79.5" customHeight="1" s="63">
      <c r="A8" s="70" t="inlineStr">
        <is>
          <t>SRS-002</t>
        </is>
      </c>
      <c r="B8" s="70" t="inlineStr">
        <is>
          <t>BELTREP</t>
        </is>
      </c>
      <c r="C8" s="70" t="inlineStr">
        <is>
          <t>Great Belt</t>
        </is>
      </c>
      <c r="D8" s="70" t="inlineStr">
        <is>
          <t>Mandatory for applicable vessels</t>
        </is>
      </c>
      <c r="E8" s="70" t="inlineStr">
        <is>
          <t>VTS-002</t>
        </is>
      </c>
      <c r="F8" s="70" t="inlineStr">
        <is>
          <t>Core TSS screen</t>
        </is>
      </c>
      <c r="G8" s="70" t="inlineStr">
        <is>
          <t>Scheme identity evidenced; exact TSS mapping pending</t>
        </is>
      </c>
      <c r="H8" s="70" t="inlineStr">
        <is>
          <t>SRC-008; SRC-020</t>
        </is>
      </c>
      <c r="I8" s="71" t="inlineStr">
        <is>
          <t>https://www.forsvaret.dk/da/organisation/soevaernet/civile-opgaver/beltrep/
https://wwwcdn.imo.org/localresources/en/KnowledgeCentre/IndexofIMOResolutions/MSCResolutions/MSC.332(90).pdf</t>
        </is>
      </c>
      <c r="J8" s="70" t="inlineStr">
        <is>
          <t>Two sectors belong to one reporting system.</t>
        </is>
      </c>
      <c r="K8" s="70" t="inlineStr">
        <is>
          <t>2026-09-29</t>
        </is>
      </c>
    </row>
    <row r="9" ht="120" customHeight="1" s="63">
      <c r="A9" s="66" t="inlineStr">
        <is>
          <t>SRS-003</t>
        </is>
      </c>
      <c r="B9" s="66" t="inlineStr">
        <is>
          <t>SOUNDREP</t>
        </is>
      </c>
      <c r="C9" s="66" t="inlineStr">
        <is>
          <t>The Sound / Øresund</t>
        </is>
      </c>
      <c r="D9" s="66" t="inlineStr">
        <is>
          <t>Mandatory for applicable vessels</t>
        </is>
      </c>
      <c r="E9" s="66" t="inlineStr">
        <is>
          <t>VTS-003</t>
        </is>
      </c>
      <c r="F9" s="66" t="inlineStr">
        <is>
          <t>Core TSS screen</t>
        </is>
      </c>
      <c r="G9" s="66" t="inlineStr">
        <is>
          <t>Scheme identity evidenced; exact TSS mapping pending</t>
        </is>
      </c>
      <c r="H9" s="66" t="inlineStr">
        <is>
          <t>SRC-009; SRC-010; SRC-021</t>
        </is>
      </c>
      <c r="I9" s="67" t="inlineStr">
        <is>
          <t>https://www.sjofartsverket.se/en/services/maritime-traffic-information/soundrep/soundrep-information/about-soundrep/
https://www.transportstyrelsen.se/sv/sjofart/sjotrafik-och-hamnar/sjotrafikrapporteringssystem-srs/
https://www.sjofartsverket.se/globalassets/tjanster/sjotrafiktjanster/msc.31488.pdf</t>
        </is>
      </c>
      <c r="J9" s="66" t="inlineStr">
        <is>
          <t>New Swedish VTS/SRS regulations are published but not effective until 1 October 2026.</t>
        </is>
      </c>
      <c r="K9" s="66" t="inlineStr">
        <is>
          <t>2026-09-29</t>
        </is>
      </c>
    </row>
    <row r="10" ht="79.5" customHeight="1" s="63">
      <c r="A10" s="70" t="inlineStr">
        <is>
          <t>SRS-004</t>
        </is>
      </c>
      <c r="B10" s="70" t="inlineStr">
        <is>
          <t>STRAITREP</t>
        </is>
      </c>
      <c r="C10" s="70" t="inlineStr">
        <is>
          <t>Straits of Malacca and Singapore</t>
        </is>
      </c>
      <c r="D10" s="70" t="inlineStr">
        <is>
          <t>Mandatory for applicable vessels</t>
        </is>
      </c>
      <c r="E10" s="70" t="inlineStr">
        <is>
          <t>VTS-004; VTS-005; VTS-006</t>
        </is>
      </c>
      <c r="F10" s="70" t="inlineStr">
        <is>
          <t>Core TSS screen</t>
        </is>
      </c>
      <c r="G10" s="70" t="inlineStr">
        <is>
          <t>Scheme and system-level routeing association evidenced</t>
        </is>
      </c>
      <c r="H10" s="70" t="inlineStr">
        <is>
          <t>SRC-006; SRC-007</t>
        </is>
      </c>
      <c r="I10" s="71" t="inlineStr">
        <is>
          <t>https://www.mpa.gov.sg/port-marine-ops/operations/vessel-traffic-information-system
https://www.mpa.gov.sg/port-marine-ops/operations/vessel-traffic-information-system/operational-areas</t>
        </is>
      </c>
      <c r="J10" s="70" t="inlineStr">
        <is>
          <t>Nine sectors, three named VTS authorities, one reporting system. Component TSS mapping remains open.</t>
        </is>
      </c>
      <c r="K10" s="70" t="inlineStr">
        <is>
          <t>2026-09-29</t>
        </is>
      </c>
    </row>
    <row r="11" ht="93" customHeight="1" s="63">
      <c r="A11" s="66" t="inlineStr">
        <is>
          <t>SRS-005</t>
        </is>
      </c>
      <c r="B11" s="66" t="inlineStr">
        <is>
          <t>REEFREP</t>
        </is>
      </c>
      <c r="C11" s="66" t="inlineStr">
        <is>
          <t>Great Barrier Reef and Torres Strait</t>
        </is>
      </c>
      <c r="D11" s="66" t="inlineStr">
        <is>
          <t>Mandatory for applicable vessels</t>
        </is>
      </c>
      <c r="E11" s="66" t="inlineStr">
        <is>
          <t>VTS-007</t>
        </is>
      </c>
      <c r="F11" s="66" t="inlineStr">
        <is>
          <t>Additional coverage</t>
        </is>
      </c>
      <c r="G11" s="66" t="inlineStr">
        <is>
          <t>Scheme identity evidenced</t>
        </is>
      </c>
      <c r="H11" s="66" t="inlineStr">
        <is>
          <t>SRC-018; SRC-013; SRC-014</t>
        </is>
      </c>
      <c r="I11" s="67" t="inlineStr">
        <is>
          <t>https://www.msq.qld.gov.au/shipping/reefvts
https://www.amsa.gov.au/about/regulations-and-standards/marine-order-63-vessel-reporting-systems
https://www.amsa.gov.au/safety-navigation/spatial-data/vessel-track-data-disclosure-and-dissemination-policy</t>
        </is>
      </c>
      <c r="J11" s="66" t="inlineStr">
        <is>
          <t>No link to the three Australian source entries has been inferred.</t>
        </is>
      </c>
      <c r="K11" s="66" t="inlineStr">
        <is>
          <t>2026-09-29</t>
        </is>
      </c>
    </row>
    <row r="12" ht="60" customHeight="1" s="63">
      <c r="A12" s="70" t="inlineStr">
        <is>
          <t>SRS-006</t>
        </is>
      </c>
      <c r="B12" s="70" t="inlineStr">
        <is>
          <t>GOFREP</t>
        </is>
      </c>
      <c r="C12" s="70" t="inlineStr">
        <is>
          <t>Gulf of Finland</t>
        </is>
      </c>
      <c r="D12" s="70" t="inlineStr">
        <is>
          <t>Mandatory for applicable vessels</t>
        </is>
      </c>
      <c r="E12" s="70" t="str"/>
      <c r="F12" s="70" t="inlineStr">
        <is>
          <t>Core TSS screen</t>
        </is>
      </c>
      <c r="G12" s="70" t="inlineStr">
        <is>
          <t>Scheme identity and four TSS associations evidenced</t>
        </is>
      </c>
      <c r="H12" s="70" t="inlineStr">
        <is>
          <t>SRC-011; SRC-012</t>
        </is>
      </c>
      <c r="I12" s="71" t="inlineStr">
        <is>
          <t>https://mastersguide.fintraffic.fi/en/gofrep-area
https://www.fintraffic.fi/sv/node/254</t>
        </is>
      </c>
      <c r="J12" s="70" t="inlineStr">
        <is>
          <t>Helsinki, Tallinn and St. Petersburg Traffic are reporting centres; do not infer three VTS areas.</t>
        </is>
      </c>
      <c r="K12" s="70" t="inlineStr">
        <is>
          <t>2026-09-29</t>
        </is>
      </c>
    </row>
    <row r="13" ht="79.5" customHeight="1" s="63">
      <c r="A13" s="66" t="inlineStr">
        <is>
          <t>SRS-007</t>
        </is>
      </c>
      <c r="B13" s="66" t="inlineStr">
        <is>
          <t>GDANREP</t>
        </is>
      </c>
      <c r="C13" s="66" t="inlineStr">
        <is>
          <t>Gulf of Gdansk</t>
        </is>
      </c>
      <c r="D13" s="66" t="inlineStr">
        <is>
          <t>Mandatory for applicable vessels</t>
        </is>
      </c>
      <c r="E13" s="66" t="inlineStr">
        <is>
          <t>VTS-015</t>
        </is>
      </c>
      <c r="F13" s="66" t="inlineStr">
        <is>
          <t>Core TSS screen</t>
        </is>
      </c>
      <c r="G13" s="66" t="inlineStr">
        <is>
          <t>Scheme and receiving VTS confirmed by Polish authority</t>
        </is>
      </c>
      <c r="H13" s="66" t="inlineStr">
        <is>
          <t>SRC-019; SRC-010</t>
        </is>
      </c>
      <c r="I13" s="67" t="inlineStr">
        <is>
          <t>https://www.umgdy.gov.pl/en/marine-safety/vts-zatoka-gdanska-en/
https://www.transportstyrelsen.se/sv/sjofart/sjotrafik-och-hamnar/sjotrafikrapporteringssystem-srs/</t>
        </is>
      </c>
      <c r="J13" s="66" t="inlineStr">
        <is>
          <t>The authority links the GDANREP border, VTS area, and East/West TSS. Current detailed participation and reporting instructions remain to be audited.</t>
        </is>
      </c>
      <c r="K13" s="66" t="inlineStr">
        <is>
          <t>2026-09-29</t>
        </is>
      </c>
    </row>
    <row r="14" ht="66" customHeight="1" s="63">
      <c r="A14" s="70" t="inlineStr">
        <is>
          <t>SRS-008</t>
        </is>
      </c>
      <c r="B14" s="70" t="inlineStr">
        <is>
          <t>Offshore Vessel Movement Reporting System (OVMRS)</t>
        </is>
      </c>
      <c r="C14" s="70" t="inlineStr">
        <is>
          <t>Off San Francisco</t>
        </is>
      </c>
      <c r="D14" s="70" t="inlineStr">
        <is>
          <t>Voluntary</t>
        </is>
      </c>
      <c r="E14" s="70" t="inlineStr">
        <is>
          <t>VTS-011</t>
        </is>
      </c>
      <c r="F14" s="70" t="inlineStr">
        <is>
          <t>Additional voluntary reporting</t>
        </is>
      </c>
      <c r="G14" s="70" t="inlineStr">
        <is>
          <t>Voluntary scheme identified by operating authority</t>
        </is>
      </c>
      <c r="H14" s="70" t="inlineStr">
        <is>
          <t>SRC-017</t>
        </is>
      </c>
      <c r="I14" s="71" t="inlineStr">
        <is>
          <t>https://www.navcen.uscg.gov/vessel-traffic-services-locations</t>
        </is>
      </c>
      <c r="J14" s="70" t="inlineStr">
        <is>
          <t>Restored from the earlier release. Excluded from the mandatory-scheme subtotal; offshore TSS relationship remains provisional.</t>
        </is>
      </c>
      <c r="K14" s="70" t="inlineStr">
        <is>
          <t>2026-09-29</t>
        </is>
      </c>
    </row>
    <row r="15" ht="66" customHeight="1" s="63">
      <c r="A15" s="70" t="inlineStr">
        <is>
          <t>SRS-009</t>
        </is>
      </c>
      <c r="B15" s="70" t="inlineStr">
        <is>
          <t>OUESSREP (Off Ushant mandatory ship reporting system)</t>
        </is>
      </c>
      <c r="C15" s="70" t="inlineStr">
        <is>
          <t>Circle of 35 nm radius centred on Ile d'Ouessant (Stiff radar tower)</t>
        </is>
      </c>
      <c r="D15" s="70" t="inlineStr">
        <is>
          <t>Mandatory for applicable vessels</t>
        </is>
      </c>
      <c r="E15" s="70" t="inlineStr">
        <is>
          <t>VTS-021</t>
        </is>
      </c>
      <c r="F15" s="70" t="inlineStr">
        <is>
          <t>Core TSS screen</t>
        </is>
      </c>
      <c r="G15" s="70" t="inlineStr">
        <is>
          <t>Confirmed by primary source</t>
        </is>
      </c>
      <c r="H15" s="70" t="inlineStr">
        <is>
          <t>SRC-039; SRC-040; SRC-042</t>
        </is>
      </c>
      <c r="I15" s="71" t="inlineStr">
        <is>
          <t>https://wwwcdn.imo.org/localresources/en/KnowledgeCentre/IndexofIMOResolutions/MSCResolutions/MSC.52(66).pdf
https://wwwcdn.imo.org/localresources/en/KnowledgeCentre/IndexofIMOResolutions/MSCResolutions/MSC.251(83).pdf
https://www.statistiques.developpement-durable.gouv.fr/edition-numerique/chiffres-cles-mer-littoral/18-surveillance-de-la-navigation-maritime</t>
        </is>
      </c>
      <c r="J15" s="70" t="inlineStr">
        <is>
          <t>IMO instrument: MSC.52(66), amended by MSC.251(83) (in force 1 May 2008). Ships of more than 300 GRT.</t>
        </is>
      </c>
      <c r="K15" s="70" t="inlineStr">
        <is>
          <t>2026-09-29</t>
        </is>
      </c>
    </row>
    <row r="16" ht="66" customHeight="1" s="63">
      <c r="A16" s="70" t="inlineStr">
        <is>
          <t>SRS-010</t>
        </is>
      </c>
      <c r="B16" s="70" t="inlineStr">
        <is>
          <t>FINREP (Off Finisterre mandatory ship reporting system)</t>
        </is>
      </c>
      <c r="C16" s="70" t="inlineStr">
        <is>
          <t>Between the coast, bearing 130° to Cape Villano lighthouse, bearing 075° to Cape Finisterre lighthouse and meridian 010° 10.0' W</t>
        </is>
      </c>
      <c r="D16" s="70" t="inlineStr">
        <is>
          <t>Mandatory for applicable vessels</t>
        </is>
      </c>
      <c r="E16" s="70" t="inlineStr">
        <is>
          <t>VTS-022</t>
        </is>
      </c>
      <c r="F16" s="70" t="inlineStr">
        <is>
          <t>Core TSS screen</t>
        </is>
      </c>
      <c r="G16" s="70" t="inlineStr">
        <is>
          <t>Confirmed by primary source</t>
        </is>
      </c>
      <c r="H16" s="70" t="inlineStr">
        <is>
          <t>SRC-043</t>
        </is>
      </c>
      <c r="I16" s="71" t="inlineStr">
        <is>
          <t>https://wwwcdn.imo.org/localresources/en/KnowledgeCentre/IndexofIMOResolutions/MSCResolutions/MSC.63(67).pdf</t>
        </is>
      </c>
      <c r="J16" s="70" t="inlineStr">
        <is>
          <t>IMO instrument: MSC.63(67), annex 3 (in force 3 June 1997). Ships of 50 m LOA or more, ships with hazardous or potentially polluting cargo, tows over 50 m. West limit 010° 10' W predates the 2004 TSS amendment whose outer southbound lane reaches 010° 13.7' W (S21); any later FINREP amendment not retrieved.</t>
        </is>
      </c>
      <c r="K16" s="70" t="inlineStr">
        <is>
          <t>2026-09-29</t>
        </is>
      </c>
    </row>
    <row r="17" ht="66" customHeight="1" s="63">
      <c r="A17" s="70" t="inlineStr">
        <is>
          <t>SRS-011</t>
        </is>
      </c>
      <c r="B17" s="70" t="inlineStr">
        <is>
          <t>COPREP (Off the coast of Portugal mandatory ship reporting system)</t>
        </is>
      </c>
      <c r="C17" s="70" t="inlineStr">
        <is>
          <t>Shore to 39° 45' N; west/south line 39° 45' N 010° 14' W, 38° 41' N 010° 14' W, 36° 30' N 009° 35' W, 36° 15' N 008° 30' W; east 008° 30' W</t>
        </is>
      </c>
      <c r="D17" s="70" t="inlineStr">
        <is>
          <t>Mandatory for applicable vessels</t>
        </is>
      </c>
      <c r="E17" s="70" t="inlineStr">
        <is>
          <t>VTS-023</t>
        </is>
      </c>
      <c r="F17" s="70" t="inlineStr">
        <is>
          <t>Core TSS screen</t>
        </is>
      </c>
      <c r="G17" s="70" t="inlineStr">
        <is>
          <t>Confirmed by primary source</t>
        </is>
      </c>
      <c r="H17" s="70" t="inlineStr">
        <is>
          <t>SRC-048</t>
        </is>
      </c>
      <c r="I17" s="71" t="inlineStr">
        <is>
          <t>https://wwwcdn.imo.org/localresources/en/KnowledgeCentre/IndexofIMOResolutions/MSCResolutions/MSC.278(85).pdf</t>
        </is>
      </c>
      <c r="J17" s="70" t="inlineStr">
        <is>
          <t>IMO instrument: MSC.278(85) (in force 1 June 2009). Ships of 300 GT or above, dangerous/polluting cargo, passenger ships, tows over 100 m, fishing vessels 24 m or more.</t>
        </is>
      </c>
      <c r="K17" s="70" t="inlineStr">
        <is>
          <t>2026-09-29</t>
        </is>
      </c>
    </row>
    <row r="18" ht="66" customHeight="1" s="63">
      <c r="A18" s="70" t="inlineStr">
        <is>
          <t>SRS-012</t>
        </is>
      </c>
      <c r="B18" s="70" t="inlineStr">
        <is>
          <t>CANREP (Canary Islands mandatory ship reporting system)</t>
        </is>
      </c>
      <c r="C18" s="70" t="inlineStr">
        <is>
          <t>Polygon along the outer limit of the 12 nm territorial sea enclosing the archipelago (points A to N)</t>
        </is>
      </c>
      <c r="D18" s="70" t="inlineStr">
        <is>
          <t>Mandatory for applicable vessels</t>
        </is>
      </c>
      <c r="E18" s="70" t="inlineStr">
        <is>
          <t>VTS-024</t>
        </is>
      </c>
      <c r="F18" s="70" t="inlineStr">
        <is>
          <t>Core TSS screen</t>
        </is>
      </c>
      <c r="G18" s="70" t="inlineStr">
        <is>
          <t>Confirmed by primary source</t>
        </is>
      </c>
      <c r="H18" s="70" t="inlineStr">
        <is>
          <t>SRC-052</t>
        </is>
      </c>
      <c r="I18" s="71" t="inlineStr">
        <is>
          <t>https://wwwcdn.imo.org/localresources/en/KnowledgeCentre/IndexofIMOResolutions/MSCResolutions/MSC.213(81).pdf</t>
        </is>
      </c>
      <c r="J18" s="70" t="inlineStr">
        <is>
          <t>IMO instrument: MSC.213(81) (in force 1 December 2006). Applies only to tankers of 600 dwt and above carrying heavy crude, heavy fuel oil, bitumen or tar.</t>
        </is>
      </c>
      <c r="K18" s="70" t="inlineStr">
        <is>
          <t>2026-09-29</t>
        </is>
      </c>
    </row>
    <row r="19" ht="66" customHeight="1" s="63">
      <c r="A19" s="70" t="inlineStr">
        <is>
          <t>SRS-013</t>
        </is>
      </c>
      <c r="B19" s="70" t="inlineStr">
        <is>
          <t>Voluntary notification of entry/departure, Canary Islands TSS</t>
        </is>
      </c>
      <c r="C19" s="70" t="inlineStr">
        <is>
          <t>Eastern TSS (via MRCC Las Palmas) and Western TSS (via MRCC Tenerife)</t>
        </is>
      </c>
      <c r="D19" s="70" t="inlineStr">
        <is>
          <t>Voluntary</t>
        </is>
      </c>
      <c r="E19" s="70" t="inlineStr">
        <is>
          <t>VTS-024</t>
        </is>
      </c>
      <c r="F19" s="70" t="inlineStr">
        <is>
          <t>Additional voluntary reporting</t>
        </is>
      </c>
      <c r="G19" s="70" t="inlineStr">
        <is>
          <t>Confirmed by primary source</t>
        </is>
      </c>
      <c r="H19" s="70" t="inlineStr">
        <is>
          <t>SRC-051</t>
        </is>
      </c>
      <c r="I19" s="71" t="inlineStr">
        <is>
          <t>https://cimrc.shmtu.edu.cn/_upload/article/files/63/dc/35c66be74d12873254dc88a2ef00/8c6a3c5f-5a85-4450-980a-5534de9fcd0a.pdf</t>
        </is>
      </c>
      <c r="J19" s="70" t="inlineStr">
        <is>
          <t>IMO instrument: COLREG.2/Circ.57, annex 1 notes. VHF channel 16.</t>
        </is>
      </c>
      <c r="K19" s="70" t="inlineStr">
        <is>
          <t>2026-09-29</t>
        </is>
      </c>
    </row>
    <row r="20" ht="66" customHeight="1" s="63">
      <c r="A20" s="70" t="inlineStr">
        <is>
          <t>SRS-014</t>
        </is>
      </c>
      <c r="B20" s="70" t="inlineStr">
        <is>
          <t>Netherlands Coastguard wave-height advice to container ships north of the West Frisian Islands</t>
        </is>
      </c>
      <c r="C20" s="70" t="inlineStr">
        <is>
          <t>TSS Terschelling-German Bight and northern route</t>
        </is>
      </c>
      <c r="D20" s="70" t="inlineStr">
        <is>
          <t>Voluntary</t>
        </is>
      </c>
      <c r="E20" s="70" t="inlineStr">
        <is>
          <t>VTS-020</t>
        </is>
      </c>
      <c r="F20" s="70" t="inlineStr">
        <is>
          <t>Additional voluntary reporting</t>
        </is>
      </c>
      <c r="G20" s="70" t="inlineStr">
        <is>
          <t>Confirmed by primary source</t>
        </is>
      </c>
      <c r="H20" s="70" t="inlineStr">
        <is>
          <t>SRC-036; SRC-028</t>
        </is>
      </c>
      <c r="I20" s="71" t="inlineStr">
        <is>
          <t>https://kustwacht.nl/en/merchant-shipping/advice-for-container-ships-near-west-frisian-islands/
https://www.isesassociation.com/wp-content/uploads/2024/12/MSC_109_Summary_Report.pdf</t>
        </is>
      </c>
      <c r="J20" s="70" t="inlineStr">
        <is>
          <t>IMO instrument: Related IMO recommendation on navigation for containerships (MSC 109, from 1 July 2025) seen only as lead (S5). Advisory broadcast, not a reporting system; recorded here for completeness as a voluntary measure.</t>
        </is>
      </c>
      <c r="K20" s="70" t="inlineStr">
        <is>
          <t>2026-09-29</t>
        </is>
      </c>
    </row>
    <row r="21" ht="66" customHeight="1" s="63">
      <c r="A21" s="70" t="inlineStr">
        <is>
          <t>SRS-015</t>
        </is>
      </c>
      <c r="B21" s="70" t="inlineStr">
        <is>
          <t>GIBREP</t>
        </is>
      </c>
      <c r="C21" s="70" t="inlineStr">
        <is>
          <t>Strait of Gibraltar, between 005°58'.00 W and 005°15'.00 W, incl. the amended TSS</t>
        </is>
      </c>
      <c r="D21" s="70" t="inlineStr">
        <is>
          <t>Mandatory for applicable vessels</t>
        </is>
      </c>
      <c r="E21" s="70" t="inlineStr">
        <is>
          <t>VTS-025; VTS-026</t>
        </is>
      </c>
      <c r="F21" s="70" t="inlineStr">
        <is>
          <t>Core TSS screen</t>
        </is>
      </c>
      <c r="G21" s="70" t="inlineStr">
        <is>
          <t>Confirmed by primary source</t>
        </is>
      </c>
      <c r="H21" s="70" t="inlineStr">
        <is>
          <t>SRC-055; SRC-059; SRC-056</t>
        </is>
      </c>
      <c r="I21" s="71" t="inlineStr">
        <is>
          <t>https://wwwcdn.imo.org/localresources/en/KnowledgeCentre/IndexofIMOResolutions/MSCResolutions/MSC.300(87).pdf
https://transportstyrelsen.se/globalassets/global/sjofart/dokument/sjotrafik_dok/mandatory-and-recommended-srs.pdf
https://www.transportes.gob.es/recursos_mfom/comodin/recursos/06_los_dst_autopistas_del_mar.pdf</t>
        </is>
      </c>
      <c r="J21" s="70" t="inlineStr">
        <is>
          <t>IMO instrument: MSC.63(67) (in force 3 June 1997), amended by MSC.300(87) (in force 1 December 2010). Westbound report to Tarifa Traffic on crossing 005°15'W; eastbound to Tangier Traffic on crossing 005°58'W.</t>
        </is>
      </c>
      <c r="K21" s="70" t="inlineStr">
        <is>
          <t>2026-09-29</t>
        </is>
      </c>
    </row>
    <row r="22" ht="66" customHeight="1" s="63">
      <c r="A22" s="70" t="inlineStr">
        <is>
          <t>SRS-016</t>
        </is>
      </c>
      <c r="B22" s="70" t="inlineStr">
        <is>
          <t>ADRIREP</t>
        </is>
      </c>
      <c r="C22" s="70" t="inlineStr">
        <is>
          <t>Whole Adriatic Sea north of 40°25'.00 N</t>
        </is>
      </c>
      <c r="D22" s="70" t="inlineStr">
        <is>
          <t>Mandatory for applicable vessels</t>
        </is>
      </c>
      <c r="E22" s="70" t="inlineStr">
        <is>
          <t>VTS-032; VTS-031; VTS-030; VTS-033</t>
        </is>
      </c>
      <c r="F22" s="70" t="inlineStr">
        <is>
          <t>Core TSS screen</t>
        </is>
      </c>
      <c r="G22" s="70" t="inlineStr">
        <is>
          <t>Confirmed by primary source</t>
        </is>
      </c>
      <c r="H22" s="70" t="inlineStr">
        <is>
          <t>SRC-058; SRC-059; SRC-062; SRC-065</t>
        </is>
      </c>
      <c r="I22" s="71" t="inlineStr">
        <is>
          <t>https://wwwcdn.imo.org/localresources/en/KnowledgeCentre/IndexofIMOResolutions/MSCResolutions/MSC.598(111).pdf
https://transportstyrelsen.se/globalassets/global/sjofart/dokument/sjotrafik_dok/mandatory-and-recommended-srs.pdf
https://www.guardiacostiera.gov.it/portale/documents/d/guest/en_venezia_manuale_utentevts
https://www.hhi.hr/Portals/0/adam/HHI/a14_Qn4yJECeVbpwF_KLag/CouponFiles/VTS_RS_2015.pdf</t>
        </is>
      </c>
      <c r="J22" s="70" t="inlineStr">
        <is>
          <t>IMO instrument: MSC.139(76) annex 2 (in force 1 July 2003 per leads); revised by MSC.598(111) adopted 22 May 2026, implemented 1 December 2026. Revised categories from 1 Dec 2026: oil tankers of 150 GT and above, all ships of 10,000 GT and above, all ships carrying hazardous cargo. Pre-2026 categories not verified (original MSC.139(76) text not fetched).</t>
        </is>
      </c>
      <c r="K22" s="70" t="inlineStr">
        <is>
          <t>2026-09-29</t>
        </is>
      </c>
    </row>
    <row r="23" ht="66" customHeight="1" s="63">
      <c r="A23" s="70" t="inlineStr">
        <is>
          <t>SRS-017</t>
        </is>
      </c>
      <c r="B23" s="70" t="inlineStr">
        <is>
          <t>TÜBRAP (Turkish Straits Reporting System)</t>
        </is>
      </c>
      <c r="C23" s="70" t="inlineStr">
        <is>
          <t>Turkish Straits (Istanbul and Çanakkale Straits, Sea of Marmara) and approaches</t>
        </is>
      </c>
      <c r="D23" s="70" t="inlineStr">
        <is>
          <t>Mandatory for applicable vessels</t>
        </is>
      </c>
      <c r="E23" s="70" t="inlineStr">
        <is>
          <t>VTS-034</t>
        </is>
      </c>
      <c r="F23" s="70" t="inlineStr">
        <is>
          <t>Core TSS screen</t>
        </is>
      </c>
      <c r="G23" s="70" t="inlineStr">
        <is>
          <t>Confirmed by primary source</t>
        </is>
      </c>
      <c r="H23" s="70" t="inlineStr">
        <is>
          <t>SRC-067; SRC-066; SRC-059; SRC-071; SRC-072; SRC-073</t>
        </is>
      </c>
      <c r="I23" s="71" t="inlineStr">
        <is>
          <t>https://www.resmigazete.gov.tr/eskiler/2019/08/20190815-18.pdf
https://kiyiemniyeti.gov.tr/vessel_traffic_and_pilotage_services
https://transportstyrelsen.se/globalassets/global/sjofart/dokument/sjotrafik_dok/mandatory-and-recommended-srs.pdf
https://denizcilik.uab.gov.tr/uploads/pages/yonerge-talimat/tbdtduy.pdf
https://wwwcdn.imo.org/localresources/en/KnowledgeCentre/IndexofIMOResolutions/AssemblyDocuments/A.827(19).pdf
https://media.ellinikahoaxes.gr/uploads/2021/03/TURK-BOGAZLARI-DENIZ-TRAFIK-DUZENI-YONETMELIGI-INGILIZCE-2019.pdf</t>
        </is>
      </c>
      <c r="J23" s="70" t="inlineStr">
        <is>
          <t>National system under Turkish Straits Maritime Traffic Regulation 2019 (Art. 7): SP-1 at least 24 h before entry (dangerous cargo and 500 GT and over); SP-2 2 h or 20 NM before entry by VHF; position report 5 NM before the Strait entrance (20 m and over); calling-in points. Not in IMO list of mandatory SRS (S14).</t>
        </is>
      </c>
      <c r="K23" s="70" t="inlineStr">
        <is>
          <t>2026-09-29</t>
        </is>
      </c>
    </row>
    <row r="24" ht="66" customHeight="1" s="63">
      <c r="A24" s="70" t="inlineStr">
        <is>
          <t>SRS-018</t>
        </is>
      </c>
      <c r="B24" s="70" t="inlineStr">
        <is>
          <t>Cabo de Gata voluntary reporting (Spain)</t>
        </is>
      </c>
      <c r="C24" s="70" t="inlineStr">
        <is>
          <t>Off Cabo de Gata TSS</t>
        </is>
      </c>
      <c r="D24" s="70" t="inlineStr">
        <is>
          <t>Voluntary</t>
        </is>
      </c>
      <c r="E24" s="70" t="inlineStr">
        <is>
          <t>VTS-027</t>
        </is>
      </c>
      <c r="F24" s="70" t="inlineStr">
        <is>
          <t>Additional voluntary reporting</t>
        </is>
      </c>
      <c r="G24" s="70" t="inlineStr">
        <is>
          <t>Confirmed by primary source</t>
        </is>
      </c>
      <c r="H24" s="70" t="inlineStr">
        <is>
          <t>SRC-056</t>
        </is>
      </c>
      <c r="I24" s="71" t="inlineStr">
        <is>
          <t>https://www.transportes.gob.es/recursos_mfom/comodin/recursos/06_los_dst_autopistas_del_mar.pdf</t>
        </is>
      </c>
      <c r="J24" s="70" t="inlineStr">
        <is>
          <t>S11: 'en el cabo de Gata existe un sistema de notificación voluntaria'. Details (reporting points, channel) not retrieved.</t>
        </is>
      </c>
      <c r="K24" s="70" t="inlineStr">
        <is>
          <t>2026-09-29</t>
        </is>
      </c>
    </row>
    <row r="25" ht="66" customHeight="1" s="63">
      <c r="A25" s="70" t="inlineStr">
        <is>
          <t>SRS-019</t>
        </is>
      </c>
      <c r="B25" s="70" t="inlineStr">
        <is>
          <t>UKMTO Voluntary Reporting Scheme / MSCIO VRA registration / IFC-IOR voluntary reporting</t>
        </is>
      </c>
      <c r="C25" s="70" t="inlineStr">
        <is>
          <t>Arabian Gulf, Strait of Hormuz, Gulf of Oman, North Arabian Sea (as stated by Liberia MSB 14/2026); Red Sea and Gulf of Aden extent is a lead</t>
        </is>
      </c>
      <c r="D25" s="70" t="inlineStr">
        <is>
          <t>Voluntary</t>
        </is>
      </c>
      <c r="E25" s="70" t="n"/>
      <c r="F25" s="70" t="inlineStr">
        <is>
          <t>Additional voluntary reporting</t>
        </is>
      </c>
      <c r="G25" s="70" t="inlineStr">
        <is>
          <t>Confirmed by primary source</t>
        </is>
      </c>
      <c r="H25" s="70" t="inlineStr">
        <is>
          <t>SRC-091</t>
        </is>
      </c>
      <c r="I25" s="71" t="inlineStr">
        <is>
          <t>https://www.liscr.com/marketing/liscr/media/liscr/online%20library/maritime/msb-14_2026.pdf</t>
        </is>
      </c>
      <c r="J25" s="70" t="inlineStr">
        <is>
          <t>Security reporting, not a SOLAS V/11 system; UKMTO site returned 403.</t>
        </is>
      </c>
      <c r="K25" s="70" t="inlineStr">
        <is>
          <t>2026-09-29</t>
        </is>
      </c>
    </row>
    <row r="26" ht="66" customHeight="1" s="63">
      <c r="A26" s="70" t="inlineStr">
        <is>
          <t>SRS-020</t>
        </is>
      </c>
      <c r="B26" s="70" t="inlineStr">
        <is>
          <t>SUNDAREP (Sistem Pelaporan dan Informasi Navigasi, Selat Sunda)</t>
        </is>
      </c>
      <c r="C26" s="70" t="inlineStr">
        <is>
          <t>Sunda Strait TSS</t>
        </is>
      </c>
      <c r="D26" s="70" t="inlineStr">
        <is>
          <t>Mandatory for applicable vessels</t>
        </is>
      </c>
      <c r="E26" s="70" t="inlineStr">
        <is>
          <t>VTS-041</t>
        </is>
      </c>
      <c r="F26" s="70" t="inlineStr">
        <is>
          <t>Core TSS screen</t>
        </is>
      </c>
      <c r="G26" s="70" t="inlineStr">
        <is>
          <t>Confirmed by primary source</t>
        </is>
      </c>
      <c r="H26" s="70" t="inlineStr">
        <is>
          <t>SRC-096</t>
        </is>
      </c>
      <c r="I26" s="71" t="inlineStr">
        <is>
          <t>https://hubla.dephub.go.id/home/post/read/7657/berlaku-1-juli-2020-kemenhub-jelaskan-sistem-pelaporan-kapal-di-tss-selat-sunda-dan-selat-lombok</t>
        </is>
      </c>
      <c r="J26" s="70" t="inlineStr">
        <is>
          <t>National system: mandatory for Indonesian-flagged ships only; foreign ships strongly encouraged. No IMO SRS resolution found.</t>
        </is>
      </c>
      <c r="K26" s="70" t="inlineStr">
        <is>
          <t>2026-09-29</t>
        </is>
      </c>
    </row>
    <row r="27" ht="66" customHeight="1" s="63">
      <c r="A27" s="70" t="inlineStr">
        <is>
          <t>SRS-021</t>
        </is>
      </c>
      <c r="B27" s="70" t="inlineStr">
        <is>
          <t>LOMBOKREP (Sistem Pelaporan dan Informasi Navigasi, Selat Lombok)</t>
        </is>
      </c>
      <c r="C27" s="70" t="inlineStr">
        <is>
          <t>Lombok Strait TSS</t>
        </is>
      </c>
      <c r="D27" s="70" t="inlineStr">
        <is>
          <t>Mandatory for applicable vessels</t>
        </is>
      </c>
      <c r="E27" s="70" t="inlineStr">
        <is>
          <t>VTS-042</t>
        </is>
      </c>
      <c r="F27" s="70" t="inlineStr">
        <is>
          <t>Core TSS screen</t>
        </is>
      </c>
      <c r="G27" s="70" t="inlineStr">
        <is>
          <t>Confirmed by primary source</t>
        </is>
      </c>
      <c r="H27" s="70" t="inlineStr">
        <is>
          <t>SRC-096</t>
        </is>
      </c>
      <c r="I27" s="71" t="inlineStr">
        <is>
          <t>https://hubla.dephub.go.id/home/post/read/7657/berlaku-1-juli-2020-kemenhub-jelaskan-sistem-pelaporan-kapal-di-tss-selat-sunda-dan-selat-lombok</t>
        </is>
      </c>
      <c r="J27" s="70" t="inlineStr">
        <is>
          <t>National system: mandatory for Indonesian-flagged ships only; foreign ships strongly encouraged.</t>
        </is>
      </c>
      <c r="K27" s="70" t="inlineStr">
        <is>
          <t>2026-09-29</t>
        </is>
      </c>
    </row>
    <row r="28" ht="66" customHeight="1" s="63">
      <c r="A28" s="70" t="inlineStr">
        <is>
          <t>SRS-022</t>
        </is>
      </c>
      <c r="B28" s="70" t="inlineStr">
        <is>
          <t>Mandatory ship reporting system 'Off Chengshan Jiao Promontory'</t>
        </is>
      </c>
      <c r="C28" s="70" t="inlineStr">
        <is>
          <t>24 nm radius around 37°23.65'N 122°42.12'E</t>
        </is>
      </c>
      <c r="D28" s="70" t="inlineStr">
        <is>
          <t>Mandatory for applicable vessels</t>
        </is>
      </c>
      <c r="E28" s="70" t="inlineStr">
        <is>
          <t>VTS-045</t>
        </is>
      </c>
      <c r="F28" s="70" t="inlineStr">
        <is>
          <t>Core TSS screen</t>
        </is>
      </c>
      <c r="G28" s="70" t="inlineStr">
        <is>
          <t>Confirmed by primary source</t>
        </is>
      </c>
      <c r="H28" s="70" t="inlineStr">
        <is>
          <t>SRC-105</t>
        </is>
      </c>
      <c r="I28" s="71" t="inlineStr">
        <is>
          <t>https://wwwcdn.imo.org/localresources/en/KnowledgeCentre/IndexofIMOResolutions/MSCResolutions/MSC%20389%2094.pdf</t>
        </is>
      </c>
      <c r="J28" s="70" t="inlineStr">
        <is>
          <t>IMO instrument: MSC.389(94) (amended system, in force 1 June 2015); original system lead: MSC.93(72), 2000. Categories: passenger ships; oil tankers 150 GT+; ships with hazardous cargo; LOA &gt;200 m or draught &gt;12 m; towing/pushing; ships NUC or at anchor in the TSSs, RAM, or with defective navigation equipment.</t>
        </is>
      </c>
      <c r="K28" s="70" t="inlineStr">
        <is>
          <t>2026-09-29</t>
        </is>
      </c>
    </row>
    <row r="29" ht="66" customHeight="1" s="63">
      <c r="A29" s="70" t="inlineStr">
        <is>
          <t>SRS-023</t>
        </is>
      </c>
      <c r="B29" s="70" t="inlineStr">
        <is>
          <t>MASTREP (Modernised Australian Ship Tracking and Reporting System)</t>
        </is>
      </c>
      <c r="C29" s="70" t="inlineStr">
        <is>
          <t>MASTREP area (Australian search and rescue region)</t>
        </is>
      </c>
      <c r="D29" s="70" t="inlineStr">
        <is>
          <t>Mandatory for applicable vessels</t>
        </is>
      </c>
      <c r="E29" s="70" t="n"/>
      <c r="F29" s="70" t="inlineStr">
        <is>
          <t>Core TSS screen</t>
        </is>
      </c>
      <c r="G29" s="70" t="inlineStr">
        <is>
          <t>Confirmed by primary source</t>
        </is>
      </c>
      <c r="H29" s="70" t="inlineStr">
        <is>
          <t>SRC-110</t>
        </is>
      </c>
      <c r="I29" s="71" t="inlineStr">
        <is>
          <t>https://www.amsa.gov.au/safety-navigation/navigation-systems/modernised-australian-ship-tracking-and-reporting-system</t>
        </is>
      </c>
      <c r="J29" s="70" t="inlineStr">
        <is>
          <t>National (Navigation Act 2012, Marine Order 63), AIS-based; mandatory only for foreign vessels between first and last Australian port and for regulated Australian vessels.</t>
        </is>
      </c>
      <c r="K29" s="70" t="inlineStr">
        <is>
          <t>2026-09-29</t>
        </is>
      </c>
    </row>
    <row r="30" ht="66" customHeight="1" s="63">
      <c r="A30" s="70" t="inlineStr">
        <is>
          <t>SRS-024</t>
        </is>
      </c>
      <c r="B30" s="70" t="inlineStr">
        <is>
          <t>CHILREP (Sistema de Notificación de la Situación de las Naves)</t>
        </is>
      </c>
      <c r="C30" s="70" t="inlineStr">
        <is>
          <t>Chilean SAR region</t>
        </is>
      </c>
      <c r="D30" s="70" t="inlineStr">
        <is>
          <t>Voluntary</t>
        </is>
      </c>
      <c r="E30" s="70" t="n"/>
      <c r="F30" s="70" t="inlineStr">
        <is>
          <t>Additional voluntary reporting</t>
        </is>
      </c>
      <c r="G30" s="70" t="inlineStr">
        <is>
          <t>Confirmed by primary source</t>
        </is>
      </c>
      <c r="H30" s="70" t="inlineStr">
        <is>
          <t>SRC-121</t>
        </is>
      </c>
      <c r="I30" s="71" t="inlineStr">
        <is>
          <t>https://www.directemar.cl/directemar/site/docs/20200515/20200515201601/chilrep_v2_espa__ol.pdf</t>
        </is>
      </c>
      <c r="J30" s="70" t="inlineStr">
        <is>
          <t>SAR ship reporting system run by MRCC Chile under D.S. (M) 550 of 1983; voluntary for foreign ships, but Chilean-flag ships must report position at 12:00Z and 24:00Z, and national rules require foreign ships bound for a Chilean port to give 24 h arrival notice and report at 12:00Z/24:00Z in internal waters. Not an IMO-adopted SOLAS V/11 system.</t>
        </is>
      </c>
      <c r="K30" s="70" t="inlineStr">
        <is>
          <t>2026-09-29</t>
        </is>
      </c>
    </row>
    <row r="31" ht="66" customHeight="1" s="63">
      <c r="A31" s="70" t="inlineStr">
        <is>
          <t>SRS-025</t>
        </is>
      </c>
      <c r="B31" s="70" t="inlineStr">
        <is>
          <t>WHALESNORTH (northeastern US mandatory ship reporting system)</t>
        </is>
      </c>
      <c r="C31" s="70" t="inlineStr">
        <is>
          <t>Cape Cod Bay, Massachusetts Bay, Great South Channel (33 CFR 169.105 coordinates, south limit 41°00′N)</t>
        </is>
      </c>
      <c r="D31" s="70" t="inlineStr">
        <is>
          <t>Mandatory for applicable vessels</t>
        </is>
      </c>
      <c r="E31" s="70" t="n"/>
      <c r="F31" s="70" t="inlineStr">
        <is>
          <t>Core TSS screen</t>
        </is>
      </c>
      <c r="G31" s="70" t="inlineStr">
        <is>
          <t>Confirmed by primary source</t>
        </is>
      </c>
      <c r="H31" s="70" t="inlineStr">
        <is>
          <t>SRC-127</t>
        </is>
      </c>
      <c r="I31" s="71" t="inlineStr">
        <is>
          <t>https://www.ecfr.gov/api/versioner/v1/full/2026-09-01/title-33.xml?part=169</t>
        </is>
      </c>
      <c r="J31" s="70" t="inlineStr">
        <is>
          <t>IMO instrument: IMO-adopted per 33 CFR 169.5 definition; resolution number not verified. Year-round; USCG shore-based authority; ships of 300 GT or more report on entry.</t>
        </is>
      </c>
      <c r="K31" s="70" t="inlineStr">
        <is>
          <t>2026-09-29</t>
        </is>
      </c>
    </row>
    <row r="32" ht="66" customHeight="1" s="63">
      <c r="A32" s="70" t="inlineStr">
        <is>
          <t>SRS-026</t>
        </is>
      </c>
      <c r="B32" s="70" t="inlineStr">
        <is>
          <t>WHALESSOUTH (southeastern US mandatory ship reporting system)</t>
        </is>
      </c>
      <c r="C32" s="70" t="inlineStr">
        <is>
          <t>30°00′N to 31°27′N, shore to 80°51.6′W (Georgia/Florida)</t>
        </is>
      </c>
      <c r="D32" s="70" t="inlineStr">
        <is>
          <t>Mandatory for applicable vessels</t>
        </is>
      </c>
      <c r="E32" s="70" t="n"/>
      <c r="F32" s="70" t="inlineStr">
        <is>
          <t>Additional coverage (no TSS link evidenced)</t>
        </is>
      </c>
      <c r="G32" s="70" t="inlineStr">
        <is>
          <t>Confirmed by primary source</t>
        </is>
      </c>
      <c r="H32" s="70" t="inlineStr">
        <is>
          <t>SRC-127</t>
        </is>
      </c>
      <c r="I32" s="71" t="inlineStr">
        <is>
          <t>https://www.ecfr.gov/api/versioner/v1/full/2026-09-01/title-33.xml?part=169</t>
        </is>
      </c>
      <c r="J32" s="70" t="inlineStr">
        <is>
          <t>IMO instrument: IMO-adopted per 33 CFR 169.5 definition; resolution number not verified. 15 Nov to 16 Apr. Applies to none of group G's records.</t>
        </is>
      </c>
      <c r="K32" s="70" t="inlineStr">
        <is>
          <t>2026-09-29</t>
        </is>
      </c>
    </row>
    <row r="33" ht="66" customHeight="1" s="63">
      <c r="A33" s="70" t="inlineStr">
        <is>
          <t>SRS-027</t>
        </is>
      </c>
      <c r="B33" s="70" t="inlineStr">
        <is>
          <t>VMRS Buzzards Bay (Buzzards Bay Control)</t>
        </is>
      </c>
      <c r="C33" s="70" t="inlineStr">
        <is>
          <t>Waters E and N of Sakonnet Point, Buzzards Bay Entrance Light, Cuttyhunk Island line, incl. Cape Cod Canal</t>
        </is>
      </c>
      <c r="D33" s="70" t="inlineStr">
        <is>
          <t>Mandatory for applicable vessels</t>
        </is>
      </c>
      <c r="E33" s="70" t="n"/>
      <c r="F33" s="70" t="inlineStr">
        <is>
          <t>Core TSS screen</t>
        </is>
      </c>
      <c r="G33" s="70" t="inlineStr">
        <is>
          <t>Confirmed by primary source</t>
        </is>
      </c>
      <c r="H33" s="70" t="inlineStr">
        <is>
          <t>SRC-117</t>
        </is>
      </c>
      <c r="I33" s="71" t="inlineStr">
        <is>
          <t>https://www.ecfr.gov/api/versioner/v1/full/2026-09-01/title-33.xml?part=161</t>
        </is>
      </c>
      <c r="J33" s="70" t="inlineStr">
        <is>
          <t>National; 33 CFR 161 Subpart B; Ch 11.</t>
        </is>
      </c>
      <c r="K33" s="70" t="inlineStr">
        <is>
          <t>2026-09-29</t>
        </is>
      </c>
    </row>
  </sheetData>
  <mergeCells count="2">
    <mergeCell ref="A1:H2"/>
    <mergeCell ref="A3:H4"/>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cols>
    <col width="14" customWidth="1" style="63" min="1" max="1"/>
    <col width="14" customWidth="1" style="63" min="2" max="2"/>
    <col width="14" customWidth="1" style="63" min="3" max="3"/>
    <col width="36" customWidth="1" style="63" min="4" max="4"/>
    <col width="38" customWidth="1" style="63" min="5" max="5"/>
    <col width="22" customWidth="1" style="63" min="6" max="6"/>
    <col width="48" customWidth="1" style="63" min="7" max="7"/>
    <col width="48" customWidth="1" style="63" min="8" max="8"/>
  </cols>
  <sheetData>
    <row r="1" ht="23" customHeight="1" s="63">
      <c r="A1" s="47" t="inlineStr">
        <is>
          <t>ENTITY RELATIONSHIPS</t>
        </is>
      </c>
      <c r="B1" s="1" t="n"/>
      <c r="C1" s="1" t="n"/>
      <c r="D1" s="1" t="n"/>
      <c r="E1" s="1" t="n"/>
      <c r="F1" s="1" t="n"/>
      <c r="G1" s="1" t="n"/>
      <c r="H1" s="1" t="n"/>
    </row>
    <row r="2" ht="23" customHeight="1" s="63">
      <c r="A2" s="1" t="n"/>
      <c r="B2" s="1" t="n"/>
      <c r="C2" s="1" t="n"/>
      <c r="D2" s="1" t="n"/>
      <c r="E2" s="1" t="n"/>
      <c r="F2" s="1" t="n"/>
      <c r="G2" s="1" t="n"/>
      <c r="H2" s="1" t="n"/>
    </row>
    <row r="3" ht="21" customHeight="1" s="63">
      <c r="A3" s="15" t="inlineStr">
        <is>
          <t>Version 0.3 | 29 September 2026 | Relationships. Reconciled register; see Audit Findings and Overview for limits.</t>
        </is>
      </c>
      <c r="B3" s="1" t="n"/>
      <c r="C3" s="1" t="n"/>
      <c r="D3" s="1" t="n"/>
      <c r="E3" s="1" t="n"/>
      <c r="F3" s="1" t="n"/>
      <c r="G3" s="1" t="n"/>
      <c r="H3" s="1" t="n"/>
    </row>
    <row r="4" ht="21" customHeight="1" s="63">
      <c r="A4" s="1" t="n"/>
      <c r="B4" s="1" t="n"/>
      <c r="C4" s="1" t="n"/>
      <c r="D4" s="1" t="n"/>
      <c r="E4" s="1" t="n"/>
      <c r="F4" s="1" t="n"/>
      <c r="G4" s="1" t="n"/>
      <c r="H4" s="1" t="n"/>
    </row>
    <row r="6" ht="34" customHeight="1" s="63">
      <c r="A6" s="65" t="inlineStr">
        <is>
          <t>Link ID</t>
        </is>
      </c>
      <c r="B6" s="65" t="inlineStr">
        <is>
          <t>From ID</t>
        </is>
      </c>
      <c r="C6" s="65" t="inlineStr">
        <is>
          <t>To ID</t>
        </is>
      </c>
      <c r="D6" s="65" t="inlineStr">
        <is>
          <t>Relationship</t>
        </is>
      </c>
      <c r="E6" s="65" t="inlineStr">
        <is>
          <t>Evidence status</t>
        </is>
      </c>
      <c r="F6" s="65" t="inlineStr">
        <is>
          <t>Source IDs</t>
        </is>
      </c>
      <c r="G6" s="65" t="inlineStr">
        <is>
          <t>Source URLs</t>
        </is>
      </c>
      <c r="H6" s="65" t="inlineStr">
        <is>
          <t>Limit / next check</t>
        </is>
      </c>
    </row>
    <row r="7" ht="147" customHeight="1" s="63">
      <c r="A7" s="66" t="inlineStr">
        <is>
          <t>LNK-0001</t>
        </is>
      </c>
      <c r="B7" s="66" t="inlineStr">
        <is>
          <t>SRS-001</t>
        </is>
      </c>
      <c r="C7" s="66" t="inlineStr">
        <is>
          <t>VTS-001</t>
        </is>
      </c>
      <c r="D7" s="66" t="inlineStr">
        <is>
          <t>Reporting system served by</t>
        </is>
      </c>
      <c r="E7" s="66" t="inlineStr">
        <is>
          <t>Authority-supported identity</t>
        </is>
      </c>
      <c r="F7" s="66" t="inlineStr">
        <is>
          <t>SRC-004; SRC-005</t>
        </is>
      </c>
      <c r="G7" s="67" t="inlineStr">
        <is>
          <t>https://www.gov.uk/government/publications/dover-strait-crossings-channel-navigation-information-service/dover-strait-crossings-channel-navigation-information-service-cnis
https://www.gov.uk/government/publications/mgn-364-mf-amendment-2-navigation-safety-traffic-separation-schemes-application-of-rule-10-and-navigation-in-the-dover-strait/mgn-364-mf-amendment-2-navigation-safety-traffic-separation-schemes-application-of-rule-10-and-navigation-in-the-dover-strait</t>
        </is>
      </c>
      <c r="H7" s="66" t="inlineStr">
        <is>
          <t>Does not determine the number of guide entries.</t>
        </is>
      </c>
    </row>
    <row r="8" ht="60" customHeight="1" s="63">
      <c r="A8" s="70" t="inlineStr">
        <is>
          <t>LNK-0002</t>
        </is>
      </c>
      <c r="B8" s="70" t="inlineStr">
        <is>
          <t>SRS-002</t>
        </is>
      </c>
      <c r="C8" s="70" t="inlineStr">
        <is>
          <t>VTS-002</t>
        </is>
      </c>
      <c r="D8" s="70" t="inlineStr">
        <is>
          <t>Reporting system served by</t>
        </is>
      </c>
      <c r="E8" s="70" t="inlineStr">
        <is>
          <t>Authority-supported identity</t>
        </is>
      </c>
      <c r="F8" s="70" t="inlineStr">
        <is>
          <t>SRC-008</t>
        </is>
      </c>
      <c r="G8" s="71" t="inlineStr">
        <is>
          <t>https://www.forsvaret.dk/da/organisation/soevaernet/civile-opgaver/beltrep/</t>
        </is>
      </c>
      <c r="H8" s="70" t="inlineStr">
        <is>
          <t>Does not determine the number of guide entries.</t>
        </is>
      </c>
    </row>
    <row r="9" ht="79.5" customHeight="1" s="63">
      <c r="A9" s="66" t="inlineStr">
        <is>
          <t>LNK-0003</t>
        </is>
      </c>
      <c r="B9" s="66" t="inlineStr">
        <is>
          <t>SRS-003</t>
        </is>
      </c>
      <c r="C9" s="66" t="inlineStr">
        <is>
          <t>VTS-003</t>
        </is>
      </c>
      <c r="D9" s="66" t="inlineStr">
        <is>
          <t>Reporting system served by</t>
        </is>
      </c>
      <c r="E9" s="66" t="inlineStr">
        <is>
          <t>Authority-supported identity</t>
        </is>
      </c>
      <c r="F9" s="66" t="inlineStr">
        <is>
          <t>SRC-009; SRC-010</t>
        </is>
      </c>
      <c r="G9" s="67" t="inlineStr">
        <is>
          <t>https://www.sjofartsverket.se/en/services/maritime-traffic-information/soundrep/soundrep-information/about-soundrep/
https://www.transportstyrelsen.se/sv/sjofart/sjotrafik-och-hamnar/sjotrafikrapporteringssystem-srs/</t>
        </is>
      </c>
      <c r="H9" s="66" t="inlineStr">
        <is>
          <t>Does not determine the number of guide entries.</t>
        </is>
      </c>
    </row>
    <row r="10" ht="79.5" customHeight="1" s="63">
      <c r="A10" s="70" t="inlineStr">
        <is>
          <t>LNK-0004</t>
        </is>
      </c>
      <c r="B10" s="70" t="inlineStr">
        <is>
          <t>SRS-004</t>
        </is>
      </c>
      <c r="C10" s="70" t="inlineStr">
        <is>
          <t>VTS-004</t>
        </is>
      </c>
      <c r="D10" s="70" t="inlineStr">
        <is>
          <t>Reporting system served by</t>
        </is>
      </c>
      <c r="E10" s="70" t="inlineStr">
        <is>
          <t>Authority-supported identity</t>
        </is>
      </c>
      <c r="F10" s="70" t="inlineStr">
        <is>
          <t>SRC-006; SRC-007</t>
        </is>
      </c>
      <c r="G10" s="71" t="inlineStr">
        <is>
          <t>https://www.mpa.gov.sg/port-marine-ops/operations/vessel-traffic-information-system
https://www.mpa.gov.sg/port-marine-ops/operations/vessel-traffic-information-system/operational-areas</t>
        </is>
      </c>
      <c r="H10" s="70" t="inlineStr">
        <is>
          <t>Does not determine the number of guide entries.</t>
        </is>
      </c>
    </row>
    <row r="11" ht="79.5" customHeight="1" s="63">
      <c r="A11" s="66" t="inlineStr">
        <is>
          <t>LNK-0005</t>
        </is>
      </c>
      <c r="B11" s="66" t="inlineStr">
        <is>
          <t>SRS-004</t>
        </is>
      </c>
      <c r="C11" s="66" t="inlineStr">
        <is>
          <t>VTS-005</t>
        </is>
      </c>
      <c r="D11" s="66" t="inlineStr">
        <is>
          <t>Reporting system served by</t>
        </is>
      </c>
      <c r="E11" s="66" t="inlineStr">
        <is>
          <t>Authority-supported identity</t>
        </is>
      </c>
      <c r="F11" s="66" t="inlineStr">
        <is>
          <t>SRC-006; SRC-007</t>
        </is>
      </c>
      <c r="G11" s="67" t="inlineStr">
        <is>
          <t>https://www.mpa.gov.sg/port-marine-ops/operations/vessel-traffic-information-system
https://www.mpa.gov.sg/port-marine-ops/operations/vessel-traffic-information-system/operational-areas</t>
        </is>
      </c>
      <c r="H11" s="66" t="inlineStr">
        <is>
          <t>Does not determine the number of guide entries.</t>
        </is>
      </c>
    </row>
    <row r="12" ht="79.5" customHeight="1" s="63">
      <c r="A12" s="70" t="inlineStr">
        <is>
          <t>LNK-0006</t>
        </is>
      </c>
      <c r="B12" s="70" t="inlineStr">
        <is>
          <t>SRS-004</t>
        </is>
      </c>
      <c r="C12" s="70" t="inlineStr">
        <is>
          <t>VTS-006</t>
        </is>
      </c>
      <c r="D12" s="70" t="inlineStr">
        <is>
          <t>Reporting system served by</t>
        </is>
      </c>
      <c r="E12" s="70" t="inlineStr">
        <is>
          <t>Authority-supported identity</t>
        </is>
      </c>
      <c r="F12" s="70" t="inlineStr">
        <is>
          <t>SRC-006; SRC-007</t>
        </is>
      </c>
      <c r="G12" s="71" t="inlineStr">
        <is>
          <t>https://www.mpa.gov.sg/port-marine-ops/operations/vessel-traffic-information-system
https://www.mpa.gov.sg/port-marine-ops/operations/vessel-traffic-information-system/operational-areas</t>
        </is>
      </c>
      <c r="H12" s="70" t="inlineStr">
        <is>
          <t>Does not determine the number of guide entries.</t>
        </is>
      </c>
    </row>
    <row r="13" ht="60" customHeight="1" s="63">
      <c r="A13" s="66" t="inlineStr">
        <is>
          <t>LNK-0007</t>
        </is>
      </c>
      <c r="B13" s="66" t="inlineStr">
        <is>
          <t>SRS-005</t>
        </is>
      </c>
      <c r="C13" s="66" t="inlineStr">
        <is>
          <t>VTS-007</t>
        </is>
      </c>
      <c r="D13" s="66" t="inlineStr">
        <is>
          <t>Reporting system served by</t>
        </is>
      </c>
      <c r="E13" s="66" t="inlineStr">
        <is>
          <t>Authority-supported identity</t>
        </is>
      </c>
      <c r="F13" s="66" t="inlineStr">
        <is>
          <t>SRC-018; SRC-013</t>
        </is>
      </c>
      <c r="G13" s="67" t="inlineStr">
        <is>
          <t>https://www.msq.qld.gov.au/shipping/reefvts
https://www.amsa.gov.au/about/regulations-and-standards/marine-order-63-vessel-reporting-systems</t>
        </is>
      </c>
      <c r="H13" s="66" t="inlineStr">
        <is>
          <t>Does not determine the number of guide entries.</t>
        </is>
      </c>
    </row>
    <row r="14" ht="147" customHeight="1" s="63">
      <c r="A14" s="70" t="inlineStr">
        <is>
          <t>LNK-0008</t>
        </is>
      </c>
      <c r="B14" s="70" t="inlineStr">
        <is>
          <t>TSS-0005</t>
        </is>
      </c>
      <c r="C14" s="70" t="inlineStr">
        <is>
          <t>VTS-001</t>
        </is>
      </c>
      <c r="D14" s="70" t="inlineStr">
        <is>
          <t>Associated service / reporting scheme</t>
        </is>
      </c>
      <c r="E14" s="70" t="inlineStr">
        <is>
          <t>Authority-supported association</t>
        </is>
      </c>
      <c r="F14" s="70" t="inlineStr">
        <is>
          <t>SRC-004; SRC-005</t>
        </is>
      </c>
      <c r="G14" s="71" t="inlineStr">
        <is>
          <t>https://www.gov.uk/government/publications/dover-strait-crossings-channel-navigation-information-service/dover-strait-crossings-channel-navigation-information-service-cnis
https://www.gov.uk/government/publications/mgn-364-mf-amendment-2-navigation-safety-traffic-separation-schemes-application-of-rule-10-and-navigation-in-the-dover-strait/mgn-364-mf-amendment-2-navigation-safety-traffic-separation-schemes-application-of-rule-10-and-navigation-in-the-dover-strait</t>
        </is>
      </c>
      <c r="H14" s="70" t="inlineStr">
        <is>
          <t>Identity-level screen only; reporting boundaries and applicability not fully audited.</t>
        </is>
      </c>
    </row>
    <row r="15" ht="147" customHeight="1" s="63">
      <c r="A15" s="66" t="inlineStr">
        <is>
          <t>LNK-0009</t>
        </is>
      </c>
      <c r="B15" s="66" t="inlineStr">
        <is>
          <t>TSS-0005</t>
        </is>
      </c>
      <c r="C15" s="66" t="inlineStr">
        <is>
          <t>SRS-001</t>
        </is>
      </c>
      <c r="D15" s="66" t="inlineStr">
        <is>
          <t>Associated service / reporting scheme</t>
        </is>
      </c>
      <c r="E15" s="66" t="inlineStr">
        <is>
          <t>Authority-supported association</t>
        </is>
      </c>
      <c r="F15" s="66" t="inlineStr">
        <is>
          <t>SRC-004; SRC-005</t>
        </is>
      </c>
      <c r="G15" s="67" t="inlineStr">
        <is>
          <t>https://www.gov.uk/government/publications/dover-strait-crossings-channel-navigation-information-service/dover-strait-crossings-channel-navigation-information-service-cnis
https://www.gov.uk/government/publications/mgn-364-mf-amendment-2-navigation-safety-traffic-separation-schemes-application-of-rule-10-and-navigation-in-the-dover-strait/mgn-364-mf-amendment-2-navigation-safety-traffic-separation-schemes-application-of-rule-10-and-navigation-in-the-dover-strait</t>
        </is>
      </c>
      <c r="H15" s="66" t="inlineStr">
        <is>
          <t>Identity-level screen only; reporting boundaries and applicability not fully audited.</t>
        </is>
      </c>
    </row>
    <row r="16" ht="79.5" customHeight="1" s="63">
      <c r="A16" s="70" t="inlineStr">
        <is>
          <t>LNK-0010</t>
        </is>
      </c>
      <c r="B16" s="70" t="inlineStr">
        <is>
          <t>TSS-0038</t>
        </is>
      </c>
      <c r="C16" s="70" t="inlineStr">
        <is>
          <t>SRS-002</t>
        </is>
      </c>
      <c r="D16" s="70" t="inlineStr">
        <is>
          <t>Proposed geographical association</t>
        </is>
      </c>
      <c r="E16" s="70" t="inlineStr">
        <is>
          <t>Authority-supported identity</t>
        </is>
      </c>
      <c r="F16" s="70" t="inlineStr">
        <is>
          <t>SRC-008; SRC-020</t>
        </is>
      </c>
      <c r="G16" s="71" t="inlineStr">
        <is>
          <t>https://www.forsvaret.dk/da/organisation/soevaernet/civile-opgaver/beltrep/
https://wwwcdn.imo.org/localresources/en/KnowledgeCentre/IndexofIMOResolutions/MSCResolutions/MSC.332(90).pdf</t>
        </is>
      </c>
      <c r="H16" s="70" t="inlineStr">
        <is>
          <t>MSC.332(90) names the TSS. Current detailed reporting boundaries and rules still require audit.</t>
        </is>
      </c>
    </row>
    <row r="17" ht="79.5" customHeight="1" s="63">
      <c r="A17" s="66" t="inlineStr">
        <is>
          <t>LNK-0011</t>
        </is>
      </c>
      <c r="B17" s="66" t="inlineStr">
        <is>
          <t>TSS-0039</t>
        </is>
      </c>
      <c r="C17" s="66" t="inlineStr">
        <is>
          <t>SRS-002</t>
        </is>
      </c>
      <c r="D17" s="66" t="inlineStr">
        <is>
          <t>Proposed geographical association</t>
        </is>
      </c>
      <c r="E17" s="66" t="inlineStr">
        <is>
          <t>Authority-supported identity</t>
        </is>
      </c>
      <c r="F17" s="66" t="inlineStr">
        <is>
          <t>SRC-008; SRC-020</t>
        </is>
      </c>
      <c r="G17" s="67" t="inlineStr">
        <is>
          <t>https://www.forsvaret.dk/da/organisation/soevaernet/civile-opgaver/beltrep/
https://wwwcdn.imo.org/localresources/en/KnowledgeCentre/IndexofIMOResolutions/MSCResolutions/MSC.332(90).pdf</t>
        </is>
      </c>
      <c r="H17" s="66" t="inlineStr">
        <is>
          <t>MSC.332(90) names the TSS. Current detailed reporting boundaries and rules still require audit.</t>
        </is>
      </c>
    </row>
    <row r="18" ht="79.5" customHeight="1" s="63">
      <c r="A18" s="70" t="inlineStr">
        <is>
          <t>LNK-0012</t>
        </is>
      </c>
      <c r="B18" s="70" t="inlineStr">
        <is>
          <t>TSS-0040</t>
        </is>
      </c>
      <c r="C18" s="70" t="inlineStr">
        <is>
          <t>SRS-003</t>
        </is>
      </c>
      <c r="D18" s="70" t="inlineStr">
        <is>
          <t>Proposed geographical association</t>
        </is>
      </c>
      <c r="E18" s="70" t="inlineStr">
        <is>
          <t>Authority-supported identity</t>
        </is>
      </c>
      <c r="F18" s="70" t="inlineStr">
        <is>
          <t>SRC-009; SRC-021</t>
        </is>
      </c>
      <c r="G18" s="71" t="inlineStr">
        <is>
          <t>https://www.sjofartsverket.se/en/services/maritime-traffic-information/soundrep/soundrep-information/about-soundrep/
https://www.sjofartsverket.se/globalassets/tjanster/sjotrafiktjanster/msc.31488.pdf</t>
        </is>
      </c>
      <c r="H18" s="70" t="inlineStr">
        <is>
          <t>MSC.314(88) names the TSS. Full operational reconciliation remains pending.</t>
        </is>
      </c>
    </row>
    <row r="19" ht="60" customHeight="1" s="63">
      <c r="A19" s="66" t="inlineStr">
        <is>
          <t>LNK-0013</t>
        </is>
      </c>
      <c r="B19" s="66" t="inlineStr">
        <is>
          <t>TSS-0024</t>
        </is>
      </c>
      <c r="C19" s="66" t="inlineStr">
        <is>
          <t>SRS-006</t>
        </is>
      </c>
      <c r="D19" s="66" t="inlineStr">
        <is>
          <t>TSS associated with reporting area</t>
        </is>
      </c>
      <c r="E19" s="66" t="inlineStr">
        <is>
          <t>Authority-supported association</t>
        </is>
      </c>
      <c r="F19" s="66" t="inlineStr">
        <is>
          <t>SRC-012</t>
        </is>
      </c>
      <c r="G19" s="67" t="inlineStr">
        <is>
          <t>https://www.fintraffic.fi/sv/node/254</t>
        </is>
      </c>
      <c r="H19" s="66" t="inlineStr">
        <is>
          <t>Do not infer local VTS coverage from GOFREP participation.</t>
        </is>
      </c>
    </row>
    <row r="20" ht="60" customHeight="1" s="63">
      <c r="A20" s="70" t="inlineStr">
        <is>
          <t>LNK-0014</t>
        </is>
      </c>
      <c r="B20" s="70" t="inlineStr">
        <is>
          <t>TSS-0025</t>
        </is>
      </c>
      <c r="C20" s="70" t="inlineStr">
        <is>
          <t>SRS-006</t>
        </is>
      </c>
      <c r="D20" s="70" t="inlineStr">
        <is>
          <t>TSS associated with reporting area</t>
        </is>
      </c>
      <c r="E20" s="70" t="inlineStr">
        <is>
          <t>Authority-supported association</t>
        </is>
      </c>
      <c r="F20" s="70" t="inlineStr">
        <is>
          <t>SRC-012</t>
        </is>
      </c>
      <c r="G20" s="71" t="inlineStr">
        <is>
          <t>https://www.fintraffic.fi/sv/node/254</t>
        </is>
      </c>
      <c r="H20" s="70" t="inlineStr">
        <is>
          <t>Do not infer local VTS coverage from GOFREP participation.</t>
        </is>
      </c>
    </row>
    <row r="21" ht="60" customHeight="1" s="63">
      <c r="A21" s="66" t="inlineStr">
        <is>
          <t>LNK-0015</t>
        </is>
      </c>
      <c r="B21" s="66" t="inlineStr">
        <is>
          <t>TSS-0026</t>
        </is>
      </c>
      <c r="C21" s="66" t="inlineStr">
        <is>
          <t>SRS-006</t>
        </is>
      </c>
      <c r="D21" s="66" t="inlineStr">
        <is>
          <t>TSS associated with reporting area</t>
        </is>
      </c>
      <c r="E21" s="66" t="inlineStr">
        <is>
          <t>Authority-supported association</t>
        </is>
      </c>
      <c r="F21" s="66" t="inlineStr">
        <is>
          <t>SRC-012</t>
        </is>
      </c>
      <c r="G21" s="67" t="inlineStr">
        <is>
          <t>https://www.fintraffic.fi/sv/node/254</t>
        </is>
      </c>
      <c r="H21" s="66" t="inlineStr">
        <is>
          <t>Do not infer local VTS coverage from GOFREP participation.</t>
        </is>
      </c>
    </row>
    <row r="22" ht="60" customHeight="1" s="63">
      <c r="A22" s="70" t="inlineStr">
        <is>
          <t>LNK-0016</t>
        </is>
      </c>
      <c r="B22" s="70" t="inlineStr">
        <is>
          <t>TSS-0027</t>
        </is>
      </c>
      <c r="C22" s="70" t="inlineStr">
        <is>
          <t>SRS-006</t>
        </is>
      </c>
      <c r="D22" s="70" t="inlineStr">
        <is>
          <t>TSS associated with reporting area</t>
        </is>
      </c>
      <c r="E22" s="70" t="inlineStr">
        <is>
          <t>Authority-supported association</t>
        </is>
      </c>
      <c r="F22" s="70" t="inlineStr">
        <is>
          <t>SRC-012</t>
        </is>
      </c>
      <c r="G22" s="71" t="inlineStr">
        <is>
          <t>https://www.fintraffic.fi/sv/node/254</t>
        </is>
      </c>
      <c r="H22" s="70" t="inlineStr">
        <is>
          <t>Do not infer local VTS coverage from GOFREP participation.</t>
        </is>
      </c>
    </row>
    <row r="23" ht="79.5" customHeight="1" s="63">
      <c r="A23" s="66" t="inlineStr">
        <is>
          <t>LNK-0017</t>
        </is>
      </c>
      <c r="B23" s="66" t="inlineStr">
        <is>
          <t>TSS-0107</t>
        </is>
      </c>
      <c r="C23" s="66" t="inlineStr">
        <is>
          <t>SRS-004</t>
        </is>
      </c>
      <c r="D23" s="66" t="inlineStr">
        <is>
          <t>Candidate segment of covered routeing system</t>
        </is>
      </c>
      <c r="E23" s="66" t="inlineStr">
        <is>
          <t>System-level only; component mapping pending</t>
        </is>
      </c>
      <c r="F23" s="66" t="inlineStr">
        <is>
          <t>SRC-006; SRC-007</t>
        </is>
      </c>
      <c r="G23" s="67" t="inlineStr">
        <is>
          <t>https://www.mpa.gov.sg/port-marine-ops/operations/vessel-traffic-information-system
https://www.mpa.gov.sg/port-marine-ops/operations/vessel-traffic-information-system/operational-areas</t>
        </is>
      </c>
      <c r="H23" s="66" t="inlineStr">
        <is>
          <t>Allocate the segment to the relevant service and reporting sector using authoritative boundaries.</t>
        </is>
      </c>
    </row>
    <row r="24" ht="79.5" customHeight="1" s="63">
      <c r="A24" s="70" t="inlineStr">
        <is>
          <t>LNK-0018</t>
        </is>
      </c>
      <c r="B24" s="70" t="inlineStr">
        <is>
          <t>TSS-0108</t>
        </is>
      </c>
      <c r="C24" s="70" t="inlineStr">
        <is>
          <t>SRS-004</t>
        </is>
      </c>
      <c r="D24" s="70" t="inlineStr">
        <is>
          <t>Candidate segment of covered routeing system</t>
        </is>
      </c>
      <c r="E24" s="70" t="inlineStr">
        <is>
          <t>System-level only; component mapping pending</t>
        </is>
      </c>
      <c r="F24" s="70" t="inlineStr">
        <is>
          <t>SRC-006; SRC-007</t>
        </is>
      </c>
      <c r="G24" s="71" t="inlineStr">
        <is>
          <t>https://www.mpa.gov.sg/port-marine-ops/operations/vessel-traffic-information-system
https://www.mpa.gov.sg/port-marine-ops/operations/vessel-traffic-information-system/operational-areas</t>
        </is>
      </c>
      <c r="H24" s="70" t="inlineStr">
        <is>
          <t>Allocate the segment to the relevant service and reporting sector using authoritative boundaries.</t>
        </is>
      </c>
    </row>
    <row r="25" ht="79.5" customHeight="1" s="63">
      <c r="A25" s="66" t="inlineStr">
        <is>
          <t>LNK-0019</t>
        </is>
      </c>
      <c r="B25" s="66" t="inlineStr">
        <is>
          <t>TSS-0109</t>
        </is>
      </c>
      <c r="C25" s="66" t="inlineStr">
        <is>
          <t>SRS-004</t>
        </is>
      </c>
      <c r="D25" s="66" t="inlineStr">
        <is>
          <t>Candidate segment of covered routeing system</t>
        </is>
      </c>
      <c r="E25" s="66" t="inlineStr">
        <is>
          <t>System-level only; component mapping pending</t>
        </is>
      </c>
      <c r="F25" s="66" t="inlineStr">
        <is>
          <t>SRC-006; SRC-007</t>
        </is>
      </c>
      <c r="G25" s="67" t="inlineStr">
        <is>
          <t>https://www.mpa.gov.sg/port-marine-ops/operations/vessel-traffic-information-system
https://www.mpa.gov.sg/port-marine-ops/operations/vessel-traffic-information-system/operational-areas</t>
        </is>
      </c>
      <c r="H25" s="66" t="inlineStr">
        <is>
          <t>Allocate the segment to the relevant service and reporting sector using authoritative boundaries.</t>
        </is>
      </c>
    </row>
    <row r="26" ht="79.5" customHeight="1" s="63">
      <c r="A26" s="70" t="inlineStr">
        <is>
          <t>LNK-0020</t>
        </is>
      </c>
      <c r="B26" s="70" t="inlineStr">
        <is>
          <t>TSS-0110</t>
        </is>
      </c>
      <c r="C26" s="70" t="inlineStr">
        <is>
          <t>SRS-004</t>
        </is>
      </c>
      <c r="D26" s="70" t="inlineStr">
        <is>
          <t>Candidate segment of covered routeing system</t>
        </is>
      </c>
      <c r="E26" s="70" t="inlineStr">
        <is>
          <t>System-level only; component mapping pending</t>
        </is>
      </c>
      <c r="F26" s="70" t="inlineStr">
        <is>
          <t>SRC-006; SRC-007</t>
        </is>
      </c>
      <c r="G26" s="71" t="inlineStr">
        <is>
          <t>https://www.mpa.gov.sg/port-marine-ops/operations/vessel-traffic-information-system
https://www.mpa.gov.sg/port-marine-ops/operations/vessel-traffic-information-system/operational-areas</t>
        </is>
      </c>
      <c r="H26" s="70" t="inlineStr">
        <is>
          <t>Allocate the segment to the relevant service and reporting sector using authoritative boundaries.</t>
        </is>
      </c>
    </row>
    <row r="27" ht="79.5" customHeight="1" s="63">
      <c r="A27" s="66" t="inlineStr">
        <is>
          <t>LNK-0021</t>
        </is>
      </c>
      <c r="B27" s="66" t="inlineStr">
        <is>
          <t>TSS-0111</t>
        </is>
      </c>
      <c r="C27" s="66" t="inlineStr">
        <is>
          <t>SRS-004</t>
        </is>
      </c>
      <c r="D27" s="66" t="inlineStr">
        <is>
          <t>Candidate segment of covered routeing system</t>
        </is>
      </c>
      <c r="E27" s="66" t="inlineStr">
        <is>
          <t>System-level only; component mapping pending</t>
        </is>
      </c>
      <c r="F27" s="66" t="inlineStr">
        <is>
          <t>SRC-006; SRC-007</t>
        </is>
      </c>
      <c r="G27" s="67" t="inlineStr">
        <is>
          <t>https://www.mpa.gov.sg/port-marine-ops/operations/vessel-traffic-information-system
https://www.mpa.gov.sg/port-marine-ops/operations/vessel-traffic-information-system/operational-areas</t>
        </is>
      </c>
      <c r="H27" s="66" t="inlineStr">
        <is>
          <t>Allocate the segment to the relevant service and reporting sector using authoritative boundaries.</t>
        </is>
      </c>
    </row>
    <row r="28" ht="79.5" customHeight="1" s="63">
      <c r="A28" s="70" t="inlineStr">
        <is>
          <t>LNK-0022</t>
        </is>
      </c>
      <c r="B28" s="70" t="inlineStr">
        <is>
          <t>TSS-0112</t>
        </is>
      </c>
      <c r="C28" s="70" t="inlineStr">
        <is>
          <t>SRS-004</t>
        </is>
      </c>
      <c r="D28" s="70" t="inlineStr">
        <is>
          <t>Candidate segment of covered routeing system</t>
        </is>
      </c>
      <c r="E28" s="70" t="inlineStr">
        <is>
          <t>System-level only; component mapping pending</t>
        </is>
      </c>
      <c r="F28" s="70" t="inlineStr">
        <is>
          <t>SRC-006; SRC-007</t>
        </is>
      </c>
      <c r="G28" s="71" t="inlineStr">
        <is>
          <t>https://www.mpa.gov.sg/port-marine-ops/operations/vessel-traffic-information-system
https://www.mpa.gov.sg/port-marine-ops/operations/vessel-traffic-information-system/operational-areas</t>
        </is>
      </c>
      <c r="H28" s="70" t="inlineStr">
        <is>
          <t>Allocate the segment to the relevant service and reporting sector using authoritative boundaries.</t>
        </is>
      </c>
    </row>
    <row r="29" ht="79.5" customHeight="1" s="63">
      <c r="A29" s="66" t="inlineStr">
        <is>
          <t>LNK-0023</t>
        </is>
      </c>
      <c r="B29" s="66" t="inlineStr">
        <is>
          <t>TSS-0113</t>
        </is>
      </c>
      <c r="C29" s="66" t="inlineStr">
        <is>
          <t>SRS-004</t>
        </is>
      </c>
      <c r="D29" s="66" t="inlineStr">
        <is>
          <t>Candidate segment of covered routeing system</t>
        </is>
      </c>
      <c r="E29" s="66" t="inlineStr">
        <is>
          <t>System-level only; component mapping pending</t>
        </is>
      </c>
      <c r="F29" s="66" t="inlineStr">
        <is>
          <t>SRC-006; SRC-007</t>
        </is>
      </c>
      <c r="G29" s="67" t="inlineStr">
        <is>
          <t>https://www.mpa.gov.sg/port-marine-ops/operations/vessel-traffic-information-system
https://www.mpa.gov.sg/port-marine-ops/operations/vessel-traffic-information-system/operational-areas</t>
        </is>
      </c>
      <c r="H29" s="66" t="inlineStr">
        <is>
          <t>Allocate the segment to the relevant service and reporting sector using authoritative boundaries.</t>
        </is>
      </c>
    </row>
    <row r="30" ht="79.5" customHeight="1" s="63">
      <c r="A30" s="70" t="inlineStr">
        <is>
          <t>LNK-0024</t>
        </is>
      </c>
      <c r="B30" s="70" t="inlineStr">
        <is>
          <t>TSS-0114</t>
        </is>
      </c>
      <c r="C30" s="70" t="inlineStr">
        <is>
          <t>SRS-004</t>
        </is>
      </c>
      <c r="D30" s="70" t="inlineStr">
        <is>
          <t>Candidate segment of covered routeing system</t>
        </is>
      </c>
      <c r="E30" s="70" t="inlineStr">
        <is>
          <t>System-level only; component mapping pending</t>
        </is>
      </c>
      <c r="F30" s="70" t="inlineStr">
        <is>
          <t>SRC-006; SRC-007</t>
        </is>
      </c>
      <c r="G30" s="71" t="inlineStr">
        <is>
          <t>https://www.mpa.gov.sg/port-marine-ops/operations/vessel-traffic-information-system
https://www.mpa.gov.sg/port-marine-ops/operations/vessel-traffic-information-system/operational-areas</t>
        </is>
      </c>
      <c r="H30" s="70" t="inlineStr">
        <is>
          <t>Allocate the segment to the relevant service and reporting sector using authoritative boundaries.</t>
        </is>
      </c>
    </row>
    <row r="31" ht="60" customHeight="1" s="63">
      <c r="A31" s="66" t="inlineStr">
        <is>
          <t>LNK-0025</t>
        </is>
      </c>
      <c r="B31" s="66" t="inlineStr">
        <is>
          <t>TSS-0043</t>
        </is>
      </c>
      <c r="C31" s="66" t="inlineStr">
        <is>
          <t>SRS-007</t>
        </is>
      </c>
      <c r="D31" s="66" t="inlineStr">
        <is>
          <t>Proposed geographical association</t>
        </is>
      </c>
      <c r="E31" s="66" t="inlineStr">
        <is>
          <t>Authority-supported identity</t>
        </is>
      </c>
      <c r="F31" s="66" t="inlineStr">
        <is>
          <t>SRC-019</t>
        </is>
      </c>
      <c r="G31" s="67" t="inlineStr">
        <is>
          <t>https://www.umgdy.gov.pl/en/marine-safety/vts-zatoka-gdanska-en/</t>
        </is>
      </c>
      <c r="H31" s="66" t="inlineStr">
        <is>
          <t>Parent entry contains East/West TSS; separate component records are non-additive.</t>
        </is>
      </c>
    </row>
    <row r="32" ht="79.5" customHeight="1" s="63">
      <c r="A32" s="70" t="inlineStr">
        <is>
          <t>LNK-0026</t>
        </is>
      </c>
      <c r="B32" s="70" t="inlineStr">
        <is>
          <t>TSS-0038</t>
        </is>
      </c>
      <c r="C32" s="70" t="inlineStr">
        <is>
          <t>VTS-002</t>
        </is>
      </c>
      <c r="D32" s="70" t="inlineStr">
        <is>
          <t>TSS associated with service</t>
        </is>
      </c>
      <c r="E32" s="70" t="inlineStr">
        <is>
          <t>Authority-supported identity</t>
        </is>
      </c>
      <c r="F32" s="70" t="inlineStr">
        <is>
          <t>SRC-008; SRC-020</t>
        </is>
      </c>
      <c r="G32" s="71" t="inlineStr">
        <is>
          <t>https://www.forsvaret.dk/da/organisation/soevaernet/civile-opgaver/beltrep/
https://wwwcdn.imo.org/localresources/en/KnowledgeCentre/IndexofIMOResolutions/MSCResolutions/MSC.332(90).pdf</t>
        </is>
      </c>
      <c r="H32" s="70" t="inlineStr">
        <is>
          <t>Named association supported; no completed coordinate or operational audit.</t>
        </is>
      </c>
    </row>
    <row r="33" ht="79.5" customHeight="1" s="63">
      <c r="A33" s="66" t="inlineStr">
        <is>
          <t>LNK-0027</t>
        </is>
      </c>
      <c r="B33" s="66" t="inlineStr">
        <is>
          <t>TSS-0039</t>
        </is>
      </c>
      <c r="C33" s="66" t="inlineStr">
        <is>
          <t>VTS-002</t>
        </is>
      </c>
      <c r="D33" s="66" t="inlineStr">
        <is>
          <t>TSS associated with service</t>
        </is>
      </c>
      <c r="E33" s="66" t="inlineStr">
        <is>
          <t>Authority-supported identity</t>
        </is>
      </c>
      <c r="F33" s="66" t="inlineStr">
        <is>
          <t>SRC-008; SRC-020</t>
        </is>
      </c>
      <c r="G33" s="67" t="inlineStr">
        <is>
          <t>https://www.forsvaret.dk/da/organisation/soevaernet/civile-opgaver/beltrep/
https://wwwcdn.imo.org/localresources/en/KnowledgeCentre/IndexofIMOResolutions/MSCResolutions/MSC.332(90).pdf</t>
        </is>
      </c>
      <c r="H33" s="66" t="inlineStr">
        <is>
          <t>Named association supported; no completed coordinate or operational audit.</t>
        </is>
      </c>
    </row>
    <row r="34" ht="79.5" customHeight="1" s="63">
      <c r="A34" s="70" t="inlineStr">
        <is>
          <t>LNK-0028</t>
        </is>
      </c>
      <c r="B34" s="70" t="inlineStr">
        <is>
          <t>TSS-0040</t>
        </is>
      </c>
      <c r="C34" s="70" t="inlineStr">
        <is>
          <t>VTS-003</t>
        </is>
      </c>
      <c r="D34" s="70" t="inlineStr">
        <is>
          <t>TSS associated with service</t>
        </is>
      </c>
      <c r="E34" s="70" t="inlineStr">
        <is>
          <t>Authority-supported identity</t>
        </is>
      </c>
      <c r="F34" s="70" t="inlineStr">
        <is>
          <t>SRC-009; SRC-021</t>
        </is>
      </c>
      <c r="G34" s="71" t="inlineStr">
        <is>
          <t>https://www.sjofartsverket.se/en/services/maritime-traffic-information/soundrep/soundrep-information/about-soundrep/
https://www.sjofartsverket.se/globalassets/tjanster/sjotrafiktjanster/msc.31488.pdf</t>
        </is>
      </c>
      <c r="H34" s="70" t="inlineStr">
        <is>
          <t>Named association supported; no completed coordinate or operational audit.</t>
        </is>
      </c>
    </row>
    <row r="35" ht="106.5" customHeight="1" s="63">
      <c r="A35" s="66" t="inlineStr">
        <is>
          <t>LNK-0029</t>
        </is>
      </c>
      <c r="B35" s="66" t="inlineStr">
        <is>
          <t>TSS-0041</t>
        </is>
      </c>
      <c r="C35" s="66" t="inlineStr">
        <is>
          <t>VTS-003</t>
        </is>
      </c>
      <c r="D35" s="66" t="inlineStr">
        <is>
          <t>TSS associated with service</t>
        </is>
      </c>
      <c r="E35" s="66" t="inlineStr">
        <is>
          <t>Authority-supported identity</t>
        </is>
      </c>
      <c r="F35" s="66" t="inlineStr">
        <is>
          <t>SRC-009; SRC-015; SRC-021</t>
        </is>
      </c>
      <c r="G35" s="67" t="inlineStr">
        <is>
          <t>https://www.sjofartsverket.se/en/services/maritime-traffic-information/soundrep/soundrep-information/about-soundrep/
https://www.forsvaret.dk/da/organisation/soevaernet/nationalt-maritimt-operationscenter/vts/
https://www.sjofartsverket.se/globalassets/tjanster/sjotrafiktjanster/msc.31488.pdf</t>
        </is>
      </c>
      <c r="H35" s="66" t="inlineStr">
        <is>
          <t>Named association supported; no completed coordinate or operational audit.</t>
        </is>
      </c>
    </row>
    <row r="36" ht="60" customHeight="1" s="63">
      <c r="A36" s="70" t="inlineStr">
        <is>
          <t>LNK-0030</t>
        </is>
      </c>
      <c r="B36" s="70" t="inlineStr">
        <is>
          <t>TSS-0043</t>
        </is>
      </c>
      <c r="C36" s="70" t="inlineStr">
        <is>
          <t>VTS-015</t>
        </is>
      </c>
      <c r="D36" s="70" t="inlineStr">
        <is>
          <t>TSS associated with service</t>
        </is>
      </c>
      <c r="E36" s="70" t="inlineStr">
        <is>
          <t>Authority-supported identity</t>
        </is>
      </c>
      <c r="F36" s="70" t="inlineStr">
        <is>
          <t>SRC-019</t>
        </is>
      </c>
      <c r="G36" s="71" t="inlineStr">
        <is>
          <t>https://www.umgdy.gov.pl/en/marine-safety/vts-zatoka-gdanska-en/</t>
        </is>
      </c>
      <c r="H36" s="70" t="inlineStr">
        <is>
          <t>Named association supported; no completed coordinate or operational audit.</t>
        </is>
      </c>
    </row>
    <row r="37" ht="106.5" customHeight="1" s="63">
      <c r="A37" s="66" t="inlineStr">
        <is>
          <t>LNK-0031</t>
        </is>
      </c>
      <c r="B37" s="66" t="inlineStr">
        <is>
          <t>TSS-0041</t>
        </is>
      </c>
      <c r="C37" s="66" t="inlineStr">
        <is>
          <t>SRS-003</t>
        </is>
      </c>
      <c r="D37" s="66" t="inlineStr">
        <is>
          <t>TSS associated with reporting scheme</t>
        </is>
      </c>
      <c r="E37" s="66" t="inlineStr">
        <is>
          <t>Authority-supported identity</t>
        </is>
      </c>
      <c r="F37" s="66" t="inlineStr">
        <is>
          <t>SRC-009; SRC-015; SRC-021</t>
        </is>
      </c>
      <c r="G37" s="67" t="inlineStr">
        <is>
          <t>https://www.sjofartsverket.se/en/services/maritime-traffic-information/soundrep/soundrep-information/about-soundrep/
https://www.forsvaret.dk/da/organisation/soevaernet/nationalt-maritimt-operationscenter/vts/
https://www.sjofartsverket.se/globalassets/tjanster/sjotrafiktjanster/msc.31488.pdf</t>
        </is>
      </c>
      <c r="H37" s="66" t="inlineStr">
        <is>
          <t>Formal resolution uses 'Off Falsterbo'; source-label alias reconciliation retained.</t>
        </is>
      </c>
    </row>
    <row r="38" ht="60" customHeight="1" s="63">
      <c r="A38" s="70" t="inlineStr">
        <is>
          <t>LNK-0032</t>
        </is>
      </c>
      <c r="B38" s="70" t="inlineStr">
        <is>
          <t>TSS-0129</t>
        </is>
      </c>
      <c r="C38" s="70" t="inlineStr">
        <is>
          <t>VTS-009</t>
        </is>
      </c>
      <c r="D38" s="70" t="inlineStr">
        <is>
          <t>TSS service research lead</t>
        </is>
      </c>
      <c r="E38" s="70" t="inlineStr">
        <is>
          <t>Proposed; boundary evidence pending</t>
        </is>
      </c>
      <c r="F38" s="70" t="inlineStr">
        <is>
          <t>SRC-017</t>
        </is>
      </c>
      <c r="G38" s="71" t="inlineStr">
        <is>
          <t>https://www.navcen.uscg.gov/vessel-traffic-services-locations</t>
        </is>
      </c>
      <c r="H38" s="70" t="inlineStr">
        <is>
          <t>Verify the exact approach-TSS relationship and participation boundaries.</t>
        </is>
      </c>
    </row>
    <row r="39" ht="60" customHeight="1" s="63">
      <c r="A39" s="66" t="inlineStr">
        <is>
          <t>LNK-0033</t>
        </is>
      </c>
      <c r="B39" s="66" t="inlineStr">
        <is>
          <t>TSS-0130</t>
        </is>
      </c>
      <c r="C39" s="66" t="inlineStr">
        <is>
          <t>VTS-010</t>
        </is>
      </c>
      <c r="D39" s="66" t="inlineStr">
        <is>
          <t>TSS service research lead</t>
        </is>
      </c>
      <c r="E39" s="66" t="inlineStr">
        <is>
          <t>Proposed; boundary evidence pending</t>
        </is>
      </c>
      <c r="F39" s="66" t="inlineStr">
        <is>
          <t>SRC-017</t>
        </is>
      </c>
      <c r="G39" s="67" t="inlineStr">
        <is>
          <t>https://www.navcen.uscg.gov/vessel-traffic-services-locations</t>
        </is>
      </c>
      <c r="H39" s="66" t="inlineStr">
        <is>
          <t>This US service is not the whole cross-border corridor. Canadian service areas require separate records and boundary checks.</t>
        </is>
      </c>
    </row>
    <row r="40" ht="60" customHeight="1" s="63">
      <c r="A40" s="70" t="inlineStr">
        <is>
          <t>LNK-0034</t>
        </is>
      </c>
      <c r="B40" s="70" t="inlineStr">
        <is>
          <t>TSS-0131</t>
        </is>
      </c>
      <c r="C40" s="70" t="inlineStr">
        <is>
          <t>VTS-010</t>
        </is>
      </c>
      <c r="D40" s="70" t="inlineStr">
        <is>
          <t>TSS service research lead</t>
        </is>
      </c>
      <c r="E40" s="70" t="inlineStr">
        <is>
          <t>Proposed; boundary evidence pending</t>
        </is>
      </c>
      <c r="F40" s="70" t="inlineStr">
        <is>
          <t>SRC-017</t>
        </is>
      </c>
      <c r="G40" s="71" t="inlineStr">
        <is>
          <t>https://www.navcen.uscg.gov/vessel-traffic-services-locations</t>
        </is>
      </c>
      <c r="H40" s="70" t="inlineStr">
        <is>
          <t>This US service is not the whole cross-border corridor. Canadian service areas require separate records and boundary checks.</t>
        </is>
      </c>
    </row>
    <row r="41" ht="60" customHeight="1" s="63">
      <c r="A41" s="66" t="inlineStr">
        <is>
          <t>LNK-0035</t>
        </is>
      </c>
      <c r="B41" s="66" t="inlineStr">
        <is>
          <t>TSS-0132</t>
        </is>
      </c>
      <c r="C41" s="66" t="inlineStr">
        <is>
          <t>VTS-011</t>
        </is>
      </c>
      <c r="D41" s="66" t="inlineStr">
        <is>
          <t>TSS service research lead</t>
        </is>
      </c>
      <c r="E41" s="66" t="inlineStr">
        <is>
          <t>Proposed; boundary evidence pending</t>
        </is>
      </c>
      <c r="F41" s="66" t="inlineStr">
        <is>
          <t>SRC-017</t>
        </is>
      </c>
      <c r="G41" s="67" t="inlineStr">
        <is>
          <t>https://www.navcen.uscg.gov/vessel-traffic-services-locations</t>
        </is>
      </c>
      <c r="H41" s="66" t="inlineStr">
        <is>
          <t>Separate VTS requirements from voluntary offshore OVMRS. Offshore TSS coverage remains a research lead.</t>
        </is>
      </c>
    </row>
    <row r="42" ht="60" customHeight="1" s="63">
      <c r="A42" s="70" t="inlineStr">
        <is>
          <t>LNK-0036</t>
        </is>
      </c>
      <c r="B42" s="70" t="inlineStr">
        <is>
          <t>TSS-0133</t>
        </is>
      </c>
      <c r="C42" s="70" t="inlineStr">
        <is>
          <t>VTS-012</t>
        </is>
      </c>
      <c r="D42" s="70" t="inlineStr">
        <is>
          <t>TSS service research lead</t>
        </is>
      </c>
      <c r="E42" s="70" t="inlineStr">
        <is>
          <t>Proposed; boundary evidence pending</t>
        </is>
      </c>
      <c r="F42" s="70" t="inlineStr">
        <is>
          <t>SRC-017</t>
        </is>
      </c>
      <c r="G42" s="71" t="inlineStr">
        <is>
          <t>https://www.navcen.uscg.gov/vessel-traffic-services-locations</t>
        </is>
      </c>
      <c r="H42" s="70" t="inlineStr">
        <is>
          <t>The source TSS heading also includes Santa Barbara Channel. Do not infer whole-heading coverage.</t>
        </is>
      </c>
    </row>
    <row r="43" ht="60" customHeight="1" s="63">
      <c r="A43" s="66" t="inlineStr">
        <is>
          <t>LNK-0037</t>
        </is>
      </c>
      <c r="B43" s="66" t="inlineStr">
        <is>
          <t>TSS-0160</t>
        </is>
      </c>
      <c r="C43" s="66" t="inlineStr">
        <is>
          <t>VTS-013</t>
        </is>
      </c>
      <c r="D43" s="66" t="inlineStr">
        <is>
          <t>TSS service research lead</t>
        </is>
      </c>
      <c r="E43" s="66" t="inlineStr">
        <is>
          <t>Proposed; boundary evidence pending</t>
        </is>
      </c>
      <c r="F43" s="66" t="inlineStr">
        <is>
          <t>SRC-017</t>
        </is>
      </c>
      <c r="G43" s="67" t="inlineStr">
        <is>
          <t>https://www.navcen.uscg.gov/vessel-traffic-services-locations</t>
        </is>
      </c>
      <c r="H43" s="66" t="inlineStr">
        <is>
          <t>The offshore Galveston TSS is an approach lead. Service existence does not establish offshore coverage.</t>
        </is>
      </c>
    </row>
    <row r="44" ht="60" customHeight="1" s="63">
      <c r="A44" s="70" t="inlineStr">
        <is>
          <t>LNK-0038</t>
        </is>
      </c>
      <c r="B44" s="70" t="inlineStr">
        <is>
          <t>TSS-0165</t>
        </is>
      </c>
      <c r="C44" s="70" t="inlineStr">
        <is>
          <t>VTS-014</t>
        </is>
      </c>
      <c r="D44" s="70" t="inlineStr">
        <is>
          <t>TSS service research lead</t>
        </is>
      </c>
      <c r="E44" s="70" t="inlineStr">
        <is>
          <t>Proposed; boundary evidence pending</t>
        </is>
      </c>
      <c r="F44" s="70" t="inlineStr">
        <is>
          <t>SRC-017</t>
        </is>
      </c>
      <c r="G44" s="71" t="inlineStr">
        <is>
          <t>https://www.navcen.uscg.gov/vessel-traffic-services-locations</t>
        </is>
      </c>
      <c r="H44" s="70" t="inlineStr">
        <is>
          <t>The offshore New York TSS link needs geographical and applicability confirmation.</t>
        </is>
      </c>
    </row>
    <row r="45" ht="60" customHeight="1" s="63">
      <c r="A45" s="66" t="inlineStr">
        <is>
          <t>LNK-0039</t>
        </is>
      </c>
      <c r="B45" s="66" t="inlineStr">
        <is>
          <t>TSS-0132</t>
        </is>
      </c>
      <c r="C45" s="66" t="inlineStr">
        <is>
          <t>SRS-008</t>
        </is>
      </c>
      <c r="D45" s="66" t="inlineStr">
        <is>
          <t>TSS reporting research lead</t>
        </is>
      </c>
      <c r="E45" s="66" t="inlineStr">
        <is>
          <t>Proposed; boundary evidence pending</t>
        </is>
      </c>
      <c r="F45" s="66" t="inlineStr">
        <is>
          <t>SRC-017</t>
        </is>
      </c>
      <c r="G45" s="67" t="inlineStr">
        <is>
          <t>https://www.navcen.uscg.gov/vessel-traffic-services-locations</t>
        </is>
      </c>
      <c r="H45" s="66" t="inlineStr">
        <is>
          <t>OVMRS is voluntary. Authority confirms the scheme, but exact TSS overlap has not been checked.</t>
        </is>
      </c>
    </row>
    <row r="46" ht="60" customHeight="1" s="63">
      <c r="A46" s="70" t="inlineStr">
        <is>
          <t>LNK-0040</t>
        </is>
      </c>
      <c r="B46" s="70" t="inlineStr">
        <is>
          <t>SRS-008</t>
        </is>
      </c>
      <c r="C46" s="70" t="inlineStr">
        <is>
          <t>VTS-011</t>
        </is>
      </c>
      <c r="D46" s="70" t="inlineStr">
        <is>
          <t>Reporting system served by</t>
        </is>
      </c>
      <c r="E46" s="70" t="inlineStr">
        <is>
          <t>Authority-supported identity</t>
        </is>
      </c>
      <c r="F46" s="70" t="inlineStr">
        <is>
          <t>SRC-017</t>
        </is>
      </c>
      <c r="G46" s="71" t="inlineStr">
        <is>
          <t>https://www.navcen.uscg.gov/vessel-traffic-services-locations</t>
        </is>
      </c>
      <c r="H46" s="70" t="inlineStr">
        <is>
          <t>Voluntary OVMRS must remain separate from mandatory VTS participation.</t>
        </is>
      </c>
    </row>
    <row r="47" ht="60" customHeight="1" s="63">
      <c r="A47" s="66" t="inlineStr">
        <is>
          <t>LNK-0041</t>
        </is>
      </c>
      <c r="B47" s="66" t="inlineStr">
        <is>
          <t>SRS-007</t>
        </is>
      </c>
      <c r="C47" s="66" t="inlineStr">
        <is>
          <t>VTS-015</t>
        </is>
      </c>
      <c r="D47" s="66" t="inlineStr">
        <is>
          <t>Reporting system served by</t>
        </is>
      </c>
      <c r="E47" s="66" t="inlineStr">
        <is>
          <t>Authority-supported identity</t>
        </is>
      </c>
      <c r="F47" s="66" t="inlineStr">
        <is>
          <t>SRC-019</t>
        </is>
      </c>
      <c r="G47" s="67" t="inlineStr">
        <is>
          <t>https://www.umgdy.gov.pl/en/marine-safety/vts-zatoka-gdanska-en/</t>
        </is>
      </c>
      <c r="H47" s="66" t="inlineStr">
        <is>
          <t>Authority identifies GDANREP and its receiving VTS. Full operational audit pending.</t>
        </is>
      </c>
    </row>
    <row r="48" ht="60" customHeight="1" s="63">
      <c r="A48" s="70" t="inlineStr">
        <is>
          <t>LNK-0042</t>
        </is>
      </c>
      <c r="B48" s="70" t="inlineStr">
        <is>
          <t>TSS-0021</t>
        </is>
      </c>
      <c r="C48" s="70" t="inlineStr">
        <is>
          <t>SRS-006</t>
        </is>
      </c>
      <c r="D48" s="70" t="inlineStr">
        <is>
          <t>Restored reporting research lead</t>
        </is>
      </c>
      <c r="E48" s="70" t="inlineStr">
        <is>
          <t>Unverified legacy hypothesis</t>
        </is>
      </c>
      <c r="F48" s="70" t="inlineStr">
        <is>
          <t>SRC-011; SRC-012</t>
        </is>
      </c>
      <c r="G48" s="71" t="inlineStr">
        <is>
          <t>https://mastersguide.fintraffic.fi/en/gofrep-area
https://www.fintraffic.fi/sv/node/254</t>
        </is>
      </c>
      <c r="H48" s="70" t="inlineStr">
        <is>
          <t>These sources support GOFREP generally, not this named TSS. Do not count this as an evidenced relationship.</t>
        </is>
      </c>
    </row>
    <row r="49" ht="60" customHeight="1" s="63">
      <c r="A49" s="66" t="inlineStr">
        <is>
          <t>LNK-0043</t>
        </is>
      </c>
      <c r="B49" s="66" t="inlineStr">
        <is>
          <t>TSS-0022</t>
        </is>
      </c>
      <c r="C49" s="66" t="inlineStr">
        <is>
          <t>SRS-006</t>
        </is>
      </c>
      <c r="D49" s="66" t="inlineStr">
        <is>
          <t>Restored reporting research lead</t>
        </is>
      </c>
      <c r="E49" s="66" t="inlineStr">
        <is>
          <t>Unverified legacy hypothesis</t>
        </is>
      </c>
      <c r="F49" s="66" t="inlineStr">
        <is>
          <t>SRC-011; SRC-012</t>
        </is>
      </c>
      <c r="G49" s="67" t="inlineStr">
        <is>
          <t>https://mastersguide.fintraffic.fi/en/gofrep-area
https://www.fintraffic.fi/sv/node/254</t>
        </is>
      </c>
      <c r="H49" s="66" t="inlineStr">
        <is>
          <t>These sources support GOFREP generally, not this named TSS. Do not count this as an evidenced relationship.</t>
        </is>
      </c>
    </row>
    <row r="50" ht="60" customHeight="1" s="63">
      <c r="A50" s="70" t="inlineStr">
        <is>
          <t>LNK-0044</t>
        </is>
      </c>
      <c r="B50" s="70" t="inlineStr">
        <is>
          <t>TSS-0023</t>
        </is>
      </c>
      <c r="C50" s="70" t="inlineStr">
        <is>
          <t>SRS-006</t>
        </is>
      </c>
      <c r="D50" s="70" t="inlineStr">
        <is>
          <t>Restored reporting research lead</t>
        </is>
      </c>
      <c r="E50" s="70" t="inlineStr">
        <is>
          <t>Unverified legacy hypothesis</t>
        </is>
      </c>
      <c r="F50" s="70" t="inlineStr">
        <is>
          <t>SRC-011; SRC-012</t>
        </is>
      </c>
      <c r="G50" s="71" t="inlineStr">
        <is>
          <t>https://mastersguide.fintraffic.fi/en/gofrep-area
https://www.fintraffic.fi/sv/node/254</t>
        </is>
      </c>
      <c r="H50" s="70" t="inlineStr">
        <is>
          <t>These sources support GOFREP generally, not this named TSS. Do not count this as an evidenced relationship.</t>
        </is>
      </c>
    </row>
    <row r="51" ht="60" customHeight="1" s="63">
      <c r="A51" s="70" t="inlineStr">
        <is>
          <t>LNK-0045</t>
        </is>
      </c>
      <c r="B51" s="70" t="inlineStr">
        <is>
          <t>TSS-0046</t>
        </is>
      </c>
      <c r="C51" s="70" t="inlineStr">
        <is>
          <t>VTS-016</t>
        </is>
      </c>
      <c r="D51" s="70" t="inlineStr">
        <is>
          <t>TSS associated with service</t>
        </is>
      </c>
      <c r="E51" s="70" t="inlineStr">
        <is>
          <t>Stage 4 first pass: primary evidence</t>
        </is>
      </c>
      <c r="F51" s="70" t="inlineStr">
        <is>
          <t>SRC-024; SRC-027; SRC-028; SRC-029; SRC-031; SRC-033; SRC-034; SRC-050</t>
        </is>
      </c>
      <c r="G51" s="71"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https://www.gesetze-im-internet.de/anlbv_2004/anlage.html
https://www.wsa-weser-jade-nordsee.wsv.de/Webs/WSA/Weser-Jade-Nordsee/DE/Schifffahrt/Verkehrszentralen/verkehrsundrevierzentralen_node.html
https://www.elwis.de/DE/Seeschifffahrt/Verkehrs-und-Sicherheitsmanagement/Verkehrszentralen/Verkehrskanaele.pdf?__blob=publicationFile
https://epflicht.ulb.uni-bonn.de/download/pdf/564811
https://www.fpp.uni-lj.si/mma_bin.php?id=2011032217361737</t>
        </is>
      </c>
      <c r="H51" s="70" t="inlineStr">
        <is>
          <t>AnlBV Anlage Nr. 3.1 requires ships approaching the Inner German Bight from the west to report to 'German Bight Traffic' at 007° 10' E 'unabhängig davon, ob das Verkehrstrennungsgebiet German Bight Western Approach benutzt wird' (S6); Nr. 5.1 states traffic is monitored under maritime traffic safety. Coverage evidenced for the eastern part of the scheme and its approach into the Inner German Bight; the western extent of the scheme relative to the VTS area was not verified.</t>
        </is>
      </c>
    </row>
    <row r="52" ht="60" customHeight="1" s="63">
      <c r="A52" s="70" t="inlineStr">
        <is>
          <t>LNK-0046</t>
        </is>
      </c>
      <c r="B52" s="70" t="inlineStr">
        <is>
          <t>TSS-0047</t>
        </is>
      </c>
      <c r="C52" s="70" t="inlineStr">
        <is>
          <t>VTS-018</t>
        </is>
      </c>
      <c r="D52" s="70" t="inlineStr">
        <is>
          <t>TSS associated with service</t>
        </is>
      </c>
      <c r="E52" s="70" t="inlineStr">
        <is>
          <t>Stage 4 first pass: primary evidence</t>
        </is>
      </c>
      <c r="F52" s="70" t="inlineStr">
        <is>
          <t>SRC-027; SRC-029; SRC-030; SRC-032; SRC-033; SRC-050</t>
        </is>
      </c>
      <c r="G52" s="71" t="inlineStr">
        <is>
          <t>https://transportstyrelsen.se/globalassets/global/sjofart/dokument/sjotrafik_dok/ruttsystem.pdf
https://www.gesetze-im-internet.de/anlbv_2004/anlage.html
https://www.elwis.de/DE/Schifffahrtsrecht/Seeschifffahrtsrecht/SeeSchStrO/Achter-Abschnitt/58/58-node.html
https://www.wsa-elbe-nordsee.wsv.de/Webs/WSA/Elbe-Nordsee/DE/2_Schifffahrt/4_Verkehrszentralen/2_Cuxhaven/Cuxhaven_node.html
https://www.elwis.de/DE/Seeschifffahrt/Verkehrs-und-Sicherheitsmanagement/Verkehrszentralen/Verkehrskanaele.pdf?__blob=publicationFile
https://www.fpp.uni-lj.si/mma_bin.php?id=2011032217361737</t>
        </is>
      </c>
      <c r="H52" s="70" t="inlineStr">
        <is>
          <t>Cuxhaven VTS is responsible for the Elbe 'im Bereich der Elbeansteuerung' (Elbe approach) (S9); the GDWS Bekanntmachung sets the Cuxhaven Elbe Traffic area from buoy Nordergründe-Nord (008° E), with outbound reports there to German Bight Traffic on VHF 80 (S7). Coverage is of the direct approach; the TSS lanes themselves are in the Inner German Bight covered by German Bight Traffic, but the exact TSS-to-sector boundary was not verified.</t>
        </is>
      </c>
    </row>
    <row r="53" ht="60" customHeight="1" s="63">
      <c r="A53" s="70" t="inlineStr">
        <is>
          <t>LNK-0047</t>
        </is>
      </c>
      <c r="B53" s="70" t="inlineStr">
        <is>
          <t>TSS-0047</t>
        </is>
      </c>
      <c r="C53" s="70" t="inlineStr">
        <is>
          <t>VTS-016</t>
        </is>
      </c>
      <c r="D53" s="70" t="inlineStr">
        <is>
          <t>TSS associated with service</t>
        </is>
      </c>
      <c r="E53" s="70" t="inlineStr">
        <is>
          <t>Stage 4 first pass: primary evidence</t>
        </is>
      </c>
      <c r="F53" s="70" t="inlineStr">
        <is>
          <t>SRC-027; SRC-029; SRC-030; SRC-032; SRC-033; SRC-050</t>
        </is>
      </c>
      <c r="G53" s="71" t="inlineStr">
        <is>
          <t>https://transportstyrelsen.se/globalassets/global/sjofart/dokument/sjotrafik_dok/ruttsystem.pdf
https://www.gesetze-im-internet.de/anlbv_2004/anlage.html
https://www.elwis.de/DE/Schifffahrtsrecht/Seeschifffahrtsrecht/SeeSchStrO/Achter-Abschnitt/58/58-node.html
https://www.wsa-elbe-nordsee.wsv.de/Webs/WSA/Elbe-Nordsee/DE/2_Schifffahrt/4_Verkehrszentralen/2_Cuxhaven/Cuxhaven_node.html
https://www.elwis.de/DE/Seeschifffahrt/Verkehrs-und-Sicherheitsmanagement/Verkehrszentralen/Verkehrskanaele.pdf?__blob=publicationFile
https://www.fpp.uni-lj.si/mma_bin.php?id=2011032217361737</t>
        </is>
      </c>
      <c r="H53" s="70" t="inlineStr">
        <is>
          <t>Cuxhaven VTS is responsible for the Elbe 'im Bereich der Elbeansteuerung' (Elbe approach) (S9); the GDWS Bekanntmachung sets the Cuxhaven Elbe Traffic area from buoy Nordergründe-Nord (008° E), with outbound reports there to German Bight Traffic on VHF 80 (S7). Coverage is of the direct approach; the TSS lanes themselves are in the Inner German Bight covered by German Bight Traffic, but the exact TSS-to-sector boundary was not verified.</t>
        </is>
      </c>
    </row>
    <row r="54" ht="60" customHeight="1" s="63">
      <c r="A54" s="70" t="inlineStr">
        <is>
          <t>LNK-0048</t>
        </is>
      </c>
      <c r="B54" s="70" t="inlineStr">
        <is>
          <t>TSS-0048</t>
        </is>
      </c>
      <c r="C54" s="70" t="inlineStr">
        <is>
          <t>VTS-016</t>
        </is>
      </c>
      <c r="D54" s="70" t="inlineStr">
        <is>
          <t>TSS associated with service</t>
        </is>
      </c>
      <c r="E54" s="70" t="inlineStr">
        <is>
          <t>Stage 4 first pass: primary evidence</t>
        </is>
      </c>
      <c r="F54" s="70" t="inlineStr">
        <is>
          <t>SRC-027; SRC-029; SRC-030; SRC-031; SRC-034; SRC-050</t>
        </is>
      </c>
      <c r="G54" s="71" t="inlineStr">
        <is>
          <t>https://transportstyrelsen.se/globalassets/global/sjofart/dokument/sjotrafik_dok/ruttsystem.pdf
https://www.gesetze-im-internet.de/anlbv_2004/anlage.html
https://www.elwis.de/DE/Schifffahrtsrecht/Seeschifffahrtsrecht/SeeSchStrO/Achter-Abschnitt/58/58-node.html
https://www.wsa-weser-jade-nordsee.wsv.de/Webs/WSA/Weser-Jade-Nordsee/DE/Schifffahrt/Verkehrszentralen/verkehrsundrevierzentralen_node.html
https://epflicht.ulb.uni-bonn.de/download/pdf/564811
https://www.fpp.uni-lj.si/mma_bin.php?id=2011032217361737</t>
        </is>
      </c>
      <c r="H54" s="70" t="inlineStr">
        <is>
          <t>AnlBV Nr. 8 locates the scheme in the Inner German Bight outside the territorial sea; Nr. 5.1 states traffic there is monitored under maritime traffic safety and Nr. 3.1 routes reports to German Bight Traffic (S6). German Bight Traffic monitors the inner German Bight from Borkum to Helgoland (S8).</t>
        </is>
      </c>
    </row>
    <row r="55" ht="60" customHeight="1" s="63">
      <c r="A55" s="70" t="inlineStr">
        <is>
          <t>LNK-0049</t>
        </is>
      </c>
      <c r="B55" s="70" t="inlineStr">
        <is>
          <t>TSS-0049</t>
        </is>
      </c>
      <c r="C55" s="70" t="inlineStr">
        <is>
          <t>VTS-016</t>
        </is>
      </c>
      <c r="D55" s="70" t="inlineStr">
        <is>
          <t>TSS associated with service</t>
        </is>
      </c>
      <c r="E55" s="70" t="inlineStr">
        <is>
          <t>Stage 4 first pass: primary evidence</t>
        </is>
      </c>
      <c r="F55" s="70" t="inlineStr">
        <is>
          <t>SRC-024; SRC-027; SRC-028; SRC-029; SRC-030; SRC-031; SRC-034; SRC-036; SRC-037; SRC-038; SRC-050</t>
        </is>
      </c>
      <c r="G55" s="71"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https://www.gesetze-im-internet.de/anlbv_2004/anlage.html
https://www.elwis.de/DE/Schifffahrtsrecht/Seeschifffahrtsrecht/SeeSchStrO/Achter-Abschnitt/58/58-node.html
https://www.wsa-weser-jade-nordsee.wsv.de/Webs/WSA/Weser-Jade-Nordsee/DE/Schifffahrt/Verkehrszentralen/verkehrsundrevierzentralen_node.html
https://epflicht.ulb.uni-bonn.de/download/pdf/564811
https://kustwacht.nl/en/merchant-shipping/advice-for-container-ships-near-west-frisian-islands/
https://kustwacht.nl/hulpverlening/vtm/
https://kustwacht.nl/maritieme-organisaties/verkeerscentrales/
https://www.fpp.uni-lj.si/mma_bin.php?id=2011032217361737</t>
        </is>
      </c>
      <c r="H55" s="70" t="inlineStr">
        <is>
          <t>Bekanntmachung 19.1.4 and 19.1.5 require vessels using the TSS 'Terschelling - German Bight' and its inshore traffic zone to report to German Bight Traffic at Borkumriff buoy (VHF 79) and at TG 17/C eastbound (VHF 80) (S7). This establishes coverage of the German (eastern) part only. For the Dutch part: No Dutch VTS was found whose defined area covers this offshore scheme. The Netherlands Coastguard performs Vessel Traffic Monitoring (VTMon) and distinguishes VTS as provided by traffic centres (S14, S15); VTMon is recorded as a lead only, not as a VTS.</t>
        </is>
      </c>
    </row>
    <row r="56" ht="60" customHeight="1" s="63">
      <c r="A56" s="70" t="inlineStr">
        <is>
          <t>LNK-0050</t>
        </is>
      </c>
      <c r="B56" s="70" t="inlineStr">
        <is>
          <t>TSS-0053</t>
        </is>
      </c>
      <c r="C56" s="70" t="inlineStr">
        <is>
          <t>VTS-019</t>
        </is>
      </c>
      <c r="D56" s="70" t="inlineStr">
        <is>
          <t>TSS service research lead</t>
        </is>
      </c>
      <c r="E56" s="70" t="inlineStr">
        <is>
          <t>Lead; coverage not evidenced</t>
        </is>
      </c>
      <c r="F56" s="70" t="inlineStr">
        <is>
          <t>SRC-027; SRC-035; SRC-050</t>
        </is>
      </c>
      <c r="G56" s="71" t="inlineStr">
        <is>
          <t>https://transportstyrelsen.se/globalassets/global/sjofart/dokument/sjotrafik_dok/ruttsystem.pdf
https://www.portofamsterdam.com/sites/default/files/2025-09/2025-479_VTS%20communicatieregeling%202.0%20def_NLEN_rev.pdf
https://www.fpp.uni-lj.si/mma_bin.php?id=2011032217361737</t>
        </is>
      </c>
      <c r="H56" s="70" t="inlineStr">
        <is>
          <t>VTS North Sea Canal Area covers 'the approaches to IJmuiden ... within a 12-nautical-mile radius ... including the extended IJ-geul deep water channel' (S12). The source does not state that the TSS lanes lie within this area; the extended IJ-geul is a separate IMO deep-water route. VTS named as a strong lead; overlap with the TSS needs chart verification.</t>
        </is>
      </c>
    </row>
    <row r="57" ht="60" customHeight="1" s="63">
      <c r="A57" s="70" t="inlineStr">
        <is>
          <t>LNK-0051</t>
        </is>
      </c>
      <c r="B57" s="70" t="inlineStr">
        <is>
          <t>TSS-0059</t>
        </is>
      </c>
      <c r="C57" s="70" t="inlineStr">
        <is>
          <t>VTS-021</t>
        </is>
      </c>
      <c r="D57" s="70" t="inlineStr">
        <is>
          <t>TSS associated with service</t>
        </is>
      </c>
      <c r="E57" s="70" t="inlineStr">
        <is>
          <t>Stage 4 first pass: primary evidence</t>
        </is>
      </c>
      <c r="F57" s="70" t="inlineStr">
        <is>
          <t>SRC-039; SRC-040; SRC-041; SRC-042</t>
        </is>
      </c>
      <c r="G57" s="71" t="inlineStr">
        <is>
          <t>https://wwwcdn.imo.org/localresources/en/KnowledgeCentre/IndexofIMOResolutions/MSCResolutions/MSC.52(66).pdf
https://wwwcdn.imo.org/localresources/en/KnowledgeCentre/IndexofIMOResolutions/MSCResolutions/MSC.251(83).pdf
https://cimrc.shmtu.edu.cn/_upload/article/files/63/dc/35c66be74d12873254dc88a2ef00/a4f3f58b-c400-41cb-858b-89dccee63151.pdf
https://www.statistiques.developpement-durable.gouv.fr/edition-numerique/chiffres-cles-mer-littoral/18-surveillance-de-la-navigation-maritime</t>
        </is>
      </c>
      <c r="H57" s="70" t="inlineStr">
        <is>
          <t>IMO MSC.52(66): OUESSREP area 'covers a circular area 35 miles in radius centred on the Ile d'Ouessant' and 'The TSS covers the entire area'; shore authority is the Corsen/Ouessant VTS 'Ushant Traffic' at CROSS Corsen, VHF 13 (S16). French ministry 2024: 'DST Ouessant : zone de compétences CROSS Corsen' (S19).</t>
        </is>
      </c>
    </row>
    <row r="58" ht="60" customHeight="1" s="63">
      <c r="A58" s="70" t="inlineStr">
        <is>
          <t>LNK-0052</t>
        </is>
      </c>
      <c r="B58" s="70" t="inlineStr">
        <is>
          <t>TSS-0059</t>
        </is>
      </c>
      <c r="C58" s="70" t="inlineStr">
        <is>
          <t>SRS-009</t>
        </is>
      </c>
      <c r="D58" s="70" t="inlineStr">
        <is>
          <t>TSS associated with reporting scheme</t>
        </is>
      </c>
      <c r="E58" s="70" t="inlineStr">
        <is>
          <t>Stage 4 first pass: primary evidence</t>
        </is>
      </c>
      <c r="F58" s="70" t="inlineStr">
        <is>
          <t>SRC-039; SRC-040; SRC-041; SRC-042</t>
        </is>
      </c>
      <c r="G58" s="71" t="inlineStr">
        <is>
          <t>https://wwwcdn.imo.org/localresources/en/KnowledgeCentre/IndexofIMOResolutions/MSCResolutions/MSC.52(66).pdf
https://wwwcdn.imo.org/localresources/en/KnowledgeCentre/IndexofIMOResolutions/MSCResolutions/MSC.251(83).pdf
https://cimrc.shmtu.edu.cn/_upload/article/files/63/dc/35c66be74d12873254dc88a2ef00/a4f3f58b-c400-41cb-858b-89dccee63151.pdf
https://www.statistiques.developpement-durable.gouv.fr/edition-numerique/chiffres-cles-mer-littoral/18-surveillance-de-la-navigation-maritime</t>
        </is>
      </c>
      <c r="H58" s="70" t="inlineStr">
        <is>
          <t>OUESSREP, IMO-adopted SOLAS mandatory ship reporting system (MSC.52(66), amended MSC.251(83) in force 1 May 2008) covering the TSS (S16, S17); French 2024 publication confirms Channel CROSS monitor ships over 300 UMS 'soumis à un compte rendu obligatoire' (S19).</t>
        </is>
      </c>
    </row>
    <row r="59" ht="60" customHeight="1" s="63">
      <c r="A59" s="70" t="inlineStr">
        <is>
          <t>LNK-0053</t>
        </is>
      </c>
      <c r="B59" s="70" t="inlineStr">
        <is>
          <t>TSS-0060</t>
        </is>
      </c>
      <c r="C59" s="70" t="inlineStr">
        <is>
          <t>VTS-022</t>
        </is>
      </c>
      <c r="D59" s="70" t="inlineStr">
        <is>
          <t>TSS associated with service</t>
        </is>
      </c>
      <c r="E59" s="70" t="inlineStr">
        <is>
          <t>Stage 4 first pass: primary evidence</t>
        </is>
      </c>
      <c r="F59" s="70" t="inlineStr">
        <is>
          <t>SRC-043; SRC-044; SRC-045; SRC-050</t>
        </is>
      </c>
      <c r="G59" s="71" t="inlineStr">
        <is>
          <t>https://wwwcdn.imo.org/localresources/en/KnowledgeCentre/IndexofIMOResolutions/MSCResolutions/MSC.63(67).pdf
https://wwwcdn.imo.org/localresources/en/KnowledgeCentre/IndexofIMOResolutions/AssemblyDocuments/A.957(23).pdf
https://metropolitano.gal/extra/el-centro-de-coordinacion-de-salvamento-maritimo-de-vigo-rescato-a-316-personas-en-el-2024
https://www.fpp.uni-lj.si/mma_bin.php?id=2011032217361737</t>
        </is>
      </c>
      <c r="H59" s="70" t="inlineStr">
        <is>
          <t>MSC.63(67): FINREP area 'includes the traffic separation scheme "off Finisterre"' and ships 'shall report to the Finisterre Traffic VTS' (S20). The amended 2004 outer southbound lane reaches 010° 13.7' W (S21), slightly west of the 1996 FINREP limit (010° 10' W), so coverage of the outermost lane is not evidenced.</t>
        </is>
      </c>
    </row>
    <row r="60" ht="60" customHeight="1" s="63">
      <c r="A60" s="70" t="inlineStr">
        <is>
          <t>LNK-0054</t>
        </is>
      </c>
      <c r="B60" s="70" t="inlineStr">
        <is>
          <t>TSS-0060</t>
        </is>
      </c>
      <c r="C60" s="70" t="inlineStr">
        <is>
          <t>SRS-010</t>
        </is>
      </c>
      <c r="D60" s="70" t="inlineStr">
        <is>
          <t>TSS associated with reporting scheme</t>
        </is>
      </c>
      <c r="E60" s="70" t="inlineStr">
        <is>
          <t>Stage 4 first pass: primary evidence</t>
        </is>
      </c>
      <c r="F60" s="70" t="inlineStr">
        <is>
          <t>SRC-043; SRC-044; SRC-045; SRC-050</t>
        </is>
      </c>
      <c r="G60" s="71" t="inlineStr">
        <is>
          <t>https://wwwcdn.imo.org/localresources/en/KnowledgeCentre/IndexofIMOResolutions/MSCResolutions/MSC.63(67).pdf
https://wwwcdn.imo.org/localresources/en/KnowledgeCentre/IndexofIMOResolutions/AssemblyDocuments/A.957(23).pdf
https://metropolitano.gal/extra/el-centro-de-coordinacion-de-salvamento-maritimo-de-vigo-rescato-a-316-personas-en-el-2024
https://www.fpp.uni-lj.si/mma_bin.php?id=2011032217361737</t>
        </is>
      </c>
      <c r="H60" s="70" t="inlineStr">
        <is>
          <t>FINREP, IMO-adopted mandatory SRS in force 3 June 1997 (S20).</t>
        </is>
      </c>
    </row>
    <row r="61" ht="60" customHeight="1" s="63">
      <c r="A61" s="70" t="inlineStr">
        <is>
          <t>LNK-0055</t>
        </is>
      </c>
      <c r="B61" s="70" t="inlineStr">
        <is>
          <t>TSS-0061</t>
        </is>
      </c>
      <c r="C61" s="70" t="inlineStr">
        <is>
          <t>VTS-023</t>
        </is>
      </c>
      <c r="D61" s="70" t="inlineStr">
        <is>
          <t>TSS associated with service</t>
        </is>
      </c>
      <c r="E61" s="70" t="inlineStr">
        <is>
          <t>Stage 4 first pass: primary evidence</t>
        </is>
      </c>
      <c r="F61" s="70" t="inlineStr">
        <is>
          <t>SRC-046; SRC-047; SRC-048; SRC-049</t>
        </is>
      </c>
      <c r="G61" s="71" t="inlineStr">
        <is>
          <t>https://www.marinha.pt/Conteudos_Externos/LexMar2/PGPAT%20100/PGPAT%201000%20-%20Cap%C3%ADtulos/Capitulo%20K%20EST/Decreto-Lei%20198-2006%20(19OUT2006).pdf
https://www.marinha.pt/Conteudos_Externos/LexMar2/PGPAT%20100/PGPAT%201000%20-%20Cap%C3%ADtulos/Capitulo%20K%20EST/Dec.%20Lei%20263_2009,%20de%2028Set.pdf
https://wwwcdn.imo.org/localresources/en/KnowledgeCentre/IndexofIMOResolutions/MSCResolutions/MSC.278(85).pdf
https://cimrc.shmtu.edu.cn/_upload/article/files/63/dc/35c66be74d12873254dc88a2ef00/25e2ceb4-d2d9-4cf2-b55b-cdb3d56001b5.pdf</t>
        </is>
      </c>
      <c r="H61" s="70" t="inlineStr">
        <is>
          <t>DL 263/2009 art. 6 defines the coastal VTS area (west limit 10° 14' W north of 38° 41' N) and art. 10(4) gives the CCTMC supervision of 'regras aplicáveis aos esquemas de separação de tráfego' (S24); DL 198/2006 art. 9 assigns TSS enforcement to the national VTS authority (S23). All Circ.61 positions of the scheme (westmost 010° 13.78' W) fall inside the statutory VTS area on coordinate comparison (S26).</t>
        </is>
      </c>
    </row>
    <row r="62" ht="60" customHeight="1" s="63">
      <c r="A62" s="70" t="inlineStr">
        <is>
          <t>LNK-0056</t>
        </is>
      </c>
      <c r="B62" s="70" t="inlineStr">
        <is>
          <t>TSS-0061</t>
        </is>
      </c>
      <c r="C62" s="70" t="inlineStr">
        <is>
          <t>SRS-011</t>
        </is>
      </c>
      <c r="D62" s="70" t="inlineStr">
        <is>
          <t>TSS associated with reporting scheme</t>
        </is>
      </c>
      <c r="E62" s="70" t="inlineStr">
        <is>
          <t>Stage 4 first pass: primary evidence</t>
        </is>
      </c>
      <c r="F62" s="70" t="inlineStr">
        <is>
          <t>SRC-046; SRC-047; SRC-048; SRC-049</t>
        </is>
      </c>
      <c r="G62" s="71" t="inlineStr">
        <is>
          <t>https://www.marinha.pt/Conteudos_Externos/LexMar2/PGPAT%20100/PGPAT%201000%20-%20Cap%C3%ADtulos/Capitulo%20K%20EST/Decreto-Lei%20198-2006%20(19OUT2006).pdf
https://www.marinha.pt/Conteudos_Externos/LexMar2/PGPAT%20100/PGPAT%201000%20-%20Cap%C3%ADtulos/Capitulo%20K%20EST/Dec.%20Lei%20263_2009,%20de%2028Set.pdf
https://wwwcdn.imo.org/localresources/en/KnowledgeCentre/IndexofIMOResolutions/MSCResolutions/MSC.278(85).pdf
https://cimrc.shmtu.edu.cn/_upload/article/files/63/dc/35c66be74d12873254dc88a2ef00/25e2ceb4-d2d9-4cf2-b55b-cdb3d56001b5.pdf</t>
        </is>
      </c>
      <c r="H62" s="70" t="inlineStr">
        <is>
          <t>COPREP (MSC.278(85), in force 1 June 2009) area bounded west by 010° 14' W and to the south-west by the line 38° 41' N 010° 14' W to 36° 30' N 009° 35' W (S25); the scheme lies inside on coordinate comparison. Reports to Roca Control.</t>
        </is>
      </c>
    </row>
    <row r="63" ht="60" customHeight="1" s="63">
      <c r="A63" s="70" t="inlineStr">
        <is>
          <t>LNK-0057</t>
        </is>
      </c>
      <c r="B63" s="70" t="inlineStr">
        <is>
          <t>TSS-0062</t>
        </is>
      </c>
      <c r="C63" s="70" t="inlineStr">
        <is>
          <t>VTS-023</t>
        </is>
      </c>
      <c r="D63" s="70" t="inlineStr">
        <is>
          <t>TSS associated with service</t>
        </is>
      </c>
      <c r="E63" s="70" t="inlineStr">
        <is>
          <t>Stage 4 first pass: primary evidence</t>
        </is>
      </c>
      <c r="F63" s="70" t="inlineStr">
        <is>
          <t>SRC-046; SRC-047; SRC-048; SRC-049</t>
        </is>
      </c>
      <c r="G63" s="71" t="inlineStr">
        <is>
          <t>https://www.marinha.pt/Conteudos_Externos/LexMar2/PGPAT%20100/PGPAT%201000%20-%20Cap%C3%ADtulos/Capitulo%20K%20EST/Decreto-Lei%20198-2006%20(19OUT2006).pdf
https://www.marinha.pt/Conteudos_Externos/LexMar2/PGPAT%20100/PGPAT%201000%20-%20Cap%C3%ADtulos/Capitulo%20K%20EST/Dec.%20Lei%20263_2009,%20de%2028Set.pdf
https://wwwcdn.imo.org/localresources/en/KnowledgeCentre/IndexofIMOResolutions/MSCResolutions/MSC.278(85).pdf
https://cimrc.shmtu.edu.cn/_upload/article/files/63/dc/35c66be74d12873254dc88a2ef00/25e2ceb4-d2d9-4cf2-b55b-cdb3d56001b5.pdf</t>
        </is>
      </c>
      <c r="H63" s="70" t="inlineStr">
        <is>
          <t>As TSS-0061: statutory VTS area and CCTMC duty to supervise TSS rules (S24 art. 6, 10(4)); DL 198/2006 art. 9 (S23). Circ.61 positions (around 36° 36' to 37° 02' N, 008° 58' to 009° 34' W for retrieved points) lie inside the VTS area line 38° 41' N 10° 14' W to 36° 30' N 9° 35' W on coordinate comparison (S26).</t>
        </is>
      </c>
    </row>
    <row r="64" ht="60" customHeight="1" s="63">
      <c r="A64" s="70" t="inlineStr">
        <is>
          <t>LNK-0058</t>
        </is>
      </c>
      <c r="B64" s="70" t="inlineStr">
        <is>
          <t>TSS-0062</t>
        </is>
      </c>
      <c r="C64" s="70" t="inlineStr">
        <is>
          <t>SRS-011</t>
        </is>
      </c>
      <c r="D64" s="70" t="inlineStr">
        <is>
          <t>TSS associated with reporting scheme</t>
        </is>
      </c>
      <c r="E64" s="70" t="inlineStr">
        <is>
          <t>Stage 4 first pass: primary evidence</t>
        </is>
      </c>
      <c r="F64" s="70" t="inlineStr">
        <is>
          <t>SRC-046; SRC-047; SRC-048; SRC-049</t>
        </is>
      </c>
      <c r="G64" s="71" t="inlineStr">
        <is>
          <t>https://www.marinha.pt/Conteudos_Externos/LexMar2/PGPAT%20100/PGPAT%201000%20-%20Cap%C3%ADtulos/Capitulo%20K%20EST/Decreto-Lei%20198-2006%20(19OUT2006).pdf
https://www.marinha.pt/Conteudos_Externos/LexMar2/PGPAT%20100/PGPAT%201000%20-%20Cap%C3%ADtulos/Capitulo%20K%20EST/Dec.%20Lei%20263_2009,%20de%2028Set.pdf
https://wwwcdn.imo.org/localresources/en/KnowledgeCentre/IndexofIMOResolutions/MSCResolutions/MSC.278(85).pdf
https://cimrc.shmtu.edu.cn/_upload/article/files/63/dc/35c66be74d12873254dc88a2ef00/25e2ceb4-d2d9-4cf2-b55b-cdb3d56001b5.pdf</t>
        </is>
      </c>
      <c r="H64" s="70" t="inlineStr">
        <is>
          <t>COPREP area (S25) encloses the scheme on coordinate comparison; reports to Roca Control.</t>
        </is>
      </c>
    </row>
    <row r="65" ht="60" customHeight="1" s="63">
      <c r="A65" s="70" t="inlineStr">
        <is>
          <t>LNK-0059</t>
        </is>
      </c>
      <c r="B65" s="70" t="inlineStr">
        <is>
          <t>TSS-0064</t>
        </is>
      </c>
      <c r="C65" s="70" t="inlineStr">
        <is>
          <t>SRS-012</t>
        </is>
      </c>
      <c r="D65" s="70" t="inlineStr">
        <is>
          <t>TSS associated with reporting scheme</t>
        </is>
      </c>
      <c r="E65" s="70" t="inlineStr">
        <is>
          <t>Stage 4 first pass: primary evidence</t>
        </is>
      </c>
      <c r="F65" s="70" t="inlineStr">
        <is>
          <t>SRC-050; SRC-051; SRC-052</t>
        </is>
      </c>
      <c r="G65" s="71" t="inlineStr">
        <is>
          <t>https://www.fpp.uni-lj.si/mma_bin.php?id=2011032217361737
https://cimrc.shmtu.edu.cn/_upload/article/files/63/dc/35c66be74d12873254dc88a2ef00/8c6a3c5f-5a85-4450-980a-5534de9fcd0a.pdf
https://wwwcdn.imo.org/localresources/en/KnowledgeCentre/IndexofIMOResolutions/MSCResolutions/MSC.213(81).pdf</t>
        </is>
      </c>
      <c r="H65" s="70" t="inlineStr">
        <is>
          <t>CANREP area is a polygon along the outer limit of the territorial sea enclosing the archipelago, so inter-island waters including this scheme lie inside (S29, section 2.1). Applies only to specified heavy-oil tankers.</t>
        </is>
      </c>
    </row>
    <row r="66" ht="60" customHeight="1" s="63">
      <c r="A66" s="70" t="inlineStr">
        <is>
          <t>LNK-0060</t>
        </is>
      </c>
      <c r="B66" s="70" t="inlineStr">
        <is>
          <t>TSS-0065</t>
        </is>
      </c>
      <c r="C66" s="70" t="inlineStr">
        <is>
          <t>SRS-012</t>
        </is>
      </c>
      <c r="D66" s="70" t="inlineStr">
        <is>
          <t>TSS associated with reporting scheme</t>
        </is>
      </c>
      <c r="E66" s="70" t="inlineStr">
        <is>
          <t>Stage 4 first pass: primary evidence</t>
        </is>
      </c>
      <c r="F66" s="70" t="inlineStr">
        <is>
          <t>SRC-050; SRC-051; SRC-052</t>
        </is>
      </c>
      <c r="G66" s="71" t="inlineStr">
        <is>
          <t>https://www.fpp.uni-lj.si/mma_bin.php?id=2011032217361737
https://cimrc.shmtu.edu.cn/_upload/article/files/63/dc/35c66be74d12873254dc88a2ef00/8c6a3c5f-5a85-4450-980a-5534de9fcd0a.pdf
https://wwwcdn.imo.org/localresources/en/KnowledgeCentre/IndexofIMOResolutions/MSCResolutions/MSC.213(81).pdf</t>
        </is>
      </c>
      <c r="H66" s="70" t="inlineStr">
        <is>
          <t>Inside the CANREP polygon (S29); ships entering east of 015° 30' W report to MRCC Las Palmas.</t>
        </is>
      </c>
    </row>
    <row r="67" ht="60" customHeight="1" s="63">
      <c r="A67" s="70" t="inlineStr">
        <is>
          <t>LNK-0061</t>
        </is>
      </c>
      <c r="B67" s="70" t="inlineStr">
        <is>
          <t>TSS-0066</t>
        </is>
      </c>
      <c r="C67" s="70" t="inlineStr">
        <is>
          <t>VTS-025</t>
        </is>
      </c>
      <c r="D67" s="70" t="inlineStr">
        <is>
          <t>TSS associated with service</t>
        </is>
      </c>
      <c r="E67" s="70" t="inlineStr">
        <is>
          <t>Stage 4 first pass: primary evidence</t>
        </is>
      </c>
      <c r="F67" s="70" t="inlineStr">
        <is>
          <t>SRC-054; SRC-055; SRC-056; SRC-059</t>
        </is>
      </c>
      <c r="G67" s="71" t="inlineStr">
        <is>
          <t>https://www.transportstyrelsen.se/globalassets/global/sjofart/dokument/sjotrafik_dok/imo_colreg.2_cirkular.pdf?id=58526
https://wwwcdn.imo.org/localresources/en/KnowledgeCentre/IndexofIMOResolutions/MSCResolutions/MSC.300(87).pdf
https://www.transportes.gob.es/recursos_mfom/comodin/recursos/06_los_dst_autopistas_del_mar.pdf
https://transportstyrelsen.se/globalassets/global/sjofart/dokument/sjotrafik_dok/mandatory-and-recommended-srs.pdf</t>
        </is>
      </c>
      <c r="H67" s="70" t="inlineStr">
        <is>
          <t>MSC.300(87) annex 3.5.1: both Tarifa and Tangier centres monitor navigation in the TSS using radar and AIS; S11 confirms CCS Tarifa ('Tarifa Tráfico') provides the maritime traffic service in the Strait.</t>
        </is>
      </c>
    </row>
    <row r="68" ht="60" customHeight="1" s="63">
      <c r="A68" s="70" t="inlineStr">
        <is>
          <t>LNK-0062</t>
        </is>
      </c>
      <c r="B68" s="70" t="inlineStr">
        <is>
          <t>TSS-0066</t>
        </is>
      </c>
      <c r="C68" s="70" t="inlineStr">
        <is>
          <t>VTS-026</t>
        </is>
      </c>
      <c r="D68" s="70" t="inlineStr">
        <is>
          <t>TSS associated with service</t>
        </is>
      </c>
      <c r="E68" s="70" t="inlineStr">
        <is>
          <t>Stage 4 first pass: primary evidence</t>
        </is>
      </c>
      <c r="F68" s="70" t="inlineStr">
        <is>
          <t>SRC-054; SRC-055; SRC-056; SRC-059</t>
        </is>
      </c>
      <c r="G68" s="71" t="inlineStr">
        <is>
          <t>https://www.transportstyrelsen.se/globalassets/global/sjofart/dokument/sjotrafik_dok/imo_colreg.2_cirkular.pdf?id=58526
https://wwwcdn.imo.org/localresources/en/KnowledgeCentre/IndexofIMOResolutions/MSCResolutions/MSC.300(87).pdf
https://www.transportes.gob.es/recursos_mfom/comodin/recursos/06_los_dst_autopistas_del_mar.pdf
https://transportstyrelsen.se/globalassets/global/sjofart/dokument/sjotrafik_dok/mandatory-and-recommended-srs.pdf</t>
        </is>
      </c>
      <c r="H68" s="70" t="inlineStr">
        <is>
          <t>MSC.300(87) annex 3.5.1: both Tarifa and Tangier centres monitor navigation in the TSS using radar and AIS; S11 confirms CCS Tarifa ('Tarifa Tráfico') provides the maritime traffic service in the Strait.</t>
        </is>
      </c>
    </row>
    <row r="69" ht="60" customHeight="1" s="63">
      <c r="A69" s="70" t="inlineStr">
        <is>
          <t>LNK-0063</t>
        </is>
      </c>
      <c r="B69" s="70" t="inlineStr">
        <is>
          <t>TSS-0066</t>
        </is>
      </c>
      <c r="C69" s="70" t="inlineStr">
        <is>
          <t>SRS-015</t>
        </is>
      </c>
      <c r="D69" s="70" t="inlineStr">
        <is>
          <t>TSS associated with reporting scheme</t>
        </is>
      </c>
      <c r="E69" s="70" t="inlineStr">
        <is>
          <t>Stage 4 first pass: primary evidence</t>
        </is>
      </c>
      <c r="F69" s="70" t="inlineStr">
        <is>
          <t>SRC-054; SRC-055; SRC-056; SRC-059</t>
        </is>
      </c>
      <c r="G69" s="71" t="inlineStr">
        <is>
          <t>https://www.transportstyrelsen.se/globalassets/global/sjofart/dokument/sjotrafik_dok/imo_colreg.2_cirkular.pdf?id=58526
https://wwwcdn.imo.org/localresources/en/KnowledgeCentre/IndexofIMOResolutions/MSCResolutions/MSC.300(87).pdf
https://www.transportes.gob.es/recursos_mfom/comodin/recursos/06_los_dst_autopistas_del_mar.pdf
https://transportstyrelsen.se/globalassets/global/sjofart/dokument/sjotrafik_dok/mandatory-and-recommended-srs.pdf</t>
        </is>
      </c>
      <c r="H69" s="70" t="inlineStr">
        <is>
          <t>GIBREP area (005°58'W to 005°15'W) includes the amended TSS (MSC.300(87) annex 2.1).</t>
        </is>
      </c>
    </row>
    <row r="70" ht="60" customHeight="1" s="63">
      <c r="A70" s="70" t="inlineStr">
        <is>
          <t>LNK-0064</t>
        </is>
      </c>
      <c r="B70" s="70" t="inlineStr">
        <is>
          <t>TSS-0067</t>
        </is>
      </c>
      <c r="C70" s="70" t="inlineStr">
        <is>
          <t>VTS-027</t>
        </is>
      </c>
      <c r="D70" s="70" t="inlineStr">
        <is>
          <t>TSS associated with service</t>
        </is>
      </c>
      <c r="E70" s="70" t="inlineStr">
        <is>
          <t>Stage 4 first pass: primary evidence</t>
        </is>
      </c>
      <c r="F70" s="70" t="inlineStr">
        <is>
          <t>SRC-054; SRC-056; SRC-057</t>
        </is>
      </c>
      <c r="G70" s="71" t="inlineStr">
        <is>
          <t>https://www.transportstyrelsen.se/globalassets/global/sjofart/dokument/sjotrafik_dok/imo_colreg.2_cirkular.pdf?id=58526
https://www.transportes.gob.es/recursos_mfom/comodin/recursos/06_los_dst_autopistas_del_mar.pdf
https://www.lamoncloa.gob.es/serviciosdeprensa/notasprensa/mfom/Paginas/2015/140115-tarifa.aspx</t>
        </is>
      </c>
      <c r="H70" s="70" t="inlineStr">
        <is>
          <t>S11 (Ministry of Transport, Feb 2025): Salvamento Marítimo is responsible for controlling traffic safety in the DST of Cabo de Gata; S12 (2015) counts vessels identified passing the Cabo de Gata DST. Controlling centre (CCS Almería) is lead only.</t>
        </is>
      </c>
    </row>
    <row r="71" ht="60" customHeight="1" s="63">
      <c r="A71" s="70" t="inlineStr">
        <is>
          <t>LNK-0065</t>
        </is>
      </c>
      <c r="B71" s="70" t="inlineStr">
        <is>
          <t>TSS-0068</t>
        </is>
      </c>
      <c r="C71" s="70" t="inlineStr">
        <is>
          <t>VTS-028</t>
        </is>
      </c>
      <c r="D71" s="70" t="inlineStr">
        <is>
          <t>TSS service research lead</t>
        </is>
      </c>
      <c r="E71" s="70" t="inlineStr">
        <is>
          <t>Lead; coverage not evidenced</t>
        </is>
      </c>
      <c r="F71" s="70" t="inlineStr">
        <is>
          <t>SRC-054; SRC-056</t>
        </is>
      </c>
      <c r="G71" s="71" t="inlineStr">
        <is>
          <t>https://www.transportstyrelsen.se/globalassets/global/sjofart/dokument/sjotrafik_dok/imo_colreg.2_cirkular.pdf?id=58526
https://www.transportes.gob.es/recursos_mfom/comodin/recursos/06_los_dst_autopistas_del_mar.pdf</t>
        </is>
      </c>
      <c r="H71" s="70" t="inlineStr">
        <is>
          <t>S11 lists the DSTs Salvamento Marítimo controls as Fisterra, Tarifa, Cabo de Gata and Canarias, omitting Cabo de Palos, but the same article also states generally that DSTs are controlled by VTS assigned to Salvamento Marítimo. No source establishes CCS Cartagena coverage of the TSS.</t>
        </is>
      </c>
    </row>
    <row r="72" ht="60" customHeight="1" s="63">
      <c r="A72" s="70" t="inlineStr">
        <is>
          <t>LNK-0066</t>
        </is>
      </c>
      <c r="B72" s="70" t="inlineStr">
        <is>
          <t>TSS-0069</t>
        </is>
      </c>
      <c r="C72" s="70" t="inlineStr">
        <is>
          <t>VTS-029</t>
        </is>
      </c>
      <c r="D72" s="70" t="inlineStr">
        <is>
          <t>TSS service research lead</t>
        </is>
      </c>
      <c r="E72" s="70" t="inlineStr">
        <is>
          <t>Lead; coverage not evidenced</t>
        </is>
      </c>
      <c r="F72" s="70" t="inlineStr">
        <is>
          <t>SRC-054; SRC-056</t>
        </is>
      </c>
      <c r="G72" s="71" t="inlineStr">
        <is>
          <t>https://www.transportstyrelsen.se/globalassets/global/sjofart/dokument/sjotrafik_dok/imo_colreg.2_cirkular.pdf?id=58526
https://www.transportes.gob.es/recursos_mfom/comodin/recursos/06_los_dst_autopistas_del_mar.pdf</t>
        </is>
      </c>
      <c r="H72" s="70" t="inlineStr">
        <is>
          <t>As for Cabo de Palos: S11 omits La Nao from the DSTs Salvamento Marítimo controls; no source establishes CCS Valencia coverage.</t>
        </is>
      </c>
    </row>
    <row r="73" ht="60" customHeight="1" s="63">
      <c r="A73" s="70" t="inlineStr">
        <is>
          <t>LNK-0067</t>
        </is>
      </c>
      <c r="B73" s="70" t="inlineStr">
        <is>
          <t>TSS-0073</t>
        </is>
      </c>
      <c r="C73" s="70" t="inlineStr">
        <is>
          <t>VTS-033</t>
        </is>
      </c>
      <c r="D73" s="70" t="inlineStr">
        <is>
          <t>TSS service research lead</t>
        </is>
      </c>
      <c r="E73" s="70" t="inlineStr">
        <is>
          <t>Lead; coverage not evidenced</t>
        </is>
      </c>
      <c r="F73" s="70" t="inlineStr">
        <is>
          <t>SRC-054; SRC-058; SRC-065</t>
        </is>
      </c>
      <c r="G73" s="71"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H73" s="70" t="inlineStr">
        <is>
          <t>S20: VTS Croatia supervises application of the Adriatic TSS of COLREG.2/Circ.54 and 58 'u VTS području' (area incl. territorial sea and ZERP). Whether each component lies within the Croatian VTS area was not verified; no Italian VTS area covers this offshore scheme.</t>
        </is>
      </c>
    </row>
    <row r="74" ht="60" customHeight="1" s="63">
      <c r="A74" s="70" t="inlineStr">
        <is>
          <t>LNK-0068</t>
        </is>
      </c>
      <c r="B74" s="70" t="inlineStr">
        <is>
          <t>TSS-0073</t>
        </is>
      </c>
      <c r="C74" s="70" t="inlineStr">
        <is>
          <t>SRS-016</t>
        </is>
      </c>
      <c r="D74" s="70" t="inlineStr">
        <is>
          <t>TSS associated with reporting scheme</t>
        </is>
      </c>
      <c r="E74" s="70" t="inlineStr">
        <is>
          <t>Stage 4 first pass: primary evidence</t>
        </is>
      </c>
      <c r="F74" s="70" t="inlineStr">
        <is>
          <t>SRC-054; SRC-058; SRC-065</t>
        </is>
      </c>
      <c r="G74" s="71"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H74" s="70" t="inlineStr">
        <is>
          <t>ADRIREP covers the whole Adriatic north of 40°25'N (S13), which includes this scheme.</t>
        </is>
      </c>
    </row>
    <row r="75" ht="60" customHeight="1" s="63">
      <c r="A75" s="70" t="inlineStr">
        <is>
          <t>LNK-0069</t>
        </is>
      </c>
      <c r="B75" s="70" t="inlineStr">
        <is>
          <t>TSS-0074</t>
        </is>
      </c>
      <c r="C75" s="70" t="inlineStr">
        <is>
          <t>VTS-033</t>
        </is>
      </c>
      <c r="D75" s="70" t="inlineStr">
        <is>
          <t>TSS service research lead</t>
        </is>
      </c>
      <c r="E75" s="70" t="inlineStr">
        <is>
          <t>Lead; coverage not evidenced</t>
        </is>
      </c>
      <c r="F75" s="70" t="inlineStr">
        <is>
          <t>SRC-054; SRC-058; SRC-065</t>
        </is>
      </c>
      <c r="G75" s="71"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H75" s="70" t="inlineStr">
        <is>
          <t>Scheme lies offshore south-west of Istria, outside the VTS Trieste and Koper areas (S15, S16). VTS Croatia supervises Circ.54 schemes within its area (S20) but location of this component relative to that area not verified.</t>
        </is>
      </c>
    </row>
    <row r="76" ht="60" customHeight="1" s="63">
      <c r="A76" s="70" t="inlineStr">
        <is>
          <t>LNK-0070</t>
        </is>
      </c>
      <c r="B76" s="70" t="inlineStr">
        <is>
          <t>TSS-0074</t>
        </is>
      </c>
      <c r="C76" s="70" t="inlineStr">
        <is>
          <t>SRS-016</t>
        </is>
      </c>
      <c r="D76" s="70" t="inlineStr">
        <is>
          <t>TSS associated with reporting scheme</t>
        </is>
      </c>
      <c r="E76" s="70" t="inlineStr">
        <is>
          <t>Stage 4 first pass: primary evidence</t>
        </is>
      </c>
      <c r="F76" s="70" t="inlineStr">
        <is>
          <t>SRC-054; SRC-058; SRC-065</t>
        </is>
      </c>
      <c r="G76" s="71"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H76" s="70" t="inlineStr">
        <is>
          <t>Within ADRIREP area (whole Adriatic north of 40°25'N).</t>
        </is>
      </c>
    </row>
    <row r="77" ht="60" customHeight="1" s="63">
      <c r="A77" s="70" t="inlineStr">
        <is>
          <t>LNK-0071</t>
        </is>
      </c>
      <c r="B77" s="70" t="inlineStr">
        <is>
          <t>TSS-0075</t>
        </is>
      </c>
      <c r="C77" s="70" t="inlineStr">
        <is>
          <t>VTS-032</t>
        </is>
      </c>
      <c r="D77" s="70" t="inlineStr">
        <is>
          <t>TSS associated with service</t>
        </is>
      </c>
      <c r="E77" s="70" t="inlineStr">
        <is>
          <t>Stage 4 first pass: primary evidence</t>
        </is>
      </c>
      <c r="F77" s="70" t="inlineStr">
        <is>
          <t>SRC-054; SRC-058; SRC-062; SRC-063</t>
        </is>
      </c>
      <c r="G77" s="71" t="inlineStr">
        <is>
          <t>https://www.transportstyrelsen.se/globalassets/global/sjofart/dokument/sjotrafik_dok/imo_colreg.2_cirkular.pdf?id=58526
https://wwwcdn.imo.org/localresources/en/KnowledgeCentre/IndexofIMOResolutions/MSCResolutions/MSC.598(111).pdf
https://www.guardiacostiera.gov.it/portale/documents/d/guest/en_venezia_manuale_utentevts
https://www.guardiacostiera.gov.it/portale/vessel-traffic-service</t>
        </is>
      </c>
      <c r="H77" s="70" t="inlineStr">
        <is>
          <t>Direct approach: TSS northern terminus (c. 45°10'-45°14'N, 012°29'-012°39'E, S4) adjoins the Venice VTS area outer limit B-C (45°08.4'N 012°25.7'E to 45°16.0'N 012°35.0'E, S17), and participating vessels must call Venice VTS 5 NM outside that limit, i.e. while in the TSS. Coverage inferred by comparing coordinates from two primary sources; the manual does not say in words that the VTS covers the TSS.</t>
        </is>
      </c>
    </row>
    <row r="78" ht="60" customHeight="1" s="63">
      <c r="A78" s="70" t="inlineStr">
        <is>
          <t>LNK-0072</t>
        </is>
      </c>
      <c r="B78" s="70" t="inlineStr">
        <is>
          <t>TSS-0075</t>
        </is>
      </c>
      <c r="C78" s="70" t="inlineStr">
        <is>
          <t>SRS-016</t>
        </is>
      </c>
      <c r="D78" s="70" t="inlineStr">
        <is>
          <t>TSS associated with reporting scheme</t>
        </is>
      </c>
      <c r="E78" s="70" t="inlineStr">
        <is>
          <t>Stage 4 first pass: primary evidence</t>
        </is>
      </c>
      <c r="F78" s="70" t="inlineStr">
        <is>
          <t>SRC-054; SRC-058; SRC-062; SRC-063</t>
        </is>
      </c>
      <c r="G78" s="71" t="inlineStr">
        <is>
          <t>https://www.transportstyrelsen.se/globalassets/global/sjofart/dokument/sjotrafik_dok/imo_colreg.2_cirkular.pdf?id=58526
https://wwwcdn.imo.org/localresources/en/KnowledgeCentre/IndexofIMOResolutions/MSCResolutions/MSC.598(111).pdf
https://www.guardiacostiera.gov.it/portale/documents/d/guest/en_venezia_manuale_utentevts
https://www.guardiacostiera.gov.it/portale/vessel-traffic-service</t>
        </is>
      </c>
      <c r="H78" s="70" t="inlineStr">
        <is>
          <t>Within ADRIREP area; Venice MRSC and VTS Venezia are ADRIREP authorities (S13, S17).</t>
        </is>
      </c>
    </row>
    <row r="79" ht="60" customHeight="1" s="63">
      <c r="A79" s="70" t="inlineStr">
        <is>
          <t>LNK-0073</t>
        </is>
      </c>
      <c r="B79" s="70" t="inlineStr">
        <is>
          <t>TSS-0076</t>
        </is>
      </c>
      <c r="C79" s="70" t="inlineStr">
        <is>
          <t>VTS-030</t>
        </is>
      </c>
      <c r="D79" s="70" t="inlineStr">
        <is>
          <t>TSS associated with service</t>
        </is>
      </c>
      <c r="E79" s="70" t="inlineStr">
        <is>
          <t>Stage 4 first pass: primary evidence</t>
        </is>
      </c>
      <c r="F79" s="70" t="inlineStr">
        <is>
          <t>SRC-054; SRC-058; SRC-060; SRC-061</t>
        </is>
      </c>
      <c r="G79" s="71" t="inlineStr">
        <is>
          <t>https://www.transportstyrelsen.se/globalassets/global/sjofart/dokument/sjotrafik_dok/imo_colreg.2_cirkular.pdf?id=58526
https://wwwcdn.imo.org/localresources/en/KnowledgeCentre/IndexofIMOResolutions/MSCResolutions/MSC.598(111).pdf
https://www.gov.si/assets/organi-v-sestavi/URSP/Dokumenti/VTS/Koper-VTS-Users-Manual.pdf
https://www.guardiacostiera.gov.it/portale/documents/d/guest/it_trieste_manuale_utentevts</t>
        </is>
      </c>
      <c r="H79" s="70" t="inlineStr">
        <is>
          <t>Koper VTS manual section 7.1 describes both TSS and requires vessels in its area to use the lanes (S15). VTS Trieste manual: 'Nell'Area VTS di Trieste è ricompreso lo schema obbligatorio di separazione del traffico ... Golfo di Trieste' (S16). Each covers the part within its national waters.</t>
        </is>
      </c>
    </row>
    <row r="80" ht="60" customHeight="1" s="63">
      <c r="A80" s="70" t="inlineStr">
        <is>
          <t>LNK-0074</t>
        </is>
      </c>
      <c r="B80" s="70" t="inlineStr">
        <is>
          <t>TSS-0076</t>
        </is>
      </c>
      <c r="C80" s="70" t="inlineStr">
        <is>
          <t>VTS-031</t>
        </is>
      </c>
      <c r="D80" s="70" t="inlineStr">
        <is>
          <t>TSS associated with service</t>
        </is>
      </c>
      <c r="E80" s="70" t="inlineStr">
        <is>
          <t>Stage 4 first pass: primary evidence</t>
        </is>
      </c>
      <c r="F80" s="70" t="inlineStr">
        <is>
          <t>SRC-054; SRC-058; SRC-060; SRC-061</t>
        </is>
      </c>
      <c r="G80" s="71" t="inlineStr">
        <is>
          <t>https://www.transportstyrelsen.se/globalassets/global/sjofart/dokument/sjotrafik_dok/imo_colreg.2_cirkular.pdf?id=58526
https://wwwcdn.imo.org/localresources/en/KnowledgeCentre/IndexofIMOResolutions/MSCResolutions/MSC.598(111).pdf
https://www.gov.si/assets/organi-v-sestavi/URSP/Dokumenti/VTS/Koper-VTS-Users-Manual.pdf
https://www.guardiacostiera.gov.it/portale/documents/d/guest/it_trieste_manuale_utentevts</t>
        </is>
      </c>
      <c r="H80" s="70" t="inlineStr">
        <is>
          <t>Koper VTS manual section 7.1 describes both TSS and requires vessels in its area to use the lanes (S15). VTS Trieste manual: 'Nell'Area VTS di Trieste è ricompreso lo schema obbligatorio di separazione del traffico ... Golfo di Trieste' (S16). Each covers the part within its national waters.</t>
        </is>
      </c>
    </row>
    <row r="81" ht="60" customHeight="1" s="63">
      <c r="A81" s="70" t="inlineStr">
        <is>
          <t>LNK-0075</t>
        </is>
      </c>
      <c r="B81" s="70" t="inlineStr">
        <is>
          <t>TSS-0076</t>
        </is>
      </c>
      <c r="C81" s="70" t="inlineStr">
        <is>
          <t>SRS-016</t>
        </is>
      </c>
      <c r="D81" s="70" t="inlineStr">
        <is>
          <t>TSS associated with reporting scheme</t>
        </is>
      </c>
      <c r="E81" s="70" t="inlineStr">
        <is>
          <t>Stage 4 first pass: primary evidence</t>
        </is>
      </c>
      <c r="F81" s="70" t="inlineStr">
        <is>
          <t>SRC-054; SRC-058; SRC-060; SRC-061</t>
        </is>
      </c>
      <c r="G81" s="71" t="inlineStr">
        <is>
          <t>https://www.transportstyrelsen.se/globalassets/global/sjofart/dokument/sjotrafik_dok/imo_colreg.2_cirkular.pdf?id=58526
https://wwwcdn.imo.org/localresources/en/KnowledgeCentre/IndexofIMOResolutions/MSCResolutions/MSC.598(111).pdf
https://www.gov.si/assets/organi-v-sestavi/URSP/Dokumenti/VTS/Koper-VTS-Users-Manual.pdf
https://www.guardiacostiera.gov.it/portale/documents/d/guest/it_trieste_manuale_utentevts</t>
        </is>
      </c>
      <c r="H81" s="70" t="inlineStr">
        <is>
          <t>Within ADRIREP area; MRCC Koper and VTS Trieste are ADRIREP authorities (S13). Separate mandatory VTS reports to Koper VTS (entry/exit, 1 h before entry) and VTS Trieste are VTS duties, not separate schemes.</t>
        </is>
      </c>
    </row>
    <row r="82" ht="60" customHeight="1" s="63">
      <c r="A82" s="70" t="inlineStr">
        <is>
          <t>LNK-0076</t>
        </is>
      </c>
      <c r="B82" s="70" t="inlineStr">
        <is>
          <t>TSS-0077</t>
        </is>
      </c>
      <c r="C82" s="70" t="inlineStr">
        <is>
          <t>VTS-031</t>
        </is>
      </c>
      <c r="D82" s="70" t="inlineStr">
        <is>
          <t>TSS associated with service</t>
        </is>
      </c>
      <c r="E82" s="70" t="inlineStr">
        <is>
          <t>Stage 4 first pass: primary evidence</t>
        </is>
      </c>
      <c r="F82" s="70" t="inlineStr">
        <is>
          <t>SRC-054; SRC-058; SRC-061</t>
        </is>
      </c>
      <c r="G82" s="71" t="inlineStr">
        <is>
          <t>https://www.transportstyrelsen.se/globalassets/global/sjofart/dokument/sjotrafik_dok/imo_colreg.2_cirkular.pdf?id=58526
https://wwwcdn.imo.org/localresources/en/KnowledgeCentre/IndexofIMOResolutions/MSCResolutions/MSC.598(111).pdf
https://www.guardiacostiera.gov.it/portale/documents/d/guest/it_trieste_manuale_utentevts</t>
        </is>
      </c>
      <c r="H82" s="70" t="inlineStr">
        <is>
          <t>VTS Trieste area limits were set taking account of the TSS 'nella parte finale di ingresso/uscita dal porto di Monfalcone', and the manual states the Monfalcone TSS is included within the VTS area (S16).</t>
        </is>
      </c>
    </row>
    <row r="83" ht="60" customHeight="1" s="63">
      <c r="A83" s="70" t="inlineStr">
        <is>
          <t>LNK-0077</t>
        </is>
      </c>
      <c r="B83" s="70" t="inlineStr">
        <is>
          <t>TSS-0077</t>
        </is>
      </c>
      <c r="C83" s="70" t="inlineStr">
        <is>
          <t>SRS-016</t>
        </is>
      </c>
      <c r="D83" s="70" t="inlineStr">
        <is>
          <t>TSS associated with reporting scheme</t>
        </is>
      </c>
      <c r="E83" s="70" t="inlineStr">
        <is>
          <t>Stage 4 first pass: primary evidence</t>
        </is>
      </c>
      <c r="F83" s="70" t="inlineStr">
        <is>
          <t>SRC-054; SRC-058; SRC-061</t>
        </is>
      </c>
      <c r="G83" s="71" t="inlineStr">
        <is>
          <t>https://www.transportstyrelsen.se/globalassets/global/sjofart/dokument/sjotrafik_dok/imo_colreg.2_cirkular.pdf?id=58526
https://wwwcdn.imo.org/localresources/en/KnowledgeCentre/IndexofIMOResolutions/MSCResolutions/MSC.598(111).pdf
https://www.guardiacostiera.gov.it/portale/documents/d/guest/it_trieste_manuale_utentevts</t>
        </is>
      </c>
      <c r="H83" s="70" t="inlineStr">
        <is>
          <t>Within ADRIREP area; VTS Trieste is an ADRIREP authority (S13).</t>
        </is>
      </c>
    </row>
    <row r="84" ht="60" customHeight="1" s="63">
      <c r="A84" s="70" t="inlineStr">
        <is>
          <t>LNK-0078</t>
        </is>
      </c>
      <c r="B84" s="70" t="inlineStr">
        <is>
          <t>TSS-0078</t>
        </is>
      </c>
      <c r="C84" s="70" t="inlineStr">
        <is>
          <t>VTS-035</t>
        </is>
      </c>
      <c r="D84" s="70" t="inlineStr">
        <is>
          <t>TSS service research lead</t>
        </is>
      </c>
      <c r="E84" s="70" t="inlineStr">
        <is>
          <t>Lead; coverage not evidenced</t>
        </is>
      </c>
      <c r="F84" s="70" t="inlineStr">
        <is>
          <t>SRC-054; SRC-068; SRC-069</t>
        </is>
      </c>
      <c r="G84" s="71" t="inlineStr">
        <is>
          <t>https://www.transportstyrelsen.se/globalassets/global/sjofart/dokument/sjotrafik_dok/imo_colreg.2_cirkular.pdf?id=58526
https://mitos.gov.gr/index.php/%CE%94%CE%94:%CE%A3%CF%84%CE%B5%CE%BB%CE%AD%CF%87%CF%89%CF%83%CE%B7_%CF%84%CF%89%CE%BD_%CE%9A%CE%AD%CE%BD%CF%84%CF%81%CF%89%CE%BD_%CE%A0%CE%B1%CF%81%CE%B1%CE%BA%CE%BF%CE%BB%CE%BF%CF%8D%CE%B8%CE%B7%CF%83%CE%B7%CF%82_%CE%B8%CE%B1%CE%BB%CE%AC%CF%83%CF%83%CE%B9%CE%B1%CF%82_%CE%9A%CF%85%CE%BA%CE%BB%CE%BF%CF%86%CE%BF%CF%81%CE%AF%CE%B1%CF%82_(VTS)_%CF%84%CE%B7%CF%82_%CE%A7%CF%8E%CF%81%CE%B1%CF%82
https://maredu.hcg.gr/modules/document/file.php/MAK264/%CE%9D%CE%B1%CF%85%CF%84%CE%B9%CE%BA%CE%AD%CF%82%20%CE%95%CF%80%CE%B9%CE%BA%CE%BF%CE%B9%CE%BD%CF%89%CE%BD%CE%AF%CE%B5%CF%82%20-%20%CE%9D%CE%97%CE%9F/%CE%A3%CF%85%CF%83%CF%84%CE%AE%CE%BC%CE%B1%CF%84%CE%B1%20%CF%80%CE%B1%CF%81%CE%B1%CE%BA%CE%BF%CE%BB%CE%BF%CF%8D%CE%B8%CE%B7%CF%83%CE%B7%CF%82%20%CF%80%CE%BB%CE%BF%CE%AF%CF%89%CE%BD%20%CE%B1%CE%BD%CE%AC%20%CF%84%CE%B7%CE%BD%20%CF%85%CF%86%CE%AE%CE%BB%CE%B9%CE%BF%20%CE%BA%CE%B1%CE%B9%20%CE%B5%CE%BE%CE%BF%CF%80%CE%BB%CE%B9%CF%83%CE%BC%CF%8C%CF%82%20%CE%B5%CF%80%CE%AF%20%CF%84%CE%BF%CF%85%20%CF%80%CE%BB%CE%BF%CE%AF%CE%BF%CF%85.pdf</t>
        </is>
      </c>
      <c r="H84" s="70" t="inlineStr">
        <is>
          <t>Lead only (S24): VTS in Piraeus linked to national VTMIS covering the wider Piraeus sea area. No primary source on VTS area or TSS coverage (hcg.gr HTTP 403).</t>
        </is>
      </c>
    </row>
    <row r="85" ht="60" customHeight="1" s="63">
      <c r="A85" s="70" t="inlineStr">
        <is>
          <t>LNK-0079</t>
        </is>
      </c>
      <c r="B85" s="70" t="inlineStr">
        <is>
          <t>TSS-0080</t>
        </is>
      </c>
      <c r="C85" s="70" t="inlineStr">
        <is>
          <t>VTS-034</t>
        </is>
      </c>
      <c r="D85" s="70" t="inlineStr">
        <is>
          <t>TSS associated with service</t>
        </is>
      </c>
      <c r="E85" s="70" t="inlineStr">
        <is>
          <t>Stage 4 first pass: primary evidence</t>
        </is>
      </c>
      <c r="F85" s="70" t="inlineStr">
        <is>
          <t>SRC-054; SRC-066; SRC-067; SRC-059</t>
        </is>
      </c>
      <c r="G85" s="71" t="inlineStr">
        <is>
          <t>https://www.transportstyrelsen.se/globalassets/global/sjofart/dokument/sjotrafik_dok/imo_colreg.2_cirkular.pdf?id=58526
https://kiyiemniyeti.gov.tr/vessel_traffic_and_pilotage_services
https://www.resmigazete.gov.tr/eskiler/2019/08/20190815-18.pdf
https://transportstyrelsen.se/globalassets/global/sjofart/dokument/sjotrafik_dok/mandatory-and-recommended-srs.pdf</t>
        </is>
      </c>
      <c r="H85" s="70" t="inlineStr">
        <is>
          <t>Turkish Straits Maritime Traffic Regulation 2019, Art. 4-5: TSS in the Turkish Straits and their approaches (northern limit 41°20'.944 N) with TBGTH established for application and supervision of the TSS and reporting system; S21 confirms TSVTS operational since 2003 with İstanbul centre.</t>
        </is>
      </c>
    </row>
    <row r="86" ht="60" customHeight="1" s="63">
      <c r="A86" s="70" t="inlineStr">
        <is>
          <t>LNK-0080</t>
        </is>
      </c>
      <c r="B86" s="70" t="inlineStr">
        <is>
          <t>TSS-0080</t>
        </is>
      </c>
      <c r="C86" s="70" t="inlineStr">
        <is>
          <t>SRS-017</t>
        </is>
      </c>
      <c r="D86" s="70" t="inlineStr">
        <is>
          <t>TSS associated with reporting scheme</t>
        </is>
      </c>
      <c r="E86" s="70" t="inlineStr">
        <is>
          <t>Stage 4 first pass: primary evidence</t>
        </is>
      </c>
      <c r="F86" s="70" t="inlineStr">
        <is>
          <t>SRC-054; SRC-066; SRC-067; SRC-059</t>
        </is>
      </c>
      <c r="G86" s="71" t="inlineStr">
        <is>
          <t>https://www.transportstyrelsen.se/globalassets/global/sjofart/dokument/sjotrafik_dok/imo_colreg.2_cirkular.pdf?id=58526
https://kiyiemniyeti.gov.tr/vessel_traffic_and_pilotage_services
https://www.resmigazete.gov.tr/eskiler/2019/08/20190815-18.pdf
https://transportstyrelsen.se/globalassets/global/sjofart/dokument/sjotrafik_dok/mandatory-and-recommended-srs.pdf</t>
        </is>
      </c>
      <c r="H86" s="70" t="inlineStr">
        <is>
          <t>Regulation Art. 7: SP-2 2 h or 20 NM before entering the Istanbul Strait and position report 5 NM before the entrance, i.e. in the North Approach. National mandatory system, not IMO-adopted.</t>
        </is>
      </c>
    </row>
    <row r="87" ht="60" customHeight="1" s="63">
      <c r="A87" s="70" t="inlineStr">
        <is>
          <t>LNK-0081</t>
        </is>
      </c>
      <c r="B87" s="70" t="inlineStr">
        <is>
          <t>TSS-0081</t>
        </is>
      </c>
      <c r="C87" s="70" t="inlineStr">
        <is>
          <t>VTS-034</t>
        </is>
      </c>
      <c r="D87" s="70" t="inlineStr">
        <is>
          <t>TSS associated with service</t>
        </is>
      </c>
      <c r="E87" s="70" t="inlineStr">
        <is>
          <t>Stage 4 first pass: primary evidence</t>
        </is>
      </c>
      <c r="F87" s="70" t="inlineStr">
        <is>
          <t>SRC-066; SRC-070; SRC-071; SRC-072; SRC-073; SRC-054</t>
        </is>
      </c>
      <c r="G87" s="71"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H87" s="70" t="inlineStr">
        <is>
          <t>KEGM states the TSVTS serves the Istanbul Strait, Marmara Sea and Çanakkale Strait, and was extended in 2008 to cover the Marmara TSS.</t>
        </is>
      </c>
    </row>
    <row r="88" ht="60" customHeight="1" s="63">
      <c r="A88" s="70" t="inlineStr">
        <is>
          <t>LNK-0082</t>
        </is>
      </c>
      <c r="B88" s="70" t="inlineStr">
        <is>
          <t>TSS-0081</t>
        </is>
      </c>
      <c r="C88" s="70" t="inlineStr">
        <is>
          <t>SRS-017</t>
        </is>
      </c>
      <c r="D88" s="70" t="inlineStr">
        <is>
          <t>TSS associated with reporting scheme</t>
        </is>
      </c>
      <c r="E88" s="70" t="inlineStr">
        <is>
          <t>Stage 4 first pass: primary evidence</t>
        </is>
      </c>
      <c r="F88" s="70" t="inlineStr">
        <is>
          <t>SRC-066; SRC-070; SRC-071; SRC-072; SRC-073; SRC-054</t>
        </is>
      </c>
      <c r="G88" s="71"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H88" s="70" t="inlineStr">
        <is>
          <t>Implementing Directive Art. 12: ships wishing to transit the Straits must submit SP-1 via the Administration's system; non-compliance leads to administrative action and loss of transit turn. IMO A.827(19) strongly recommends TUBRAP participation.</t>
        </is>
      </c>
    </row>
    <row r="89" ht="60" customHeight="1" s="63">
      <c r="A89" s="70" t="inlineStr">
        <is>
          <t>LNK-0083</t>
        </is>
      </c>
      <c r="B89" s="70" t="inlineStr">
        <is>
          <t>TSS-0082</t>
        </is>
      </c>
      <c r="C89" s="70" t="inlineStr">
        <is>
          <t>VTS-034</t>
        </is>
      </c>
      <c r="D89" s="70" t="inlineStr">
        <is>
          <t>TSS associated with service</t>
        </is>
      </c>
      <c r="E89" s="70" t="inlineStr">
        <is>
          <t>Stage 4 first pass: primary evidence</t>
        </is>
      </c>
      <c r="F89" s="70" t="inlineStr">
        <is>
          <t>SRC-066; SRC-070; SRC-071; SRC-072; SRC-073; SRC-054</t>
        </is>
      </c>
      <c r="G89" s="71"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H89" s="70" t="inlineStr">
        <is>
          <t>KEGM (Turkish page) states TBGTH was extended in 2008 to include the Marmara Sea 'Trafik Ayırım Düzeni'; Implementing Directive Art. 18 addresses ships in the Marmara TSS under TBGTH coordination.</t>
        </is>
      </c>
    </row>
    <row r="90" ht="60" customHeight="1" s="63">
      <c r="A90" s="70" t="inlineStr">
        <is>
          <t>LNK-0084</t>
        </is>
      </c>
      <c r="B90" s="70" t="inlineStr">
        <is>
          <t>TSS-0082</t>
        </is>
      </c>
      <c r="C90" s="70" t="inlineStr">
        <is>
          <t>SRS-017</t>
        </is>
      </c>
      <c r="D90" s="70" t="inlineStr">
        <is>
          <t>TSS associated with reporting scheme</t>
        </is>
      </c>
      <c r="E90" s="70" t="inlineStr">
        <is>
          <t>Stage 4 first pass: primary evidence</t>
        </is>
      </c>
      <c r="F90" s="70" t="inlineStr">
        <is>
          <t>SRC-066; SRC-070; SRC-071; SRC-072; SRC-073; SRC-054</t>
        </is>
      </c>
      <c r="G90" s="71"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H90" s="70" t="inlineStr">
        <is>
          <t>Implementing Directive Art. 12: ships wishing to transit the Straits must submit SP-1 via the Administration's system; non-compliance leads to administrative action and loss of transit turn. IMO A.827(19) strongly recommends TUBRAP participation. Marmara-specific MARRAP and 6 h pre-departure SP-1 for Marmara ports appear only in the unofficial translation.</t>
        </is>
      </c>
    </row>
    <row r="91" ht="60" customHeight="1" s="63">
      <c r="A91" s="70" t="inlineStr">
        <is>
          <t>LNK-0085</t>
        </is>
      </c>
      <c r="B91" s="70" t="inlineStr">
        <is>
          <t>TSS-0083</t>
        </is>
      </c>
      <c r="C91" s="70" t="inlineStr">
        <is>
          <t>VTS-034</t>
        </is>
      </c>
      <c r="D91" s="70" t="inlineStr">
        <is>
          <t>TSS associated with service</t>
        </is>
      </c>
      <c r="E91" s="70" t="inlineStr">
        <is>
          <t>Stage 4 first pass: primary evidence</t>
        </is>
      </c>
      <c r="F91" s="70" t="inlineStr">
        <is>
          <t>SRC-066; SRC-071; SRC-072; SRC-073; SRC-054</t>
        </is>
      </c>
      <c r="G91" s="71" t="inlineStr">
        <is>
          <t>https://kiyiemniyeti.gov.tr/vessel_traffic_and_pilotage_services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H91" s="70" t="inlineStr">
        <is>
          <t>KEGM states the TSVTS serves the Istanbul Strait, Marmara Sea and Çanakkale Strait, and was extended in 2008 to cover the Marmara TSS. Akbaş (Çanakkale) VTS centre.</t>
        </is>
      </c>
    </row>
    <row r="92" ht="60" customHeight="1" s="63">
      <c r="A92" s="70" t="inlineStr">
        <is>
          <t>LNK-0086</t>
        </is>
      </c>
      <c r="B92" s="70" t="inlineStr">
        <is>
          <t>TSS-0083</t>
        </is>
      </c>
      <c r="C92" s="70" t="inlineStr">
        <is>
          <t>SRS-017</t>
        </is>
      </c>
      <c r="D92" s="70" t="inlineStr">
        <is>
          <t>TSS associated with reporting scheme</t>
        </is>
      </c>
      <c r="E92" s="70" t="inlineStr">
        <is>
          <t>Stage 4 first pass: primary evidence</t>
        </is>
      </c>
      <c r="F92" s="70" t="inlineStr">
        <is>
          <t>SRC-066; SRC-071; SRC-072; SRC-073; SRC-054</t>
        </is>
      </c>
      <c r="G92" s="71" t="inlineStr">
        <is>
          <t>https://kiyiemniyeti.gov.tr/vessel_traffic_and_pilotage_services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H92" s="70" t="inlineStr">
        <is>
          <t>Implementing Directive Art. 12: ships wishing to transit the Straits must submit SP-1 via the Administration's system; non-compliance leads to administrative action and loss of transit turn. IMO A.827(19) strongly recommends TUBRAP participation.</t>
        </is>
      </c>
    </row>
    <row r="93" ht="60" customHeight="1" s="63">
      <c r="A93" s="70" t="inlineStr">
        <is>
          <t>LNK-0087</t>
        </is>
      </c>
      <c r="B93" s="70" t="inlineStr">
        <is>
          <t>TSS-0084</t>
        </is>
      </c>
      <c r="C93" s="70" t="inlineStr">
        <is>
          <t>VTS-034</t>
        </is>
      </c>
      <c r="D93" s="70" t="inlineStr">
        <is>
          <t>TSS service research lead</t>
        </is>
      </c>
      <c r="E93" s="70" t="inlineStr">
        <is>
          <t>Lead; coverage not evidenced</t>
        </is>
      </c>
      <c r="F93" s="70" t="inlineStr">
        <is>
          <t>SRC-066; SRC-071; SRC-073; SRC-054</t>
        </is>
      </c>
      <c r="G93" s="71" t="inlineStr">
        <is>
          <t>https://kiyiemniyeti.gov.tr/vessel_traffic_and_pilotage_services
https://denizcilik.uab.gov.tr/uploads/pages/yonerge-talimat/tbdtduy.pdf
https://media.ellinikahoaxes.gr/uploads/2021/03/TURK-BOGAZLARI-DENIZ-TRAFIK-DUZENI-YONETMELIGI-INGILIZCE-2019.pdf
https://www.transportstyrelsen.se/globalassets/global/sjofart/dokument/sjotrafik_dok/imo_colreg.2_cirkular.pdf?id=58526</t>
        </is>
      </c>
      <c r="H93" s="70" t="inlineStr">
        <is>
          <t>TSVTS confirmed for the Çanakkale Strait, but no primary source retrieved defines the VTS area as extending over the south-west approach. Unofficial translation places the regulation's southern boundary at about 39°44'N, beyond the approach scheme (lead only).</t>
        </is>
      </c>
    </row>
    <row r="94" ht="60" customHeight="1" s="63">
      <c r="A94" s="70" t="inlineStr">
        <is>
          <t>LNK-0088</t>
        </is>
      </c>
      <c r="B94" s="70" t="inlineStr">
        <is>
          <t>TSS-0084</t>
        </is>
      </c>
      <c r="C94" s="70" t="inlineStr">
        <is>
          <t>SRS-017</t>
        </is>
      </c>
      <c r="D94" s="70" t="inlineStr">
        <is>
          <t>TSS reporting research lead</t>
        </is>
      </c>
      <c r="E94" s="70" t="inlineStr">
        <is>
          <t>Lead; coverage not evidenced</t>
        </is>
      </c>
      <c r="F94" s="70" t="inlineStr">
        <is>
          <t>SRC-066; SRC-071; SRC-073; SRC-054</t>
        </is>
      </c>
      <c r="G94" s="71" t="inlineStr">
        <is>
          <t>https://kiyiemniyeti.gov.tr/vessel_traffic_and_pilotage_services
https://denizcilik.uab.gov.tr/uploads/pages/yonerge-talimat/tbdtduy.pdf
https://media.ellinikahoaxes.gr/uploads/2021/03/TURK-BOGAZLARI-DENIZ-TRAFIK-DUZENI-YONETMELIGI-INGILIZCE-2019.pdf
https://www.transportstyrelsen.se/globalassets/global/sjofart/dokument/sjotrafik_dok/imo_colreg.2_cirkular.pdf?id=58526</t>
        </is>
      </c>
      <c r="H94" s="70" t="inlineStr">
        <is>
          <t>TUBRAP applies to ships transiting the Straits (primary). That SP-2 is given 20 NM before the entrance, i.e. in the approach, comes only from the unofficial translation.</t>
        </is>
      </c>
    </row>
    <row r="95" ht="60" customHeight="1" s="63">
      <c r="A95" s="70" t="inlineStr">
        <is>
          <t>LNK-0089</t>
        </is>
      </c>
      <c r="B95" s="70" t="inlineStr">
        <is>
          <t>TSS-0085</t>
        </is>
      </c>
      <c r="C95" s="70" t="inlineStr">
        <is>
          <t>VTS-036</t>
        </is>
      </c>
      <c r="D95" s="70" t="inlineStr">
        <is>
          <t>TSS service research lead</t>
        </is>
      </c>
      <c r="E95" s="70" t="inlineStr">
        <is>
          <t>Lead; coverage not evidenced</t>
        </is>
      </c>
      <c r="F95" s="70" t="inlineStr">
        <is>
          <t>SRC-075; SRC-076; SRC-077; SRC-054</t>
        </is>
      </c>
      <c r="G95" s="71" t="inlineStr">
        <is>
          <t>https://marad.gov.ua/storage/app/sites/1/international-activities/Propozicii_sistemi_rozpodilu_ryhu_en.pdf
https://hksoa.org/member_circulars/colreg-2-circ-78-new-separation-schemes-and-associated-measures/
https://www.uspa.gov.ua/en/announcements-en/information-for-shipowners-agents-port-operators
https://www.transportstyrelsen.se/globalassets/global/sjofart/dokument/sjotrafik_dok/imo_colreg.2_cirkular.pdf?id=58526</t>
        </is>
      </c>
      <c r="H95" s="70" t="inlineStr">
        <is>
          <t>USPA confirms a 'VTCP Odesa' operated by Delta-Lotsman; Marad refers to 'The VTS of ... Delta Pilot' in proposing TSS changes, but no source defines the VTS area as covering the scheme. Wartime corridor arrangements apply (2022 notice).</t>
        </is>
      </c>
    </row>
    <row r="96" ht="60" customHeight="1" s="63">
      <c r="A96" s="70" t="inlineStr">
        <is>
          <t>LNK-0090</t>
        </is>
      </c>
      <c r="B96" s="70" t="inlineStr">
        <is>
          <t>TSS-0086</t>
        </is>
      </c>
      <c r="C96" s="70" t="inlineStr">
        <is>
          <t>VTS-036</t>
        </is>
      </c>
      <c r="D96" s="70" t="inlineStr">
        <is>
          <t>TSS service research lead</t>
        </is>
      </c>
      <c r="E96" s="70" t="inlineStr">
        <is>
          <t>Lead; coverage not evidenced</t>
        </is>
      </c>
      <c r="F96" s="70" t="inlineStr">
        <is>
          <t>SRC-075; SRC-076; SRC-077; SRC-054</t>
        </is>
      </c>
      <c r="G96" s="71" t="inlineStr">
        <is>
          <t>https://marad.gov.ua/storage/app/sites/1/international-activities/Propozicii_sistemi_rozpodilu_ryhu_en.pdf
https://hksoa.org/member_circulars/colreg-2-circ-78-new-separation-schemes-and-associated-measures/
https://www.uspa.gov.ua/en/announcements-en/information-for-shipowners-agents-port-operators
https://www.transportstyrelsen.se/globalassets/global/sjofart/dokument/sjotrafik_dok/imo_colreg.2_cirkular.pdf?id=58526</t>
        </is>
      </c>
      <c r="H96" s="70" t="inlineStr">
        <is>
          <t>As TSS-0085: VTCP Odesa exists, coverage of this scheme not evidenced.</t>
        </is>
      </c>
    </row>
    <row r="97" ht="60" customHeight="1" s="63">
      <c r="A97" s="70" t="inlineStr">
        <is>
          <t>LNK-0091</t>
        </is>
      </c>
      <c r="B97" s="70" t="inlineStr">
        <is>
          <t>TSS-0092</t>
        </is>
      </c>
      <c r="C97" s="70" t="inlineStr">
        <is>
          <t>VTS-037</t>
        </is>
      </c>
      <c r="D97" s="70" t="inlineStr">
        <is>
          <t>TSS service research lead</t>
        </is>
      </c>
      <c r="E97" s="70" t="inlineStr">
        <is>
          <t>Lead; coverage not evidenced</t>
        </is>
      </c>
      <c r="F97" s="70" t="inlineStr">
        <is>
          <t>SRC-054; SRC-074; SRC-080</t>
        </is>
      </c>
      <c r="G97" s="71" t="inlineStr">
        <is>
          <t>https://www.transportstyrelsen.se/globalassets/global/sjofart/dokument/sjotrafik_dok/imo_colreg.2_cirkular.pdf?id=58526
https://wwwcdn.imo.org/localresources/en/KnowledgeCentre/IndexofIMOResolutions/AssemblyDocuments/A.374(10).pdf
https://www.marinelink.com/news/307563</t>
        </is>
      </c>
      <c r="H97" s="70" t="inlineStr">
        <is>
          <t>Only trade press (2002) describes a Gulf of Suez VTIMS with two centres on the Gulf; no current Egyptian primary source retrieved.</t>
        </is>
      </c>
    </row>
    <row r="98" ht="60" customHeight="1" s="63">
      <c r="A98" s="70" t="inlineStr">
        <is>
          <t>LNK-0092</t>
        </is>
      </c>
      <c r="B98" s="70" t="inlineStr">
        <is>
          <t>TSS-0099</t>
        </is>
      </c>
      <c r="C98" s="70" t="inlineStr">
        <is>
          <t>VTS-039</t>
        </is>
      </c>
      <c r="D98" s="70" t="inlineStr">
        <is>
          <t>TSS service research lead</t>
        </is>
      </c>
      <c r="E98" s="70" t="inlineStr">
        <is>
          <t>Lead; coverage not evidenced</t>
        </is>
      </c>
      <c r="F98" s="70" t="inlineStr">
        <is>
          <t>SRC-088; SRC-086; SRC-054; SRC-091</t>
        </is>
      </c>
      <c r="G98" s="71" t="inlineStr">
        <is>
          <t>https://www.imo.org/en/mediacentre/hottopics/pages/middle-east-strait-of-hormuz.aspx
https://wwwcdn.imo.org/localresources/en/KnowledgeCentre/IndexofIMOResolutions/AssemblyDocuments/A.284(8).pdf
https://www.transportstyrelsen.se/globalassets/global/sjofart/dokument/sjotrafik_dok/imo_colreg.2_cirkular.pdf?id=58526
https://www.liscr.com/marketing/liscr/media/liscr/online%20library/maritime/msb-14_2026.pdf</t>
        </is>
      </c>
      <c r="H98" s="70" t="inlineStr">
        <is>
          <t>No primary source establishing a VTS covering the IMO Hormuz TSS. Lead: search snippet (puertos.es document, HTTP 403) says Bandar Abbas VTC requires contact on VHF 13 before entering local 'TSS (area A/B)' between Larak, Hormuz and Qeshm, which appear to be port-approach lanes rather than the IMO scheme. Omani radar monitoring from Musandam is a press lead only.</t>
        </is>
      </c>
    </row>
    <row r="99" ht="60" customHeight="1" s="63">
      <c r="A99" s="70" t="inlineStr">
        <is>
          <t>LNK-0093</t>
        </is>
      </c>
      <c r="B99" s="70" t="inlineStr">
        <is>
          <t>TSS-0101</t>
        </is>
      </c>
      <c r="C99" s="70" t="inlineStr">
        <is>
          <t>VTS-038</t>
        </is>
      </c>
      <c r="D99" s="70" t="inlineStr">
        <is>
          <t>TSS service research lead</t>
        </is>
      </c>
      <c r="E99" s="70" t="inlineStr">
        <is>
          <t>Lead; coverage not evidenced</t>
        </is>
      </c>
      <c r="F99" s="70" t="inlineStr">
        <is>
          <t>SRC-054; SRC-089; SRC-091</t>
        </is>
      </c>
      <c r="G99" s="71" t="inlineStr">
        <is>
          <t>https://www.transportstyrelsen.se/globalassets/global/sjofart/dokument/sjotrafik_dok/imo_colreg.2_cirkular.pdf?id=58526
https://ppa.adnoc.ae/-/media/ppa/files/marine-notices/local-marine-notices/das/2023/marine-notice-019-2023---pipe-laying-operation---traffic-arrangement-in-zaqqum-tss.ashx
https://www.liscr.com/marketing/liscr/media/liscr/online%20library/maritime/msb-14_2026.pdf</t>
        </is>
      </c>
      <c r="H99" s="70" t="inlineStr">
        <is>
          <t>ADNOC Harbour Master (Port of Das, Zirku &amp; Mubarraz) notice on traffic within the Zaqqum TSS instructs vessels to maintain a listening watch on VHF 23 (Das VTIS) and to inform Das VTIS. Notice is temporary (2023 pipe-laying) so full VTS area limits are not stated.</t>
        </is>
      </c>
    </row>
    <row r="100" ht="60" customHeight="1" s="63">
      <c r="A100" s="70" t="inlineStr">
        <is>
          <t>LNK-0094</t>
        </is>
      </c>
      <c r="B100" s="70" t="inlineStr">
        <is>
          <t>TSS-0102</t>
        </is>
      </c>
      <c r="C100" s="70" t="inlineStr">
        <is>
          <t>VTS-040</t>
        </is>
      </c>
      <c r="D100" s="70" t="inlineStr">
        <is>
          <t>TSS service research lead</t>
        </is>
      </c>
      <c r="E100" s="70" t="inlineStr">
        <is>
          <t>Lead; coverage not evidenced</t>
        </is>
      </c>
      <c r="F100" s="70" t="inlineStr">
        <is>
          <t>SRC-086; SRC-087; SRC-091</t>
        </is>
      </c>
      <c r="G100" s="71" t="inlineStr">
        <is>
          <t>https://wwwcdn.imo.org/localresources/en/KnowledgeCentre/IndexofIMOResolutions/AssemblyDocuments/A.284(8).pdf
https://wwwcdn.imo.org/localresources/en/KnowledgeCentre/IndexofIMOResolutions/AssemblyDocuments/A.338%289%29.pdf
https://www.liscr.com/marketing/liscr/media/liscr/online%20library/maritime/msb-14_2026.pdf</t>
        </is>
      </c>
      <c r="H100" s="70" t="inlineStr">
        <is>
          <t>Lead only: Saudi Aramco Ports and Terminals documents (search snippets) mention Ras Tanura Port Control on VHF 10/16 and a Vessel Traffic Management System at Ju'aymah, but every Aramco PDF returned 404/403 so coverage of the TSS could not be verified.</t>
        </is>
      </c>
    </row>
    <row r="101" ht="60" customHeight="1" s="63">
      <c r="A101" s="70" t="inlineStr">
        <is>
          <t>LNK-0095</t>
        </is>
      </c>
      <c r="B101" s="70" t="inlineStr">
        <is>
          <t>TSS-0107</t>
        </is>
      </c>
      <c r="C101" s="70" t="inlineStr">
        <is>
          <t>VTS-004</t>
        </is>
      </c>
      <c r="D101" s="70" t="inlineStr">
        <is>
          <t>TSS associated with service</t>
        </is>
      </c>
      <c r="E101" s="70" t="inlineStr">
        <is>
          <t>Stage 4 first pass: primary evidence</t>
        </is>
      </c>
      <c r="F101" s="70" t="inlineStr">
        <is>
          <t>SRC-054; SRC-083; SRC-007; SRC-084</t>
        </is>
      </c>
      <c r="G101" s="71"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H101" s="70" t="inlineStr">
        <is>
          <t>Scheme spans c. 03°02'.7N to 02°41'N (Circ.44). On the STRAITREP chartlet the Sector 1 (Angsa)/Sector 2 (Jugra) boundary runs at about 02°52'N towards Port Klang, so the scheme lies in Sectors 1 and 2, both 'Klang VTS' (MSC.73(69) para 3.4); VHF 66 (Sector 1) and 88 (Sector 2).</t>
        </is>
      </c>
    </row>
    <row r="102" ht="60" customHeight="1" s="63">
      <c r="A102" s="70" t="inlineStr">
        <is>
          <t>LNK-0096</t>
        </is>
      </c>
      <c r="B102" s="70" t="inlineStr">
        <is>
          <t>TSS-0108</t>
        </is>
      </c>
      <c r="C102" s="70" t="inlineStr">
        <is>
          <t>VTS-004</t>
        </is>
      </c>
      <c r="D102" s="70" t="inlineStr">
        <is>
          <t>TSS associated with service</t>
        </is>
      </c>
      <c r="E102" s="70" t="inlineStr">
        <is>
          <t>Stage 4 first pass: primary evidence</t>
        </is>
      </c>
      <c r="F102" s="70" t="inlineStr">
        <is>
          <t>SRC-054; SRC-083; SRC-007; SRC-084</t>
        </is>
      </c>
      <c r="G102" s="71"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H102" s="70" t="inlineStr">
        <is>
          <t>Scheme runs c. 02°44'N 101°15'E to 02°24'-02°29'N 101°35'-101°39'E. On the chartlet it lies in Sector 2 (Jugra), with its south-eastern end and the Off Port Dickson precautionary area at or just across the Sector 2/3 boundary off Port Dickson; both sectors are Klang VTS (VHF 88 Sector 2, 84 Sector 3).</t>
        </is>
      </c>
    </row>
    <row r="103" ht="60" customHeight="1" s="63">
      <c r="A103" s="70" t="inlineStr">
        <is>
          <t>LNK-0097</t>
        </is>
      </c>
      <c r="B103" s="70" t="inlineStr">
        <is>
          <t>TSS-0109</t>
        </is>
      </c>
      <c r="C103" s="70" t="inlineStr">
        <is>
          <t>VTS-004</t>
        </is>
      </c>
      <c r="D103" s="70" t="inlineStr">
        <is>
          <t>TSS associated with service</t>
        </is>
      </c>
      <c r="E103" s="70" t="inlineStr">
        <is>
          <t>Stage 4 first pass: primary evidence</t>
        </is>
      </c>
      <c r="F103" s="70" t="inlineStr">
        <is>
          <t>SRC-054; SRC-083; SRC-007; SRC-084</t>
        </is>
      </c>
      <c r="G103" s="71"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H103" s="70" t="inlineStr">
        <is>
          <t>Scheme runs c. 02°24'N 101°41'E to 02°03'-02°12'N 101°54'-102°01'E. On the chartlet it lies in Sector 3 (Cape Rachado), Klang VTS, VHF 84; the Off Malacca/Dumai precautionary area at its south-eastern end sits near the Sector 3/4 boundary (Sector 4 also Klang VTS, VHF 61).</t>
        </is>
      </c>
    </row>
    <row r="104" ht="60" customHeight="1" s="63">
      <c r="A104" s="70" t="inlineStr">
        <is>
          <t>LNK-0098</t>
        </is>
      </c>
      <c r="B104" s="70" t="inlineStr">
        <is>
          <t>TSS-0110</t>
        </is>
      </c>
      <c r="C104" s="70" t="inlineStr">
        <is>
          <t>VTS-004</t>
        </is>
      </c>
      <c r="D104" s="70" t="inlineStr">
        <is>
          <t>TSS associated with service</t>
        </is>
      </c>
      <c r="E104" s="70" t="inlineStr">
        <is>
          <t>Stage 4 first pass: primary evidence</t>
        </is>
      </c>
      <c r="F104" s="70" t="inlineStr">
        <is>
          <t>SRC-054; SRC-083; SRC-007; SRC-084</t>
        </is>
      </c>
      <c r="G104" s="71"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H104" s="70" t="inlineStr">
        <is>
          <t>Scheme runs c. 02°05'N 102°04'E to 01°09'-01°14'N 103°27'-103°30'E. On the chartlets it crosses Sectors 4 (Undan) and 5 (Segenting) of Klang VTS (VHF 61, 88) and Sector 6 (Piai) of Johor VTS (VHF 88). Its eastern end meets the Tg Piai - Pulau Karimun Kecil line (reporting line, and Sector 6/7 boundary on Appendix 2); by the Circ.44 coordinates the easternmost lane ends lie marginally east of that line, in Sector 7 (Singapore VTS, VHF 73), where the associated Off Sultan Shoal precautionary area also lies. North-western end adjoins the Sector 3/4 boundary.</t>
        </is>
      </c>
    </row>
    <row r="105" ht="60" customHeight="1" s="63">
      <c r="A105" s="70" t="inlineStr">
        <is>
          <t>LNK-0099</t>
        </is>
      </c>
      <c r="B105" s="70" t="inlineStr">
        <is>
          <t>TSS-0110</t>
        </is>
      </c>
      <c r="C105" s="70" t="inlineStr">
        <is>
          <t>VTS-005</t>
        </is>
      </c>
      <c r="D105" s="70" t="inlineStr">
        <is>
          <t>TSS associated with service</t>
        </is>
      </c>
      <c r="E105" s="70" t="inlineStr">
        <is>
          <t>Stage 4 first pass: primary evidence</t>
        </is>
      </c>
      <c r="F105" s="70" t="inlineStr">
        <is>
          <t>SRC-054; SRC-083; SRC-007; SRC-084</t>
        </is>
      </c>
      <c r="G105" s="71"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H105" s="70" t="inlineStr">
        <is>
          <t>Scheme runs c. 02°05'N 102°04'E to 01°09'-01°14'N 103°27'-103°30'E. On the chartlets it crosses Sectors 4 (Undan) and 5 (Segenting) of Klang VTS (VHF 61, 88) and Sector 6 (Piai) of Johor VTS (VHF 88). Its eastern end meets the Tg Piai - Pulau Karimun Kecil line (reporting line, and Sector 6/7 boundary on Appendix 2); by the Circ.44 coordinates the easternmost lane ends lie marginally east of that line, in Sector 7 (Singapore VTS, VHF 73), where the associated Off Sultan Shoal precautionary area also lies. North-western end adjoins the Sector 3/4 boundary.</t>
        </is>
      </c>
    </row>
    <row r="106" ht="60" customHeight="1" s="63">
      <c r="A106" s="70" t="inlineStr">
        <is>
          <t>LNK-0100</t>
        </is>
      </c>
      <c r="B106" s="70" t="inlineStr">
        <is>
          <t>TSS-0110</t>
        </is>
      </c>
      <c r="C106" s="70" t="inlineStr">
        <is>
          <t>VTS-006</t>
        </is>
      </c>
      <c r="D106" s="70" t="inlineStr">
        <is>
          <t>TSS associated with service</t>
        </is>
      </c>
      <c r="E106" s="70" t="inlineStr">
        <is>
          <t>Stage 4 first pass: primary evidence</t>
        </is>
      </c>
      <c r="F106" s="70" t="inlineStr">
        <is>
          <t>SRC-054; SRC-083; SRC-007; SRC-084</t>
        </is>
      </c>
      <c r="G106" s="71" t="inlineStr">
        <is>
          <t>https://www.transportstyrelsen.se/globalassets/global/sjofart/dokument/sjotrafik_dok/imo_colreg.2_cirkular.pdf?id=58526
https://www.mpa.gov.sg/api/media/78c165e3-67e4-4da3-9496-c196739374d2/-pc98-65.pdf
https://www.mpa.gov.sg/port-marine-ops/operations/vessel-traffic-information-system/operational-areas
https://file.go.gov.sg/spi2026apr17.pdf</t>
        </is>
      </c>
      <c r="H106" s="70" t="inlineStr">
        <is>
          <t>Scheme runs c. 02°05'N 102°04'E to 01°09'-01°14'N 103°27'-103°30'E. On the chartlets it crosses Sectors 4 (Undan) and 5 (Segenting) of Klang VTS (VHF 61, 88) and Sector 6 (Piai) of Johor VTS (VHF 88). Its eastern end meets the Tg Piai - Pulau Karimun Kecil line (reporting line, and Sector 6/7 boundary on Appendix 2); by the Circ.44 coordinates the easternmost lane ends lie marginally east of that line, in Sector 7 (Singapore VTS, VHF 73), where the associated Off Sultan Shoal precautionary area also lies. North-western end adjoins the Sector 3/4 boundary.</t>
        </is>
      </c>
    </row>
    <row r="107" ht="60" customHeight="1" s="63">
      <c r="A107" s="70" t="inlineStr">
        <is>
          <t>LNK-0101</t>
        </is>
      </c>
      <c r="B107" s="70" t="inlineStr">
        <is>
          <t>TSS-0111</t>
        </is>
      </c>
      <c r="C107" s="70" t="inlineStr">
        <is>
          <t>VTS-006</t>
        </is>
      </c>
      <c r="D107" s="70" t="inlineStr">
        <is>
          <t>TSS associated with service</t>
        </is>
      </c>
      <c r="E107" s="70" t="inlineStr">
        <is>
          <t>Stage 4 first pass: primary evidence</t>
        </is>
      </c>
      <c r="F107" s="70" t="inlineStr">
        <is>
          <t>SRC-007; SRC-006; SRC-092; SRC-093; SRC-094</t>
        </is>
      </c>
      <c r="G107" s="71"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H107" s="70" t="inlineStr">
        <is>
          <t>Scheme spans roughly 103°33'E to 103°50'E. MPA defines Sector 7 as between the Tg Piai to Pulau Karimun Kecil line and 103°44.5'E, and Sector 8 as 103°44.5'E to 104°02.1'E (S3); both are Singapore VTS sectors (S1). West part in Sector 7 (VTIS West, Ch 73), east part in Sector 8 (VTIS Central, Ch 14). Not in Johor VTS Sector 6 or Klang VTS sectors.</t>
        </is>
      </c>
    </row>
    <row r="108" ht="60" customHeight="1" s="63">
      <c r="A108" s="70" t="inlineStr">
        <is>
          <t>LNK-0102</t>
        </is>
      </c>
      <c r="B108" s="70" t="inlineStr">
        <is>
          <t>TSS-0112</t>
        </is>
      </c>
      <c r="C108" s="70" t="inlineStr">
        <is>
          <t>VTS-006</t>
        </is>
      </c>
      <c r="D108" s="70" t="inlineStr">
        <is>
          <t>TSS associated with service</t>
        </is>
      </c>
      <c r="E108" s="70" t="inlineStr">
        <is>
          <t>Stage 4 first pass: primary evidence</t>
        </is>
      </c>
      <c r="F108" s="70" t="inlineStr">
        <is>
          <t>SRC-007; SRC-006; SRC-092; SRC-093; SRC-094</t>
        </is>
      </c>
      <c r="G108" s="71"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H108" s="70" t="inlineStr">
        <is>
          <t>Whole scheme lies between 103°44.5'E and 104°02.1'E, i.e. STRAITREP Sector 8 (VTIS Central, Ch 14), a Singapore VTS sector (S3, S1).</t>
        </is>
      </c>
    </row>
    <row r="109" ht="60" customHeight="1" s="63">
      <c r="A109" s="70" t="inlineStr">
        <is>
          <t>LNK-0103</t>
        </is>
      </c>
      <c r="B109" s="70" t="inlineStr">
        <is>
          <t>TSS-0113</t>
        </is>
      </c>
      <c r="C109" s="70" t="inlineStr">
        <is>
          <t>VTS-006</t>
        </is>
      </c>
      <c r="D109" s="70" t="inlineStr">
        <is>
          <t>TSS associated with service</t>
        </is>
      </c>
      <c r="E109" s="70" t="inlineStr">
        <is>
          <t>Stage 4 first pass: primary evidence</t>
        </is>
      </c>
      <c r="F109" s="70" t="inlineStr">
        <is>
          <t>SRC-007; SRC-006; SRC-092; SRC-093; SRC-094</t>
        </is>
      </c>
      <c r="G109" s="71"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H109" s="70" t="inlineStr">
        <is>
          <t>Scheme runs from about 103°53.75'E to 104°03.35'E, crossing the Sector 8/9 boundary at 104°02.1'E (S3): mostly Sector 8 (VTIS Central, Ch 14), eastern tip in Sector 9 (VTIS East, Ch 10). Both Singapore VTS (S1).</t>
        </is>
      </c>
    </row>
    <row r="110" ht="60" customHeight="1" s="63">
      <c r="A110" s="70" t="inlineStr">
        <is>
          <t>LNK-0104</t>
        </is>
      </c>
      <c r="B110" s="70" t="inlineStr">
        <is>
          <t>TSS-0114</t>
        </is>
      </c>
      <c r="C110" s="70" t="inlineStr">
        <is>
          <t>VTS-006</t>
        </is>
      </c>
      <c r="D110" s="70" t="inlineStr">
        <is>
          <t>TSS associated with service</t>
        </is>
      </c>
      <c r="E110" s="70" t="inlineStr">
        <is>
          <t>Stage 4 first pass: primary evidence</t>
        </is>
      </c>
      <c r="F110" s="70" t="inlineStr">
        <is>
          <t>SRC-007; SRC-006; SRC-092; SRC-093; SRC-094</t>
        </is>
      </c>
      <c r="G110" s="71" t="inlineStr">
        <is>
          <t>https://www.mpa.gov.sg/port-marine-ops/operations/vessel-traffic-information-system/operational-areas
https://www.mpa.gov.sg/port-marine-ops/operations/vessel-traffic-information-system
https://www.mpa.gov.sg/port-marine-ops/arrivals-and-departures/vessels-arriving-in-singapore
https://file.go.gov.sg/spi2025feb01.pdf
https://wwwcdn.imo.org/localresources/en/KnowledgeCentre/IndexofIMOResolutions/MSCResolutions/MSC.73(69).pdf</t>
        </is>
      </c>
      <c r="H110" s="70" t="inlineStr">
        <is>
          <t>Part coverage only. Western part (104°14.89'E to 104°23.0'E) is in Sector 9 (VTIS East, Ch 10), Singapore VTS (S3, S1). The north-eastern end of the scheme (to about 104°27.8'E) lies east of the 104°23'E STRAITREP limit, where no sector is defined (S2, S3).</t>
        </is>
      </c>
    </row>
    <row r="111" ht="60" customHeight="1" s="63">
      <c r="A111" s="70" t="inlineStr">
        <is>
          <t>LNK-0105</t>
        </is>
      </c>
      <c r="B111" s="70" t="inlineStr">
        <is>
          <t>TSS-0115</t>
        </is>
      </c>
      <c r="C111" s="70" t="inlineStr">
        <is>
          <t>VTS-041</t>
        </is>
      </c>
      <c r="D111" s="70" t="inlineStr">
        <is>
          <t>TSS associated with service</t>
        </is>
      </c>
      <c r="E111" s="70" t="inlineStr">
        <is>
          <t>Stage 4 first pass: primary evidence</t>
        </is>
      </c>
      <c r="F111" s="70" t="inlineStr">
        <is>
          <t>SRC-095; SRC-096; SRC-097</t>
        </is>
      </c>
      <c r="G111" s="71" t="inlineStr">
        <is>
          <t>https://bimco.org/media/gusfhkrc/colreg2circ74-new-traffic-separation-schemes-secretariat.pdf
https://hubla.dephub.go.id/home/post/read/7657/berlaku-1-juli-2020-kemenhub-jelaskan-sistem-pelaporan-kapal-di-tss-selat-sunda-dan-selat-lombok
https://hubla.dephub.go.id/home/post/read/5132/pentingnya-bagan-pemisahan-alur-laut-di-selat-sunda-dan-selat-lombok-bagi-indonesia</t>
        </is>
      </c>
      <c r="H111" s="70" t="inlineStr">
        <is>
          <t>DGST states ships in the Sunda Strait TSS communicate via VHF Ch 22 or 68 with call sign 'Merak VTS' (S7).</t>
        </is>
      </c>
    </row>
    <row r="112" ht="60" customHeight="1" s="63">
      <c r="A112" s="70" t="inlineStr">
        <is>
          <t>LNK-0106</t>
        </is>
      </c>
      <c r="B112" s="70" t="inlineStr">
        <is>
          <t>TSS-0115</t>
        </is>
      </c>
      <c r="C112" s="70" t="inlineStr">
        <is>
          <t>SRS-020</t>
        </is>
      </c>
      <c r="D112" s="70" t="inlineStr">
        <is>
          <t>TSS associated with reporting scheme</t>
        </is>
      </c>
      <c r="E112" s="70" t="inlineStr">
        <is>
          <t>Stage 4 first pass: primary evidence</t>
        </is>
      </c>
      <c r="F112" s="70" t="inlineStr">
        <is>
          <t>SRC-095; SRC-096; SRC-097</t>
        </is>
      </c>
      <c r="G112" s="71" t="inlineStr">
        <is>
          <t>https://bimco.org/media/gusfhkrc/colreg2circ74-new-traffic-separation-schemes-secretariat.pdf
https://hubla.dephub.go.id/home/post/read/7657/berlaku-1-juli-2020-kemenhub-jelaskan-sistem-pelaporan-kapal-di-tss-selat-sunda-dan-selat-lombok
https://hubla.dephub.go.id/home/post/read/5132/pentingnya-bagan-pemisahan-alur-laut-di-selat-sunda-dan-selat-lombok-bagi-indonesia</t>
        </is>
      </c>
      <c r="H112" s="70" t="inlineStr">
        <is>
          <t>SUNDAREP (Sistem Pelaporan dan Informasi Navigasi) is mandatory for all Indonesian-flagged ships transiting or crossing the TSS (S7). National scheme, not IMO-adopted SRS on evidence found.</t>
        </is>
      </c>
    </row>
    <row r="113" ht="60" customHeight="1" s="63">
      <c r="A113" s="70" t="inlineStr">
        <is>
          <t>LNK-0107</t>
        </is>
      </c>
      <c r="B113" s="70" t="inlineStr">
        <is>
          <t>TSS-0116</t>
        </is>
      </c>
      <c r="C113" s="70" t="inlineStr">
        <is>
          <t>VTS-042</t>
        </is>
      </c>
      <c r="D113" s="70" t="inlineStr">
        <is>
          <t>TSS associated with service</t>
        </is>
      </c>
      <c r="E113" s="70" t="inlineStr">
        <is>
          <t>Stage 4 first pass: primary evidence</t>
        </is>
      </c>
      <c r="F113" s="70" t="inlineStr">
        <is>
          <t>SRC-095; SRC-096; SRC-097</t>
        </is>
      </c>
      <c r="G113" s="71" t="inlineStr">
        <is>
          <t>https://bimco.org/media/gusfhkrc/colreg2circ74-new-traffic-separation-schemes-secretariat.pdf
https://hubla.dephub.go.id/home/post/read/7657/berlaku-1-juli-2020-kemenhub-jelaskan-sistem-pelaporan-kapal-di-tss-selat-sunda-dan-selat-lombok
https://hubla.dephub.go.id/home/post/read/5132/pentingnya-bagan-pemisahan-alur-laut-di-selat-sunda-dan-selat-lombok-bagi-indonesia</t>
        </is>
      </c>
      <c r="H113" s="70" t="inlineStr">
        <is>
          <t>DGST states ships in the Lombok Strait TSS communicate via VHF Ch 16 or 68 with call sign 'Benoa VTS' (S7).</t>
        </is>
      </c>
    </row>
    <row r="114" ht="60" customHeight="1" s="63">
      <c r="A114" s="70" t="inlineStr">
        <is>
          <t>LNK-0108</t>
        </is>
      </c>
      <c r="B114" s="70" t="inlineStr">
        <is>
          <t>TSS-0116</t>
        </is>
      </c>
      <c r="C114" s="70" t="inlineStr">
        <is>
          <t>SRS-021</t>
        </is>
      </c>
      <c r="D114" s="70" t="inlineStr">
        <is>
          <t>TSS associated with reporting scheme</t>
        </is>
      </c>
      <c r="E114" s="70" t="inlineStr">
        <is>
          <t>Stage 4 first pass: primary evidence</t>
        </is>
      </c>
      <c r="F114" s="70" t="inlineStr">
        <is>
          <t>SRC-095; SRC-096; SRC-097</t>
        </is>
      </c>
      <c r="G114" s="71" t="inlineStr">
        <is>
          <t>https://bimco.org/media/gusfhkrc/colreg2circ74-new-traffic-separation-schemes-secretariat.pdf
https://hubla.dephub.go.id/home/post/read/7657/berlaku-1-juli-2020-kemenhub-jelaskan-sistem-pelaporan-kapal-di-tss-selat-sunda-dan-selat-lombok
https://hubla.dephub.go.id/home/post/read/5132/pentingnya-bagan-pemisahan-alur-laut-di-selat-sunda-dan-selat-lombok-bagi-indonesia</t>
        </is>
      </c>
      <c r="H114" s="70" t="inlineStr">
        <is>
          <t>LOMBOKREP mandatory for Indonesian-flagged ships transiting or crossing the TSS (S7).</t>
        </is>
      </c>
    </row>
    <row r="115" ht="60" customHeight="1" s="63">
      <c r="A115" s="70" t="inlineStr">
        <is>
          <t>LNK-0109</t>
        </is>
      </c>
      <c r="B115" s="70" t="inlineStr">
        <is>
          <t>TSS-0117</t>
        </is>
      </c>
      <c r="C115" s="70" t="inlineStr">
        <is>
          <t>VTS-043</t>
        </is>
      </c>
      <c r="D115" s="70" t="inlineStr">
        <is>
          <t>TSS associated with service</t>
        </is>
      </c>
      <c r="E115" s="70" t="inlineStr">
        <is>
          <t>Stage 4 first pass: primary evidence</t>
        </is>
      </c>
      <c r="F115" s="70" t="inlineStr">
        <is>
          <t>SRC-098; SRC-099; SRC-100; SRC-101</t>
        </is>
      </c>
      <c r="G115" s="71" t="inlineStr">
        <is>
          <t>https://www.mardep.gov.hk/en/materials-and-publications/publications/hk-fact-sheet/index.html
https://www.mardep.gov.hk/filemanager/en/share/publications/pdf/materials/vtc_pamphlet.pdf
https://www.mardep.gov.hk/filemanager/en/share/pub-services/pdf/hkwaterlk_guide.pdf
https://www.mardep.gov.hk/filemanager/en/share/pub-services/pdf/vts_vscp.pdf</t>
        </is>
      </c>
      <c r="H115" s="70" t="inlineStr">
        <is>
          <t>Hong Kong VTS covers all navigable waters of Hong Kong used by sea-going vessels (S9); the TSS lies in Hong Kong waters (S11). Lamma Patch is a calling-in point of the Eastern Approaches sector, Ch 12 (S10).</t>
        </is>
      </c>
    </row>
    <row r="116" ht="60" customHeight="1" s="63">
      <c r="A116" s="70" t="inlineStr">
        <is>
          <t>LNK-0110</t>
        </is>
      </c>
      <c r="B116" s="70" t="inlineStr">
        <is>
          <t>TSS-0118</t>
        </is>
      </c>
      <c r="C116" s="70" t="inlineStr">
        <is>
          <t>VTS-043</t>
        </is>
      </c>
      <c r="D116" s="70" t="inlineStr">
        <is>
          <t>TSS associated with service</t>
        </is>
      </c>
      <c r="E116" s="70" t="inlineStr">
        <is>
          <t>Stage 4 first pass: primary evidence</t>
        </is>
      </c>
      <c r="F116" s="70" t="inlineStr">
        <is>
          <t>SRC-098; SRC-099; SRC-100; SRC-101</t>
        </is>
      </c>
      <c r="G116" s="71" t="inlineStr">
        <is>
          <t>https://www.mardep.gov.hk/en/materials-and-publications/publications/hk-fact-sheet/index.html
https://www.mardep.gov.hk/filemanager/en/share/publications/pdf/materials/vtc_pamphlet.pdf
https://www.mardep.gov.hk/filemanager/en/share/pub-services/pdf/hkwaterlk_guide.pdf
https://www.mardep.gov.hk/filemanager/en/share/pub-services/pdf/vts_vscp.pdf</t>
        </is>
      </c>
      <c r="H116" s="70" t="inlineStr">
        <is>
          <t>Hong Kong VTS covers all navigable waters of Hong Kong (S9); Tathong Channel Separation Buoy No. 1 is an Eastern Approaches (Ch 12) calling-in point (S10).</t>
        </is>
      </c>
    </row>
    <row r="117" ht="60" customHeight="1" s="63">
      <c r="A117" s="70" t="inlineStr">
        <is>
          <t>LNK-0111</t>
        </is>
      </c>
      <c r="B117" s="70" t="inlineStr">
        <is>
          <t>TSS-0119</t>
        </is>
      </c>
      <c r="C117" s="70" t="inlineStr">
        <is>
          <t>VTS-044</t>
        </is>
      </c>
      <c r="D117" s="70" t="inlineStr">
        <is>
          <t>TSS associated with service</t>
        </is>
      </c>
      <c r="E117" s="70" t="inlineStr">
        <is>
          <t>Stage 4 first pass: primary evidence</t>
        </is>
      </c>
      <c r="F117" s="70" t="inlineStr">
        <is>
          <t>SRC-102; SRC-103; SRC-104</t>
        </is>
      </c>
      <c r="G117" s="71" t="inlineStr">
        <is>
          <t>https://m.thepaper.cn/newsDetail_forward_30326627
https://www.chinanews.com.cn/dwq/2026/04-08/10600653.shtml
https://www.gd.msa.gov.cn/288d370277a13952929caab591b72d65/784a5ef27d1d402db548f019c88978b6.jhtml</t>
        </is>
      </c>
      <c r="H117" s="70" t="inlineStr">
        <is>
          <t>Guangzhou MSA illustrates the TSS with a Guangzhou MSA VTS radar screenshot and directs ships in the TSS to seek assistance from 广州交管中心 on VHF 08/09 (S13). News report (lead) says a 'Dangan' monitoring station began trial operation on 8 April 2026 to bring the TSS under routine VTS control (S14).</t>
        </is>
      </c>
    </row>
    <row r="118" ht="60" customHeight="1" s="63">
      <c r="A118" s="70" t="inlineStr">
        <is>
          <t>LNK-0112</t>
        </is>
      </c>
      <c r="B118" s="70" t="inlineStr">
        <is>
          <t>TSS-0120</t>
        </is>
      </c>
      <c r="C118" s="70" t="inlineStr">
        <is>
          <t>VTS-045</t>
        </is>
      </c>
      <c r="D118" s="70" t="inlineStr">
        <is>
          <t>TSS associated with service</t>
        </is>
      </c>
      <c r="E118" s="70" t="inlineStr">
        <is>
          <t>Stage 4 first pass: primary evidence</t>
        </is>
      </c>
      <c r="F118" s="70" t="inlineStr">
        <is>
          <t>SRC-105</t>
        </is>
      </c>
      <c r="G118" s="71" t="inlineStr">
        <is>
          <t>https://wwwcdn.imo.org/localresources/en/KnowledgeCentre/IndexofIMOResolutions/MSCResolutions/MSC%20389%2094.pdf</t>
        </is>
      </c>
      <c r="H118" s="70" t="inlineStr">
        <is>
          <t>The SRS area is the 24 nm radius around the Chengshan Jiao VTS Centre, which is the reporting authority, and the resolution addresses ships in the TSSs (S16).</t>
        </is>
      </c>
    </row>
    <row r="119" ht="60" customHeight="1" s="63">
      <c r="A119" s="70" t="inlineStr">
        <is>
          <t>LNK-0113</t>
        </is>
      </c>
      <c r="B119" s="70" t="inlineStr">
        <is>
          <t>TSS-0120</t>
        </is>
      </c>
      <c r="C119" s="70" t="inlineStr">
        <is>
          <t>SRS-022</t>
        </is>
      </c>
      <c r="D119" s="70" t="inlineStr">
        <is>
          <t>TSS associated with reporting scheme</t>
        </is>
      </c>
      <c r="E119" s="70" t="inlineStr">
        <is>
          <t>Stage 4 first pass: primary evidence</t>
        </is>
      </c>
      <c r="F119" s="70" t="inlineStr">
        <is>
          <t>SRC-105</t>
        </is>
      </c>
      <c r="G119" s="71" t="inlineStr">
        <is>
          <t>https://wwwcdn.imo.org/localresources/en/KnowledgeCentre/IndexofIMOResolutions/MSCResolutions/MSC%20389%2094.pdf</t>
        </is>
      </c>
      <c r="H119" s="70" t="inlineStr">
        <is>
          <t>IMO-adopted mandatory SRS 'Off Chengshan Jiao Promontory' (SOLAS V/11), amended by MSC.389(94), in force 1 June 2015 (S16).</t>
        </is>
      </c>
    </row>
    <row r="120" ht="60" customHeight="1" s="63">
      <c r="A120" s="70" t="inlineStr">
        <is>
          <t>LNK-0114</t>
        </is>
      </c>
      <c r="B120" s="70" t="inlineStr">
        <is>
          <t>TSS-0121</t>
        </is>
      </c>
      <c r="C120" s="70" t="inlineStr">
        <is>
          <t>VTS-046</t>
        </is>
      </c>
      <c r="D120" s="70" t="inlineStr">
        <is>
          <t>TSS service research lead</t>
        </is>
      </c>
      <c r="E120" s="70" t="inlineStr">
        <is>
          <t>Lead; coverage not evidenced</t>
        </is>
      </c>
      <c r="F120" s="70" t="inlineStr">
        <is>
          <t>SRC-106; SRC-107; SRC-108</t>
        </is>
      </c>
      <c r="G120" s="71" t="inlineStr">
        <is>
          <t>https://meganorm.ru/Data2/1/4293849/4293849842.htm
https://rg.ru/documents/2011/07/05/naxodka-site-dok.html
https://www.consultant.ru/document/cons_doc_LAW_116506/dfe493850a134ba391cd60a9ae6bf84ebb6f7aa9/</t>
        </is>
      </c>
      <c r="H120" s="70" t="inlineStr">
        <is>
          <t>Nakhodka port rules establish Regional VTS Sector 1B covering the approaches to Nakhodka Gulf (132°28'E to 133°43'E, to the territorial sea boundary, Ch 9) and Sector 2 inside the gulf (S18). Without the scheme's coordinates, coverage cannot be confirmed.</t>
        </is>
      </c>
    </row>
    <row r="121" ht="60" customHeight="1" s="63">
      <c r="A121" s="70" t="inlineStr">
        <is>
          <t>LNK-0115</t>
        </is>
      </c>
      <c r="B121" s="70" t="inlineStr">
        <is>
          <t>TSS-0122</t>
        </is>
      </c>
      <c r="C121" s="70" t="inlineStr">
        <is>
          <t>VTS-046</t>
        </is>
      </c>
      <c r="D121" s="70" t="inlineStr">
        <is>
          <t>TSS associated with service</t>
        </is>
      </c>
      <c r="E121" s="70" t="inlineStr">
        <is>
          <t>Stage 4 first pass: primary evidence</t>
        </is>
      </c>
      <c r="F121" s="70" t="inlineStr">
        <is>
          <t>SRC-106; SRC-107; SRC-108</t>
        </is>
      </c>
      <c r="G121" s="71" t="inlineStr">
        <is>
          <t>https://meganorm.ru/Data2/1/4293849/4293849842.htm
https://rg.ru/documents/2011/07/05/naxodka-site-dok.html
https://www.consultant.ru/document/cons_doc_LAW_116506/dfe493850a134ba391cd60a9ae6bf84ebb6f7aa9/</t>
        </is>
      </c>
      <c r="H121" s="70" t="inlineStr">
        <is>
          <t>Partial: Regional VTS Sector 1B covers the approaches to Nakhodka Gulf between 132°28'E and 133°43'E south to the territorial sea boundary (S18). Scheme parts I and III and most of part II lie within those meridians; the eastern end of part II (to 133°46.8'E) lies outside.</t>
        </is>
      </c>
    </row>
    <row r="122" ht="60" customHeight="1" s="63">
      <c r="A122" s="70" t="inlineStr">
        <is>
          <t>LNK-0116</t>
        </is>
      </c>
      <c r="B122" s="70" t="inlineStr">
        <is>
          <t>TSS-0123</t>
        </is>
      </c>
      <c r="C122" s="70" t="inlineStr">
        <is>
          <t>VTS-047</t>
        </is>
      </c>
      <c r="D122" s="70" t="inlineStr">
        <is>
          <t>TSS service research lead</t>
        </is>
      </c>
      <c r="E122" s="70" t="inlineStr">
        <is>
          <t>Lead; coverage not evidenced</t>
        </is>
      </c>
      <c r="F122" s="70" t="inlineStr">
        <is>
          <t>SRC-106</t>
        </is>
      </c>
      <c r="G122" s="71" t="inlineStr">
        <is>
          <t>https://meganorm.ru/Data2/1/4293849/4293849842.htm</t>
        </is>
      </c>
      <c r="H122" s="70" t="inlineStr">
        <is>
          <t>Korsakov port VTS in Aniva Bay is a lead only; no source establishes coverage of the scheme off Cape Aniva.</t>
        </is>
      </c>
    </row>
    <row r="123" ht="60" customHeight="1" s="63">
      <c r="A123" s="70" t="inlineStr">
        <is>
          <t>LNK-0117</t>
        </is>
      </c>
      <c r="B123" s="70" t="inlineStr">
        <is>
          <t>TSS-0126</t>
        </is>
      </c>
      <c r="C123" s="70" t="inlineStr">
        <is>
          <t>SRS-023</t>
        </is>
      </c>
      <c r="D123" s="70" t="inlineStr">
        <is>
          <t>TSS associated with reporting scheme</t>
        </is>
      </c>
      <c r="E123" s="70" t="inlineStr">
        <is>
          <t>Stage 4 first pass: primary evidence</t>
        </is>
      </c>
      <c r="F123" s="70" t="inlineStr">
        <is>
          <t>SRC-109; SRC-110</t>
        </is>
      </c>
      <c r="G123" s="71" t="inlineStr">
        <is>
          <t>https://www.amsa.gov.au/safety-navigation/navigating-coastal-waters/offshore-oil-and-gas-exploration
https://www.amsa.gov.au/safety-navigation/navigation-systems/modernised-australian-ship-tracking-and-reporting-system</t>
        </is>
      </c>
      <c r="H123" s="70" t="inlineStr">
        <is>
          <t>Scheme lies in Australian waters where MASTREP (national, Navigation Act 2012 and MO 63) applies to specified vessel categories (S21). Not an IMO-adopted SRS.</t>
        </is>
      </c>
    </row>
    <row r="124" ht="60" customHeight="1" s="63">
      <c r="A124" s="70" t="inlineStr">
        <is>
          <t>LNK-0118</t>
        </is>
      </c>
      <c r="B124" s="70" t="inlineStr">
        <is>
          <t>TSS-0127</t>
        </is>
      </c>
      <c r="C124" s="70" t="inlineStr">
        <is>
          <t>SRS-023</t>
        </is>
      </c>
      <c r="D124" s="70" t="inlineStr">
        <is>
          <t>TSS associated with reporting scheme</t>
        </is>
      </c>
      <c r="E124" s="70" t="inlineStr">
        <is>
          <t>Stage 4 first pass: primary evidence</t>
        </is>
      </c>
      <c r="F124" s="70" t="inlineStr">
        <is>
          <t>SRC-109; SRC-110</t>
        </is>
      </c>
      <c r="G124" s="71" t="inlineStr">
        <is>
          <t>https://www.amsa.gov.au/safety-navigation/navigating-coastal-waters/offshore-oil-and-gas-exploration
https://www.amsa.gov.au/safety-navigation/navigation-systems/modernised-australian-ship-tracking-and-reporting-system</t>
        </is>
      </c>
      <c r="H124" s="70" t="inlineStr">
        <is>
          <t>MASTREP applies to specified categories (S21).</t>
        </is>
      </c>
    </row>
    <row r="125" ht="60" customHeight="1" s="63">
      <c r="A125" s="70" t="inlineStr">
        <is>
          <t>LNK-0119</t>
        </is>
      </c>
      <c r="B125" s="70" t="inlineStr">
        <is>
          <t>TSS-0128</t>
        </is>
      </c>
      <c r="C125" s="70" t="inlineStr">
        <is>
          <t>SRS-023</t>
        </is>
      </c>
      <c r="D125" s="70" t="inlineStr">
        <is>
          <t>TSS associated with reporting scheme</t>
        </is>
      </c>
      <c r="E125" s="70" t="inlineStr">
        <is>
          <t>Stage 4 first pass: primary evidence</t>
        </is>
      </c>
      <c r="F125" s="70" t="inlineStr">
        <is>
          <t>SRC-109; SRC-110</t>
        </is>
      </c>
      <c r="G125" s="71" t="inlineStr">
        <is>
          <t>https://www.amsa.gov.au/safety-navigation/navigating-coastal-waters/offshore-oil-and-gas-exploration
https://www.amsa.gov.au/safety-navigation/navigation-systems/modernised-australian-ship-tracking-and-reporting-system</t>
        </is>
      </c>
      <c r="H125" s="70" t="inlineStr">
        <is>
          <t>MASTREP applies to specified categories (S21).</t>
        </is>
      </c>
    </row>
    <row r="126" ht="60" customHeight="1" s="63">
      <c r="A126" s="70" t="inlineStr">
        <is>
          <t>LNK-0120</t>
        </is>
      </c>
      <c r="B126" s="70" t="inlineStr">
        <is>
          <t>TSS-0130</t>
        </is>
      </c>
      <c r="C126" s="70" t="inlineStr">
        <is>
          <t>VTS-048</t>
        </is>
      </c>
      <c r="D126" s="70" t="inlineStr">
        <is>
          <t>TSS associated with service</t>
        </is>
      </c>
      <c r="E126" s="70" t="inlineStr">
        <is>
          <t>Stage 4 first pass: primary evidence</t>
        </is>
      </c>
      <c r="F126" s="70" t="inlineStr">
        <is>
          <t>SRC-113; SRC-114; SRC-115; SRC-116</t>
        </is>
      </c>
      <c r="G126" s="71" t="inlineStr">
        <is>
          <t>https://www.ecfr.gov/current/title-33/part-161/section-161.12
https://www.ecfr.gov/current/title-33/part-161/section-161.55
https://www.ecfr.gov/current/title-33/part-167/section-167.1300
https://laws-lois.justice.gc.ca/eng/regulations/SOR-2025-275/FullText.html</t>
        </is>
      </c>
      <c r="H126" s="70" t="inlineStr">
        <is>
          <t>CVTS for the Juan de Fuca Region: VTS Puget Sound and Canadian centres manage traffic irrespective of the boundary (S25). Seattle Traffic Ch 5A covers US waters east of 124°40'W; Prince Rupert Traffic Ch 74 covers waters west of 124°40'W within 12 nm of Vancouver Island, north of 48°N and east of 125°15'W, which contains the approaches TSS (about 125°00'W to 125°09'W) (S24). Canada's Victoria VTS Zone follows the boundary through Juan de Fuca Strait to 124°40'W; Prince Rupert VTS Zone lies west of 124°40'W to the territorial sea boundary (S27).</t>
        </is>
      </c>
    </row>
    <row r="127" ht="60" customHeight="1" s="63">
      <c r="A127" s="70" t="inlineStr">
        <is>
          <t>LNK-0121</t>
        </is>
      </c>
      <c r="B127" s="70" t="inlineStr">
        <is>
          <t>TSS-0131</t>
        </is>
      </c>
      <c r="C127" s="70" t="inlineStr">
        <is>
          <t>VTS-048</t>
        </is>
      </c>
      <c r="D127" s="70" t="inlineStr">
        <is>
          <t>TSS associated with service</t>
        </is>
      </c>
      <c r="E127" s="70" t="inlineStr">
        <is>
          <t>Stage 4 first pass: primary evidence</t>
        </is>
      </c>
      <c r="F127" s="70" t="inlineStr">
        <is>
          <t>SRC-117; SRC-118; SRC-119; SRC-054; SRC-017; SRC-123</t>
        </is>
      </c>
      <c r="G127" s="71" t="inlineStr">
        <is>
          <t>https://www.ecfr.gov/api/versioner/v1/full/2026-09-01/title-33.xml?part=161
https://www.ecfr.gov/api/versioner/v1/full/2026-09-01/title-33.xml?part=167
https://www.canada.ca/content/dam/ccg-gcc/documents/publications/mcts-sctm/ramn-arnm-2026-eng.pdf
https://www.transportstyrelsen.se/globalassets/global/sjofart/dokument/sjotrafik_dok/imo_colreg.2_cirkular.pdf?id=58526
https://www.navcen.uscg.gov/vessel-traffic-services-locations
https://laws-lois.justice.gc.ca/eng/regulations/SOR-89-98/FullText.html</t>
        </is>
      </c>
      <c r="H127" s="70" t="inlineStr">
        <is>
          <t>US parts: 33 CFR 161.55 defines the VTS Puget Sound area as US navigable waters of the Salish Sea to the US/Canada boundary, and Table 161.12(c) assigns Seattle Traffic Ch 14 (Puget Sound) and Ch 5A (US Salish Sea incl. Rosario Strait and US side of Haro Strait). Canadian parts: CCG RAMN 2026 Table 3-1 places Canadian waters through Haro Strait, Boundary Pass and the Strait of Georgia in Victoria VTS Zone Sector 1 (Victoria Traffic Ch 11). Both operate within the US/Canadian CVTS; the CVTS northern limit is 49°N, so the Strait of Georgia component north of 49°N is a Canadian-only VTS area.</t>
        </is>
      </c>
    </row>
    <row r="128" ht="60" customHeight="1" s="63">
      <c r="A128" s="70" t="inlineStr">
        <is>
          <t>LNK-0122</t>
        </is>
      </c>
      <c r="B128" s="70" t="inlineStr">
        <is>
          <t>TSS-0134</t>
        </is>
      </c>
      <c r="C128" s="70" t="inlineStr">
        <is>
          <t>VTS-049</t>
        </is>
      </c>
      <c r="D128" s="70" t="inlineStr">
        <is>
          <t>TSS service research lead</t>
        </is>
      </c>
      <c r="E128" s="70" t="inlineStr">
        <is>
          <t>Lead; coverage not evidenced</t>
        </is>
      </c>
      <c r="F128" s="70" t="inlineStr">
        <is>
          <t>SRC-054; SRC-072</t>
        </is>
      </c>
      <c r="G128" s="71" t="inlineStr">
        <is>
          <t>https://www.transportstyrelsen.se/globalassets/global/sjofart/dokument/sjotrafik_dok/imo_colreg.2_cirkular.pdf?id=58526
https://wwwcdn.imo.org/localresources/en/KnowledgeCentre/IndexofIMOResolutions/AssemblyDocuments/A.827(19).pdf</t>
        </is>
      </c>
      <c r="H128" s="70" t="inlineStr">
        <is>
          <t>IMO texts (1994/1995) state that ship movement in the port area is supervised by a Port Vessel Traffic Supervisor 24 h and ships using the TSS are requested to contact it on VHF Ch 6. This is historic and does not confirm a current VTS; no current SEMAR/Capitanía source found.</t>
        </is>
      </c>
    </row>
    <row r="129" ht="60" customHeight="1" s="63">
      <c r="A129" s="70" t="inlineStr">
        <is>
          <t>LNK-0123</t>
        </is>
      </c>
      <c r="B129" s="70" t="inlineStr">
        <is>
          <t>TSS-0139</t>
        </is>
      </c>
      <c r="C129" s="70" t="inlineStr">
        <is>
          <t>VTS-050</t>
        </is>
      </c>
      <c r="D129" s="70" t="inlineStr">
        <is>
          <t>TSS service research lead</t>
        </is>
      </c>
      <c r="E129" s="70" t="inlineStr">
        <is>
          <t>Lead; coverage not evidenced</t>
        </is>
      </c>
      <c r="F129" s="70" t="inlineStr">
        <is>
          <t>SRC-054; SRC-125; SRC-126</t>
        </is>
      </c>
      <c r="G129" s="71" t="inlineStr">
        <is>
          <t>https://www.transportstyrelsen.se/globalassets/global/sjofart/dokument/sjotrafik_dok/imo_colreg.2_cirkular.pdf?id=58526
https://busquedas.elperuano.pe/dispositivo/NL/2458852-1
https://nippon.zaidan.info/seikabutsu/1999/00484/contents/225.htm</t>
        </is>
      </c>
      <c r="H129" s="70" t="inlineStr">
        <is>
          <t>Leads indicate a 'VTS Callao' operated under the Peruvian maritime authority (Revista de Marina 2023 article, 404 on fetch; industry reports of a 2019/2020 Wartsila VTS order), but no primary source fetched establishes its operation or coverage of the TSS. DICAPI anchorage resolutions for Callao (2025, 2026) do not mention it.</t>
        </is>
      </c>
    </row>
    <row r="130" ht="60" customHeight="1" s="63">
      <c r="A130" s="70" t="inlineStr">
        <is>
          <t>LNK-0124</t>
        </is>
      </c>
      <c r="B130" s="70" t="inlineStr">
        <is>
          <t>TSS-0143</t>
        </is>
      </c>
      <c r="C130" s="70" t="inlineStr">
        <is>
          <t>SRS-024</t>
        </is>
      </c>
      <c r="D130" s="70" t="inlineStr">
        <is>
          <t>TSS within voluntary reporting scheme</t>
        </is>
      </c>
      <c r="E130" s="70" t="inlineStr">
        <is>
          <t>Stage 4 first pass; voluntary, excluded from mandatory totals</t>
        </is>
      </c>
      <c r="F130" s="70" t="inlineStr">
        <is>
          <t>SRC-054; SRC-121</t>
        </is>
      </c>
      <c r="G130" s="71" t="inlineStr">
        <is>
          <t>https://www.transportstyrelsen.se/globalassets/global/sjofart/dokument/sjotrafik_dok/imo_colreg.2_cirkular.pdf?id=58526
https://www.directemar.cl/directemar/site/docs/20200515/20200515201601/chilrep_v2_espa__ol.pdf</t>
        </is>
      </c>
      <c r="H130" s="70" t="inlineStr">
        <is>
          <t>CHILREP (voluntary for foreign ships in the Chilean SAR region; DIRECTEMAR/MRCC Chile).</t>
        </is>
      </c>
    </row>
    <row r="131" ht="60" customHeight="1" s="63">
      <c r="A131" s="70" t="inlineStr">
        <is>
          <t>LNK-0125</t>
        </is>
      </c>
      <c r="B131" s="70" t="inlineStr">
        <is>
          <t>TSS-0144</t>
        </is>
      </c>
      <c r="C131" s="70" t="inlineStr">
        <is>
          <t>SRS-024</t>
        </is>
      </c>
      <c r="D131" s="70" t="inlineStr">
        <is>
          <t>TSS within voluntary reporting scheme</t>
        </is>
      </c>
      <c r="E131" s="70" t="inlineStr">
        <is>
          <t>Stage 4 first pass; voluntary, excluded from mandatory totals</t>
        </is>
      </c>
      <c r="F131" s="70" t="inlineStr">
        <is>
          <t>SRC-054; SRC-121</t>
        </is>
      </c>
      <c r="G131" s="71" t="inlineStr">
        <is>
          <t>https://www.transportstyrelsen.se/globalassets/global/sjofart/dokument/sjotrafik_dok/imo_colreg.2_cirkular.pdf?id=58526
https://www.directemar.cl/directemar/site/docs/20200515/20200515201601/chilrep_v2_espa__ol.pdf</t>
        </is>
      </c>
      <c r="H131" s="70" t="inlineStr">
        <is>
          <t>CHILREP (voluntary for foreign ships in the Chilean SAR region; DIRECTEMAR/MRCC Chile).</t>
        </is>
      </c>
    </row>
    <row r="132" ht="60" customHeight="1" s="63">
      <c r="A132" s="70" t="inlineStr">
        <is>
          <t>LNK-0126</t>
        </is>
      </c>
      <c r="B132" s="70" t="inlineStr">
        <is>
          <t>TSS-0145</t>
        </is>
      </c>
      <c r="C132" s="70" t="inlineStr">
        <is>
          <t>SRS-024</t>
        </is>
      </c>
      <c r="D132" s="70" t="inlineStr">
        <is>
          <t>TSS within voluntary reporting scheme</t>
        </is>
      </c>
      <c r="E132" s="70" t="inlineStr">
        <is>
          <t>Stage 4 first pass; voluntary, excluded from mandatory totals</t>
        </is>
      </c>
      <c r="F132" s="70" t="inlineStr">
        <is>
          <t>SRC-054; SRC-121</t>
        </is>
      </c>
      <c r="G132" s="71" t="inlineStr">
        <is>
          <t>https://www.transportstyrelsen.se/globalassets/global/sjofart/dokument/sjotrafik_dok/imo_colreg.2_cirkular.pdf?id=58526
https://www.directemar.cl/directemar/site/docs/20200515/20200515201601/chilrep_v2_espa__ol.pdf</t>
        </is>
      </c>
      <c r="H132" s="70" t="inlineStr">
        <is>
          <t>CHILREP (voluntary for foreign ships in the Chilean SAR region; DIRECTEMAR/MRCC Chile).</t>
        </is>
      </c>
    </row>
    <row r="133" ht="60" customHeight="1" s="63">
      <c r="A133" s="70" t="inlineStr">
        <is>
          <t>LNK-0127</t>
        </is>
      </c>
      <c r="B133" s="70" t="inlineStr">
        <is>
          <t>TSS-0146</t>
        </is>
      </c>
      <c r="C133" s="70" t="inlineStr">
        <is>
          <t>SRS-024</t>
        </is>
      </c>
      <c r="D133" s="70" t="inlineStr">
        <is>
          <t>TSS within voluntary reporting scheme</t>
        </is>
      </c>
      <c r="E133" s="70" t="inlineStr">
        <is>
          <t>Stage 4 first pass; voluntary, excluded from mandatory totals</t>
        </is>
      </c>
      <c r="F133" s="70" t="inlineStr">
        <is>
          <t>SRC-054; SRC-121</t>
        </is>
      </c>
      <c r="G133" s="71" t="inlineStr">
        <is>
          <t>https://www.transportstyrelsen.se/globalassets/global/sjofart/dokument/sjotrafik_dok/imo_colreg.2_cirkular.pdf?id=58526
https://www.directemar.cl/directemar/site/docs/20200515/20200515201601/chilrep_v2_espa__ol.pdf</t>
        </is>
      </c>
      <c r="H133" s="70" t="inlineStr">
        <is>
          <t>CHILREP (voluntary for foreign ships in the Chilean SAR region; DIRECTEMAR/MRCC Chile).</t>
        </is>
      </c>
    </row>
    <row r="134" ht="60" customHeight="1" s="63">
      <c r="A134" s="70" t="inlineStr">
        <is>
          <t>LNK-0128</t>
        </is>
      </c>
      <c r="B134" s="70" t="inlineStr">
        <is>
          <t>TSS-0147</t>
        </is>
      </c>
      <c r="C134" s="70" t="inlineStr">
        <is>
          <t>VTS-051</t>
        </is>
      </c>
      <c r="D134" s="70" t="inlineStr">
        <is>
          <t>TSS service research lead</t>
        </is>
      </c>
      <c r="E134" s="70" t="inlineStr">
        <is>
          <t>Lead; coverage not evidenced</t>
        </is>
      </c>
      <c r="F134" s="70" t="inlineStr">
        <is>
          <t>SRC-054; SRC-121; SRC-122</t>
        </is>
      </c>
      <c r="G134" s="71" t="inlineStr">
        <is>
          <t>https://www.transportstyrelsen.se/globalassets/global/sjofart/dokument/sjotrafik_dok/imo_colreg.2_cirkular.pdf?id=58526
https://www.directemar.cl/directemar/site/docs/20200515/20200515201601/chilrep_v2_espa__ol.pdf
https://vlex.cl/vid/resolucion-n-12-000-927122110</t>
        </is>
      </c>
      <c r="H134" s="70" t="inlineStr">
        <is>
          <t>Lead: a 2018 DIRECTEMAR anchorage resolution (seen only via vLex) requires vessels to confirm with 'VTS Valparaíso (Vessel Trafic Service)/CBV-20' two hours ahead on Ch 16. Service area and coverage of the TSS not evidenced.</t>
        </is>
      </c>
    </row>
    <row r="135" ht="60" customHeight="1" s="63">
      <c r="A135" s="70" t="inlineStr">
        <is>
          <t>LNK-0129</t>
        </is>
      </c>
      <c r="B135" s="70" t="inlineStr">
        <is>
          <t>TSS-0147</t>
        </is>
      </c>
      <c r="C135" s="70" t="inlineStr">
        <is>
          <t>SRS-024</t>
        </is>
      </c>
      <c r="D135" s="70" t="inlineStr">
        <is>
          <t>TSS within voluntary reporting scheme</t>
        </is>
      </c>
      <c r="E135" s="70" t="inlineStr">
        <is>
          <t>Stage 4 first pass; voluntary, excluded from mandatory totals</t>
        </is>
      </c>
      <c r="F135" s="70" t="inlineStr">
        <is>
          <t>SRC-054; SRC-121; SRC-122</t>
        </is>
      </c>
      <c r="G135" s="71" t="inlineStr">
        <is>
          <t>https://www.transportstyrelsen.se/globalassets/global/sjofart/dokument/sjotrafik_dok/imo_colreg.2_cirkular.pdf?id=58526
https://www.directemar.cl/directemar/site/docs/20200515/20200515201601/chilrep_v2_espa__ol.pdf
https://vlex.cl/vid/resolucion-n-12-000-927122110</t>
        </is>
      </c>
      <c r="H135" s="70" t="inlineStr">
        <is>
          <t>CHILREP (voluntary for foreign ships in the Chilean SAR region; DIRECTEMAR/MRCC Chile).</t>
        </is>
      </c>
    </row>
    <row r="136" ht="60" customHeight="1" s="63">
      <c r="A136" s="70" t="inlineStr">
        <is>
          <t>LNK-0130</t>
        </is>
      </c>
      <c r="B136" s="70" t="inlineStr">
        <is>
          <t>TSS-0148</t>
        </is>
      </c>
      <c r="C136" s="70" t="inlineStr">
        <is>
          <t>SRS-024</t>
        </is>
      </c>
      <c r="D136" s="70" t="inlineStr">
        <is>
          <t>TSS within voluntary reporting scheme</t>
        </is>
      </c>
      <c r="E136" s="70" t="inlineStr">
        <is>
          <t>Stage 4 first pass; voluntary, excluded from mandatory totals</t>
        </is>
      </c>
      <c r="F136" s="70" t="inlineStr">
        <is>
          <t>SRC-054; SRC-121</t>
        </is>
      </c>
      <c r="G136" s="71" t="inlineStr">
        <is>
          <t>https://www.transportstyrelsen.se/globalassets/global/sjofart/dokument/sjotrafik_dok/imo_colreg.2_cirkular.pdf?id=58526
https://www.directemar.cl/directemar/site/docs/20200515/20200515201601/chilrep_v2_espa__ol.pdf</t>
        </is>
      </c>
      <c r="H136" s="70" t="inlineStr">
        <is>
          <t>CHILREP (voluntary for foreign ships in the Chilean SAR region; DIRECTEMAR/MRCC Chile).</t>
        </is>
      </c>
    </row>
    <row r="137" ht="60" customHeight="1" s="63">
      <c r="A137" s="70" t="inlineStr">
        <is>
          <t>LNK-0131</t>
        </is>
      </c>
      <c r="B137" s="70" t="inlineStr">
        <is>
          <t>TSS-0149</t>
        </is>
      </c>
      <c r="C137" s="70" t="inlineStr">
        <is>
          <t>SRS-024</t>
        </is>
      </c>
      <c r="D137" s="70" t="inlineStr">
        <is>
          <t>TSS within voluntary reporting scheme</t>
        </is>
      </c>
      <c r="E137" s="70" t="inlineStr">
        <is>
          <t>Stage 4 first pass; voluntary, excluded from mandatory totals</t>
        </is>
      </c>
      <c r="F137" s="70" t="inlineStr">
        <is>
          <t>SRC-054; SRC-121; SRC-124</t>
        </is>
      </c>
      <c r="G137" s="71" t="inlineStr">
        <is>
          <t>https://www.transportstyrelsen.se/globalassets/global/sjofart/dokument/sjotrafik_dok/imo_colreg.2_cirkular.pdf?id=58526
https://www.directemar.cl/directemar/site/docs/20200515/20200515201601/chilrep_v2_espa__ol.pdf
https://www.directemar.cl/directemar/site/docs/20200825/20200825090936/09__12600_94_240820_san_vicente.pdf</t>
        </is>
      </c>
      <c r="H137" s="70" t="inlineStr">
        <is>
          <t>CHILREP (voluntary for foreign ships in the Chilean SAR region; DIRECTEMAR/MRCC Chile).</t>
        </is>
      </c>
    </row>
    <row r="138" ht="60" customHeight="1" s="63">
      <c r="A138" s="70" t="inlineStr">
        <is>
          <t>LNK-0132</t>
        </is>
      </c>
      <c r="B138" s="70" t="inlineStr">
        <is>
          <t>TSS-0150</t>
        </is>
      </c>
      <c r="C138" s="70" t="inlineStr">
        <is>
          <t>SRS-024</t>
        </is>
      </c>
      <c r="D138" s="70" t="inlineStr">
        <is>
          <t>TSS within voluntary reporting scheme</t>
        </is>
      </c>
      <c r="E138" s="70" t="inlineStr">
        <is>
          <t>Stage 4 first pass; voluntary, excluded from mandatory totals</t>
        </is>
      </c>
      <c r="F138" s="70" t="inlineStr">
        <is>
          <t>SRC-054; SRC-121</t>
        </is>
      </c>
      <c r="G138" s="71" t="inlineStr">
        <is>
          <t>https://www.transportstyrelsen.se/globalassets/global/sjofart/dokument/sjotrafik_dok/imo_colreg.2_cirkular.pdf?id=58526
https://www.directemar.cl/directemar/site/docs/20200515/20200515201601/chilrep_v2_espa__ol.pdf</t>
        </is>
      </c>
      <c r="H138" s="70" t="inlineStr">
        <is>
          <t>CHILREP (voluntary for foreign ships in the Chilean SAR region; DIRECTEMAR/MRCC Chile).</t>
        </is>
      </c>
    </row>
    <row r="139" ht="60" customHeight="1" s="63">
      <c r="A139" s="70" t="inlineStr">
        <is>
          <t>LNK-0133</t>
        </is>
      </c>
      <c r="B139" s="70" t="inlineStr">
        <is>
          <t>TSS-0151</t>
        </is>
      </c>
      <c r="C139" s="70" t="inlineStr">
        <is>
          <t>VTS-054</t>
        </is>
      </c>
      <c r="D139" s="70" t="inlineStr">
        <is>
          <t>TSS service research lead</t>
        </is>
      </c>
      <c r="E139" s="70" t="inlineStr">
        <is>
          <t>Lead; coverage not evidenced</t>
        </is>
      </c>
      <c r="F139" s="70" t="inlineStr">
        <is>
          <t>SRC-132; SRC-134; SRC-135</t>
        </is>
      </c>
      <c r="G139" s="71" t="inlineStr">
        <is>
          <t>https://www.panamashipregistry.com/wp-content/uploads/2019/08/COLREG-2-Circ-65.pdf
https://pancanal.com/wp-content/uploads/2021/08/N02-2026-Harbor-Operations_BMV.pdf
https://pancanal.com/wp-content/uploads/2021/08/N01-2025-Vessel-Requirements.pdf</t>
        </is>
      </c>
      <c r="H139" s="70" t="inlineStr">
        <is>
          <t>ACP Cristobal Signal Station controls anchorage entry/exit and harbour movements at the Atlantic entrance (N-2-2026) and must be called 8 NM from the Atlantic Breakwater, i.e. at about the inner end of the TSS. ACP does not designate it a VTS, and no source states it covers the TSS lanes.</t>
        </is>
      </c>
    </row>
    <row r="140" ht="60" customHeight="1" s="63">
      <c r="A140" s="70" t="inlineStr">
        <is>
          <t>LNK-0134</t>
        </is>
      </c>
      <c r="B140" s="70" t="inlineStr">
        <is>
          <t>TSS-0159</t>
        </is>
      </c>
      <c r="C140" s="70" t="inlineStr">
        <is>
          <t>VTS-056</t>
        </is>
      </c>
      <c r="D140" s="70" t="inlineStr">
        <is>
          <t>TSS service research lead</t>
        </is>
      </c>
      <c r="E140" s="70" t="inlineStr">
        <is>
          <t>Lead; coverage not evidenced</t>
        </is>
      </c>
      <c r="F140" s="70" t="inlineStr">
        <is>
          <t>SRC-054</t>
        </is>
      </c>
      <c r="G140" s="71" t="inlineStr">
        <is>
          <t>https://www.transportstyrelsen.se/globalassets/global/sjofart/dokument/sjotrafik_dok/imo_colreg.2_cirkular.pdf?id=58526</t>
        </is>
      </c>
      <c r="H140" s="70" t="inlineStr">
        <is>
          <t>Lead only: search snippets of Mexican federal budget reports mention a radar at Isla de Sacrificios for the port's maritime traffic control system. The pages could not be retrieved and nothing establishes coverage of the TSS.</t>
        </is>
      </c>
    </row>
    <row r="141" ht="60" customHeight="1" s="63">
      <c r="A141" s="70" t="inlineStr">
        <is>
          <t>LNK-0135</t>
        </is>
      </c>
      <c r="B141" s="70" t="inlineStr">
        <is>
          <t>TSS-0161</t>
        </is>
      </c>
      <c r="C141" s="70" t="inlineStr">
        <is>
          <t>VTS-055</t>
        </is>
      </c>
      <c r="D141" s="70" t="inlineStr">
        <is>
          <t>TSS service research lead</t>
        </is>
      </c>
      <c r="E141" s="70" t="inlineStr">
        <is>
          <t>Lead; coverage not evidenced</t>
        </is>
      </c>
      <c r="F141" s="70" t="inlineStr">
        <is>
          <t>SRC-132; SRC-133; SRC-134</t>
        </is>
      </c>
      <c r="G141" s="71" t="inlineStr">
        <is>
          <t>https://www.panamashipregistry.com/wp-content/uploads/2019/08/COLREG-2-Circ-65.pdf
https://pancanal.com/wp-content/uploads/2026/04/ADV-24-2026-Speed-Restriction-in-Traffic-Separation-Scheme-on-the-Pacific-Approach-to-the-Panama-Canal.pdf
https://pancanal.com/wp-content/uploads/2021/08/N02-2026-Harbor-Operations_BMV.pdf</t>
        </is>
      </c>
      <c r="H141" s="70" t="inlineStr">
        <is>
          <t>ACP Flamenco Signal Station coordinates Pacific anchorage entry/exit and harbour movements (N-2-2026). It is not designated a VTS and no source states coverage of the TSS. Parts 2 and 3 are far west of Canal waters.</t>
        </is>
      </c>
    </row>
    <row r="142" ht="60" customHeight="1" s="63">
      <c r="A142" s="70" t="inlineStr">
        <is>
          <t>LNK-0136</t>
        </is>
      </c>
      <c r="B142" s="70" t="inlineStr">
        <is>
          <t>TSS-0164</t>
        </is>
      </c>
      <c r="C142" s="70" t="inlineStr">
        <is>
          <t>VTS-057</t>
        </is>
      </c>
      <c r="D142" s="70" t="inlineStr">
        <is>
          <t>TSS service research lead</t>
        </is>
      </c>
      <c r="E142" s="70" t="inlineStr">
        <is>
          <t>Lead; coverage not evidenced</t>
        </is>
      </c>
      <c r="F142" s="70" t="inlineStr">
        <is>
          <t>SRC-118; SRC-117; SRC-127; SRC-017; SRC-054</t>
        </is>
      </c>
      <c r="G142" s="71"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H142" s="70" t="inlineStr">
        <is>
          <t>No USCG VTS is established for this area in 33 CFR 161 Subpart C / Table 1 to 161.12(c), and NAVCEN's VTS list (12 services) does not include one; neither source states it is exhaustive for all VTS types, so not recorded as Confirmed absent. Lead: the Maritime Exchange for the Delaware River and Bay (a trade association) receives vessel position/ETA information via its Cape Henlopen station, per search snippets (not fetched); it is not a USCG VTS.</t>
        </is>
      </c>
    </row>
    <row r="143" ht="60" customHeight="1" s="63">
      <c r="A143" s="70" t="inlineStr">
        <is>
          <t>LNK-0137</t>
        </is>
      </c>
      <c r="B143" s="70" t="inlineStr">
        <is>
          <t>TSS-0166</t>
        </is>
      </c>
      <c r="C143" s="70" t="inlineStr">
        <is>
          <t>SRS-027</t>
        </is>
      </c>
      <c r="D143" s="70" t="inlineStr">
        <is>
          <t>TSS associated with reporting scheme</t>
        </is>
      </c>
      <c r="E143" s="70" t="inlineStr">
        <is>
          <t>Stage 4 first pass: primary evidence</t>
        </is>
      </c>
      <c r="F143" s="70" t="inlineStr">
        <is>
          <t>SRC-118; SRC-117; SRC-127; SRC-054</t>
        </is>
      </c>
      <c r="G143" s="71" t="inlineStr">
        <is>
          <t>https://www.ecfr.gov/api/versioner/v1/full/2026-09-01/title-33.xml?part=167
https://www.ecfr.gov/api/versioner/v1/full/2026-09-01/title-33.xml?part=161
https://www.ecfr.gov/api/versioner/v1/full/2026-09-01/title-33.xml?part=169
https://www.transportstyrelsen.se/globalassets/global/sjofart/dokument/sjotrafik_dok/imo_colreg.2_cirkular.pdf?id=58526</t>
        </is>
      </c>
      <c r="H143" s="70" t="inlineStr">
        <is>
          <t>33 CFR 161 VMRS Buzzards Bay covers waters east and north of the line Sakonnet Point, Buzzards Bay Entrance Light, Cuttyhunk Island. The Buzzards Bay approach separation zone ends at 41°21.80′N 71°07.10′W, about 3.5 NM south of that line (own calculation), so the VMRS applies in the waters the lane leads into, not in the TSS. Not applicable to the Narragansett approach. WHALESNORTH does not extend this far west.</t>
        </is>
      </c>
    </row>
    <row r="144" ht="60" customHeight="1" s="63">
      <c r="A144" s="70" t="inlineStr">
        <is>
          <t>LNK-0138</t>
        </is>
      </c>
      <c r="B144" s="70" t="inlineStr">
        <is>
          <t>TSS-0167</t>
        </is>
      </c>
      <c r="C144" s="70" t="inlineStr">
        <is>
          <t>SRS-025</t>
        </is>
      </c>
      <c r="D144" s="70" t="inlineStr">
        <is>
          <t>TSS associated with reporting scheme</t>
        </is>
      </c>
      <c r="E144" s="70" t="inlineStr">
        <is>
          <t>Stage 4 first pass: primary evidence</t>
        </is>
      </c>
      <c r="F144" s="70" t="inlineStr">
        <is>
          <t>SRC-118; SRC-117; SRC-127; SRC-017; SRC-054</t>
        </is>
      </c>
      <c r="G144" s="71"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H144" s="70" t="inlineStr">
        <is>
          <t>WHALESNORTH (33 CFR 169.105) covers Massachusetts Bay and the Great South Channel down to 41°00′N. From the 167.76/167.77 coordinates, the Boston precautionary area and the lanes from 42°20′N down to 41°00′N lie inside the area (own geometry check); the southern part and the junction precautionary area (south of 41°00′N) are outside. Year-round system; self-propelled ships of 300 GT or more report on entry.</t>
        </is>
      </c>
    </row>
    <row r="145" ht="60" customHeight="1" s="63">
      <c r="A145" s="70" t="inlineStr">
        <is>
          <t>LNK-0139</t>
        </is>
      </c>
      <c r="B145" s="70" t="inlineStr">
        <is>
          <t>TSS-0169</t>
        </is>
      </c>
      <c r="C145" s="70" t="inlineStr">
        <is>
          <t>VTS-052</t>
        </is>
      </c>
      <c r="D145" s="70" t="inlineStr">
        <is>
          <t>TSS associated with service</t>
        </is>
      </c>
      <c r="E145" s="70" t="inlineStr">
        <is>
          <t>Stage 4 first pass: primary evidence</t>
        </is>
      </c>
      <c r="F145" s="70" t="inlineStr">
        <is>
          <t>SRC-116; SRC-129; SRC-130; SRC-131; SRC-054; SRC-128; SRC-136</t>
        </is>
      </c>
      <c r="G145" s="71"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H145" s="70" t="inlineStr">
        <is>
          <t>Bay of Fundy Local Eastern VTS Zone (SOR/2025-275 Sch. 3 item 7). RAMN Part 3 calling-in points for 'Fundy Traffic' include 'Southwest entrance to traffic separation scheme' (1A/1B), entrance/exit (4E) and north exit/entrance (5A/5B), so the TSS lies within the zone.</t>
        </is>
      </c>
    </row>
    <row r="146" ht="60" customHeight="1" s="63">
      <c r="A146" s="70" t="inlineStr">
        <is>
          <t>LNK-0140</t>
        </is>
      </c>
      <c r="B146" s="70" t="inlineStr">
        <is>
          <t>TSS-0170</t>
        </is>
      </c>
      <c r="C146" s="70" t="inlineStr">
        <is>
          <t>VTS-053</t>
        </is>
      </c>
      <c r="D146" s="70" t="inlineStr">
        <is>
          <t>TSS associated with service</t>
        </is>
      </c>
      <c r="E146" s="70" t="inlineStr">
        <is>
          <t>Stage 4 first pass: primary evidence</t>
        </is>
      </c>
      <c r="F146" s="70" t="inlineStr">
        <is>
          <t>SRC-116; SRC-129; SRC-130; SRC-131; SRC-054; SRC-128; SRC-136</t>
        </is>
      </c>
      <c r="G146" s="71"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H146" s="70" t="inlineStr">
        <is>
          <t>Strait of Canso and Eastern Approaches Local Eastern VTS Zone (SOR/2025-275 Sch. 3 item 5), bounded seaward by the territorial sea limit. RAMN Table 3-24 'Canso Traffic' calling-in points include 'Entrance to inbound traffic lane' (1A, 1C), 'Exit from outbound traffic lane' (1B, 1D, 1E) and lane points 2A/2B, 3A/3B, so the TSS is within or at the zone boundary.</t>
        </is>
      </c>
    </row>
    <row r="147" ht="60" customHeight="1" s="63">
      <c r="A147" s="70" t="inlineStr">
        <is>
          <t>LNK-0141</t>
        </is>
      </c>
      <c r="B147" s="70" t="inlineStr">
        <is>
          <t>SRS-009</t>
        </is>
      </c>
      <c r="C147" s="70" t="inlineStr">
        <is>
          <t>VTS-021</t>
        </is>
      </c>
      <c r="D147" s="70" t="inlineStr">
        <is>
          <t>Reporting system served by</t>
        </is>
      </c>
      <c r="E147" s="70" t="inlineStr">
        <is>
          <t>Stage 4 first pass: primary evidence</t>
        </is>
      </c>
      <c r="F147" s="70" t="inlineStr">
        <is>
          <t>SRC-039; SRC-040; SRC-042</t>
        </is>
      </c>
      <c r="G147" s="71" t="inlineStr">
        <is>
          <t>https://wwwcdn.imo.org/localresources/en/KnowledgeCentre/IndexofIMOResolutions/MSCResolutions/MSC.52(66).pdf
https://wwwcdn.imo.org/localresources/en/KnowledgeCentre/IndexofIMOResolutions/MSCResolutions/MSC.251(83).pdf
https://www.statistiques.developpement-durable.gouv.fr/edition-numerique/chiffres-cles-mer-littoral/18-surveillance-de-la-navigation-maritime</t>
        </is>
      </c>
      <c r="H147" s="70" t="inlineStr">
        <is>
          <t>Does not determine the number of guide entries.</t>
        </is>
      </c>
    </row>
    <row r="148" ht="60" customHeight="1" s="63">
      <c r="A148" s="70" t="inlineStr">
        <is>
          <t>LNK-0142</t>
        </is>
      </c>
      <c r="B148" s="70" t="inlineStr">
        <is>
          <t>SRS-010</t>
        </is>
      </c>
      <c r="C148" s="70" t="inlineStr">
        <is>
          <t>VTS-022</t>
        </is>
      </c>
      <c r="D148" s="70" t="inlineStr">
        <is>
          <t>Reporting system served by</t>
        </is>
      </c>
      <c r="E148" s="70" t="inlineStr">
        <is>
          <t>Stage 4 first pass: primary evidence</t>
        </is>
      </c>
      <c r="F148" s="70" t="inlineStr">
        <is>
          <t>SRC-043</t>
        </is>
      </c>
      <c r="G148" s="71" t="inlineStr">
        <is>
          <t>https://wwwcdn.imo.org/localresources/en/KnowledgeCentre/IndexofIMOResolutions/MSCResolutions/MSC.63(67).pdf</t>
        </is>
      </c>
      <c r="H148" s="70" t="inlineStr">
        <is>
          <t>Does not determine the number of guide entries.</t>
        </is>
      </c>
    </row>
    <row r="149" ht="60" customHeight="1" s="63">
      <c r="A149" s="70" t="inlineStr">
        <is>
          <t>LNK-0143</t>
        </is>
      </c>
      <c r="B149" s="70" t="inlineStr">
        <is>
          <t>SRS-011</t>
        </is>
      </c>
      <c r="C149" s="70" t="inlineStr">
        <is>
          <t>VTS-023</t>
        </is>
      </c>
      <c r="D149" s="70" t="inlineStr">
        <is>
          <t>Reporting system served by</t>
        </is>
      </c>
      <c r="E149" s="70" t="inlineStr">
        <is>
          <t>Stage 4 first pass: primary evidence</t>
        </is>
      </c>
      <c r="F149" s="70" t="inlineStr">
        <is>
          <t>SRC-048</t>
        </is>
      </c>
      <c r="G149" s="71" t="inlineStr">
        <is>
          <t>https://wwwcdn.imo.org/localresources/en/KnowledgeCentre/IndexofIMOResolutions/MSCResolutions/MSC.278(85).pdf</t>
        </is>
      </c>
      <c r="H149" s="70" t="inlineStr">
        <is>
          <t>Does not determine the number of guide entries.</t>
        </is>
      </c>
    </row>
    <row r="150" ht="60" customHeight="1" s="63">
      <c r="A150" s="70" t="inlineStr">
        <is>
          <t>LNK-0144</t>
        </is>
      </c>
      <c r="B150" s="70" t="inlineStr">
        <is>
          <t>SRS-012</t>
        </is>
      </c>
      <c r="C150" s="70" t="inlineStr">
        <is>
          <t>VTS-024</t>
        </is>
      </c>
      <c r="D150" s="70" t="inlineStr">
        <is>
          <t>Reporting system served by</t>
        </is>
      </c>
      <c r="E150" s="70" t="inlineStr">
        <is>
          <t>Stage 4 first pass: primary evidence</t>
        </is>
      </c>
      <c r="F150" s="70" t="inlineStr">
        <is>
          <t>SRC-052</t>
        </is>
      </c>
      <c r="G150" s="71" t="inlineStr">
        <is>
          <t>https://wwwcdn.imo.org/localresources/en/KnowledgeCentre/IndexofIMOResolutions/MSCResolutions/MSC.213(81).pdf</t>
        </is>
      </c>
      <c r="H150" s="70" t="inlineStr">
        <is>
          <t>Does not determine the number of guide entries.</t>
        </is>
      </c>
    </row>
    <row r="151" ht="60" customHeight="1" s="63">
      <c r="A151" s="70" t="inlineStr">
        <is>
          <t>LNK-0145</t>
        </is>
      </c>
      <c r="B151" s="70" t="inlineStr">
        <is>
          <t>SRS-013</t>
        </is>
      </c>
      <c r="C151" s="70" t="inlineStr">
        <is>
          <t>VTS-024</t>
        </is>
      </c>
      <c r="D151" s="70" t="inlineStr">
        <is>
          <t>Reporting system served by</t>
        </is>
      </c>
      <c r="E151" s="70" t="inlineStr">
        <is>
          <t>Stage 4 first pass: primary evidence</t>
        </is>
      </c>
      <c r="F151" s="70" t="inlineStr">
        <is>
          <t>SRC-051</t>
        </is>
      </c>
      <c r="G151" s="71" t="inlineStr">
        <is>
          <t>https://cimrc.shmtu.edu.cn/_upload/article/files/63/dc/35c66be74d12873254dc88a2ef00/8c6a3c5f-5a85-4450-980a-5534de9fcd0a.pdf</t>
        </is>
      </c>
      <c r="H151" s="70" t="inlineStr">
        <is>
          <t>Does not determine the number of guide entries.</t>
        </is>
      </c>
    </row>
    <row r="152" ht="60" customHeight="1" s="63">
      <c r="A152" s="70" t="inlineStr">
        <is>
          <t>LNK-0146</t>
        </is>
      </c>
      <c r="B152" s="70" t="inlineStr">
        <is>
          <t>SRS-014</t>
        </is>
      </c>
      <c r="C152" s="70" t="inlineStr">
        <is>
          <t>VTS-020</t>
        </is>
      </c>
      <c r="D152" s="70" t="inlineStr">
        <is>
          <t>Reporting system served by</t>
        </is>
      </c>
      <c r="E152" s="70" t="inlineStr">
        <is>
          <t>Stage 4 first pass: primary evidence</t>
        </is>
      </c>
      <c r="F152" s="70" t="inlineStr">
        <is>
          <t>SRC-036; SRC-028</t>
        </is>
      </c>
      <c r="G152" s="71" t="inlineStr">
        <is>
          <t>https://kustwacht.nl/en/merchant-shipping/advice-for-container-ships-near-west-frisian-islands/
https://www.isesassociation.com/wp-content/uploads/2024/12/MSC_109_Summary_Report.pdf</t>
        </is>
      </c>
      <c r="H152" s="70" t="inlineStr">
        <is>
          <t>Does not determine the number of guide entries.</t>
        </is>
      </c>
    </row>
    <row r="153" ht="60" customHeight="1" s="63">
      <c r="A153" s="70" t="inlineStr">
        <is>
          <t>LNK-0147</t>
        </is>
      </c>
      <c r="B153" s="70" t="inlineStr">
        <is>
          <t>SRS-015</t>
        </is>
      </c>
      <c r="C153" s="70" t="inlineStr">
        <is>
          <t>VTS-025</t>
        </is>
      </c>
      <c r="D153" s="70" t="inlineStr">
        <is>
          <t>Reporting system served by</t>
        </is>
      </c>
      <c r="E153" s="70" t="inlineStr">
        <is>
          <t>Stage 4 first pass: primary evidence</t>
        </is>
      </c>
      <c r="F153" s="70" t="inlineStr">
        <is>
          <t>SRC-055; SRC-059; SRC-056</t>
        </is>
      </c>
      <c r="G153" s="71" t="inlineStr">
        <is>
          <t>https://wwwcdn.imo.org/localresources/en/KnowledgeCentre/IndexofIMOResolutions/MSCResolutions/MSC.300(87).pdf
https://transportstyrelsen.se/globalassets/global/sjofart/dokument/sjotrafik_dok/mandatory-and-recommended-srs.pdf
https://www.transportes.gob.es/recursos_mfom/comodin/recursos/06_los_dst_autopistas_del_mar.pdf</t>
        </is>
      </c>
      <c r="H153" s="70" t="inlineStr">
        <is>
          <t>Does not determine the number of guide entries.</t>
        </is>
      </c>
    </row>
    <row r="154" ht="60" customHeight="1" s="63">
      <c r="A154" s="70" t="inlineStr">
        <is>
          <t>LNK-0148</t>
        </is>
      </c>
      <c r="B154" s="70" t="inlineStr">
        <is>
          <t>SRS-015</t>
        </is>
      </c>
      <c r="C154" s="70" t="inlineStr">
        <is>
          <t>VTS-026</t>
        </is>
      </c>
      <c r="D154" s="70" t="inlineStr">
        <is>
          <t>Reporting system served by</t>
        </is>
      </c>
      <c r="E154" s="70" t="inlineStr">
        <is>
          <t>Stage 4 first pass: primary evidence</t>
        </is>
      </c>
      <c r="F154" s="70" t="inlineStr">
        <is>
          <t>SRC-055; SRC-059; SRC-056</t>
        </is>
      </c>
      <c r="G154" s="71" t="inlineStr">
        <is>
          <t>https://wwwcdn.imo.org/localresources/en/KnowledgeCentre/IndexofIMOResolutions/MSCResolutions/MSC.300(87).pdf
https://transportstyrelsen.se/globalassets/global/sjofart/dokument/sjotrafik_dok/mandatory-and-recommended-srs.pdf
https://www.transportes.gob.es/recursos_mfom/comodin/recursos/06_los_dst_autopistas_del_mar.pdf</t>
        </is>
      </c>
      <c r="H154" s="70" t="inlineStr">
        <is>
          <t>Does not determine the number of guide entries.</t>
        </is>
      </c>
    </row>
    <row r="155" ht="60" customHeight="1" s="63">
      <c r="A155" s="70" t="inlineStr">
        <is>
          <t>LNK-0149</t>
        </is>
      </c>
      <c r="B155" s="70" t="inlineStr">
        <is>
          <t>SRS-016</t>
        </is>
      </c>
      <c r="C155" s="70" t="inlineStr">
        <is>
          <t>VTS-032</t>
        </is>
      </c>
      <c r="D155" s="70" t="inlineStr">
        <is>
          <t>Reporting system served by</t>
        </is>
      </c>
      <c r="E155" s="70" t="inlineStr">
        <is>
          <t>Stage 4 first pass: primary evidence</t>
        </is>
      </c>
      <c r="F155" s="70" t="inlineStr">
        <is>
          <t>SRC-058; SRC-059; SRC-062; SRC-065</t>
        </is>
      </c>
      <c r="G155" s="71" t="inlineStr">
        <is>
          <t>https://wwwcdn.imo.org/localresources/en/KnowledgeCentre/IndexofIMOResolutions/MSCResolutions/MSC.598(111).pdf
https://transportstyrelsen.se/globalassets/global/sjofart/dokument/sjotrafik_dok/mandatory-and-recommended-srs.pdf
https://www.guardiacostiera.gov.it/portale/documents/d/guest/en_venezia_manuale_utentevts
https://www.hhi.hr/Portals/0/adam/HHI/a14_Qn4yJECeVbpwF_KLag/CouponFiles/VTS_RS_2015.pdf</t>
        </is>
      </c>
      <c r="H155" s="70" t="inlineStr">
        <is>
          <t>Does not determine the number of guide entries.</t>
        </is>
      </c>
    </row>
    <row r="156" ht="60" customHeight="1" s="63">
      <c r="A156" s="70" t="inlineStr">
        <is>
          <t>LNK-0150</t>
        </is>
      </c>
      <c r="B156" s="70" t="inlineStr">
        <is>
          <t>SRS-016</t>
        </is>
      </c>
      <c r="C156" s="70" t="inlineStr">
        <is>
          <t>VTS-031</t>
        </is>
      </c>
      <c r="D156" s="70" t="inlineStr">
        <is>
          <t>Reporting system served by</t>
        </is>
      </c>
      <c r="E156" s="70" t="inlineStr">
        <is>
          <t>Stage 4 first pass: primary evidence</t>
        </is>
      </c>
      <c r="F156" s="70" t="inlineStr">
        <is>
          <t>SRC-058; SRC-059; SRC-062; SRC-065</t>
        </is>
      </c>
      <c r="G156" s="71" t="inlineStr">
        <is>
          <t>https://wwwcdn.imo.org/localresources/en/KnowledgeCentre/IndexofIMOResolutions/MSCResolutions/MSC.598(111).pdf
https://transportstyrelsen.se/globalassets/global/sjofart/dokument/sjotrafik_dok/mandatory-and-recommended-srs.pdf
https://www.guardiacostiera.gov.it/portale/documents/d/guest/en_venezia_manuale_utentevts
https://www.hhi.hr/Portals/0/adam/HHI/a14_Qn4yJECeVbpwF_KLag/CouponFiles/VTS_RS_2015.pdf</t>
        </is>
      </c>
      <c r="H156" s="70" t="inlineStr">
        <is>
          <t>Does not determine the number of guide entries.</t>
        </is>
      </c>
    </row>
    <row r="157" ht="60" customHeight="1" s="63">
      <c r="A157" s="70" t="inlineStr">
        <is>
          <t>LNK-0151</t>
        </is>
      </c>
      <c r="B157" s="70" t="inlineStr">
        <is>
          <t>SRS-016</t>
        </is>
      </c>
      <c r="C157" s="70" t="inlineStr">
        <is>
          <t>VTS-030</t>
        </is>
      </c>
      <c r="D157" s="70" t="inlineStr">
        <is>
          <t>Reporting system served by</t>
        </is>
      </c>
      <c r="E157" s="70" t="inlineStr">
        <is>
          <t>Stage 4 first pass: primary evidence</t>
        </is>
      </c>
      <c r="F157" s="70" t="inlineStr">
        <is>
          <t>SRC-058; SRC-059; SRC-062; SRC-065</t>
        </is>
      </c>
      <c r="G157" s="71" t="inlineStr">
        <is>
          <t>https://wwwcdn.imo.org/localresources/en/KnowledgeCentre/IndexofIMOResolutions/MSCResolutions/MSC.598(111).pdf
https://transportstyrelsen.se/globalassets/global/sjofart/dokument/sjotrafik_dok/mandatory-and-recommended-srs.pdf
https://www.guardiacostiera.gov.it/portale/documents/d/guest/en_venezia_manuale_utentevts
https://www.hhi.hr/Portals/0/adam/HHI/a14_Qn4yJECeVbpwF_KLag/CouponFiles/VTS_RS_2015.pdf</t>
        </is>
      </c>
      <c r="H157" s="70" t="inlineStr">
        <is>
          <t>Does not determine the number of guide entries.</t>
        </is>
      </c>
    </row>
    <row r="158" ht="60" customHeight="1" s="63">
      <c r="A158" s="70" t="inlineStr">
        <is>
          <t>LNK-0152</t>
        </is>
      </c>
      <c r="B158" s="70" t="inlineStr">
        <is>
          <t>SRS-016</t>
        </is>
      </c>
      <c r="C158" s="70" t="inlineStr">
        <is>
          <t>VTS-033</t>
        </is>
      </c>
      <c r="D158" s="70" t="inlineStr">
        <is>
          <t>Reporting system served by</t>
        </is>
      </c>
      <c r="E158" s="70" t="inlineStr">
        <is>
          <t>Stage 4 first pass: primary evidence</t>
        </is>
      </c>
      <c r="F158" s="70" t="inlineStr">
        <is>
          <t>SRC-058; SRC-059; SRC-062; SRC-065</t>
        </is>
      </c>
      <c r="G158" s="71" t="inlineStr">
        <is>
          <t>https://wwwcdn.imo.org/localresources/en/KnowledgeCentre/IndexofIMOResolutions/MSCResolutions/MSC.598(111).pdf
https://transportstyrelsen.se/globalassets/global/sjofart/dokument/sjotrafik_dok/mandatory-and-recommended-srs.pdf
https://www.guardiacostiera.gov.it/portale/documents/d/guest/en_venezia_manuale_utentevts
https://www.hhi.hr/Portals/0/adam/HHI/a14_Qn4yJECeVbpwF_KLag/CouponFiles/VTS_RS_2015.pdf</t>
        </is>
      </c>
      <c r="H158" s="70" t="inlineStr">
        <is>
          <t>Does not determine the number of guide entries.</t>
        </is>
      </c>
    </row>
    <row r="159" ht="60" customHeight="1" s="63">
      <c r="A159" s="70" t="inlineStr">
        <is>
          <t>LNK-0153</t>
        </is>
      </c>
      <c r="B159" s="70" t="inlineStr">
        <is>
          <t>SRS-017</t>
        </is>
      </c>
      <c r="C159" s="70" t="inlineStr">
        <is>
          <t>VTS-034</t>
        </is>
      </c>
      <c r="D159" s="70" t="inlineStr">
        <is>
          <t>Reporting system served by</t>
        </is>
      </c>
      <c r="E159" s="70" t="inlineStr">
        <is>
          <t>Stage 4 first pass: primary evidence</t>
        </is>
      </c>
      <c r="F159" s="70" t="inlineStr">
        <is>
          <t>SRC-067; SRC-066; SRC-059; SRC-071; SRC-072; SRC-073</t>
        </is>
      </c>
      <c r="G159" s="71" t="inlineStr">
        <is>
          <t>https://www.resmigazete.gov.tr/eskiler/2019/08/20190815-18.pdf
https://kiyiemniyeti.gov.tr/vessel_traffic_and_pilotage_services
https://transportstyrelsen.se/globalassets/global/sjofart/dokument/sjotrafik_dok/mandatory-and-recommended-srs.pdf
https://denizcilik.uab.gov.tr/uploads/pages/yonerge-talimat/tbdtduy.pdf
https://wwwcdn.imo.org/localresources/en/KnowledgeCentre/IndexofIMOResolutions/AssemblyDocuments/A.827(19).pdf
https://media.ellinikahoaxes.gr/uploads/2021/03/TURK-BOGAZLARI-DENIZ-TRAFIK-DUZENI-YONETMELIGI-INGILIZCE-2019.pdf</t>
        </is>
      </c>
      <c r="H159" s="70" t="inlineStr">
        <is>
          <t>Does not determine the number of guide entries.</t>
        </is>
      </c>
    </row>
    <row r="160" ht="60" customHeight="1" s="63">
      <c r="A160" s="70" t="inlineStr">
        <is>
          <t>LNK-0154</t>
        </is>
      </c>
      <c r="B160" s="70" t="inlineStr">
        <is>
          <t>SRS-018</t>
        </is>
      </c>
      <c r="C160" s="70" t="inlineStr">
        <is>
          <t>VTS-027</t>
        </is>
      </c>
      <c r="D160" s="70" t="inlineStr">
        <is>
          <t>Reporting system served by</t>
        </is>
      </c>
      <c r="E160" s="70" t="inlineStr">
        <is>
          <t>Stage 4 first pass: primary evidence</t>
        </is>
      </c>
      <c r="F160" s="70" t="inlineStr">
        <is>
          <t>SRC-056</t>
        </is>
      </c>
      <c r="G160" s="71" t="inlineStr">
        <is>
          <t>https://www.transportes.gob.es/recursos_mfom/comodin/recursos/06_los_dst_autopistas_del_mar.pdf</t>
        </is>
      </c>
      <c r="H160" s="70" t="inlineStr">
        <is>
          <t>Does not determine the number of guide entries.</t>
        </is>
      </c>
    </row>
    <row r="161" ht="60" customHeight="1" s="63">
      <c r="A161" s="70" t="inlineStr">
        <is>
          <t>LNK-0155</t>
        </is>
      </c>
      <c r="B161" s="70" t="inlineStr">
        <is>
          <t>SRS-020</t>
        </is>
      </c>
      <c r="C161" s="70" t="inlineStr">
        <is>
          <t>VTS-041</t>
        </is>
      </c>
      <c r="D161" s="70" t="inlineStr">
        <is>
          <t>Reporting system served by</t>
        </is>
      </c>
      <c r="E161" s="70" t="inlineStr">
        <is>
          <t>Stage 4 first pass: primary evidence</t>
        </is>
      </c>
      <c r="F161" s="70" t="inlineStr">
        <is>
          <t>SRC-096</t>
        </is>
      </c>
      <c r="G161" s="71" t="inlineStr">
        <is>
          <t>https://hubla.dephub.go.id/home/post/read/7657/berlaku-1-juli-2020-kemenhub-jelaskan-sistem-pelaporan-kapal-di-tss-selat-sunda-dan-selat-lombok</t>
        </is>
      </c>
      <c r="H161" s="70" t="inlineStr">
        <is>
          <t>Does not determine the number of guide entries.</t>
        </is>
      </c>
    </row>
    <row r="162" ht="60" customHeight="1" s="63">
      <c r="A162" s="70" t="inlineStr">
        <is>
          <t>LNK-0156</t>
        </is>
      </c>
      <c r="B162" s="70" t="inlineStr">
        <is>
          <t>SRS-021</t>
        </is>
      </c>
      <c r="C162" s="70" t="inlineStr">
        <is>
          <t>VTS-042</t>
        </is>
      </c>
      <c r="D162" s="70" t="inlineStr">
        <is>
          <t>Reporting system served by</t>
        </is>
      </c>
      <c r="E162" s="70" t="inlineStr">
        <is>
          <t>Stage 4 first pass: primary evidence</t>
        </is>
      </c>
      <c r="F162" s="70" t="inlineStr">
        <is>
          <t>SRC-096</t>
        </is>
      </c>
      <c r="G162" s="71" t="inlineStr">
        <is>
          <t>https://hubla.dephub.go.id/home/post/read/7657/berlaku-1-juli-2020-kemenhub-jelaskan-sistem-pelaporan-kapal-di-tss-selat-sunda-dan-selat-lombok</t>
        </is>
      </c>
      <c r="H162" s="70" t="inlineStr">
        <is>
          <t>Does not determine the number of guide entries.</t>
        </is>
      </c>
    </row>
    <row r="163" ht="60" customHeight="1" s="63">
      <c r="A163" s="70" t="inlineStr">
        <is>
          <t>LNK-0157</t>
        </is>
      </c>
      <c r="B163" s="70" t="inlineStr">
        <is>
          <t>SRS-022</t>
        </is>
      </c>
      <c r="C163" s="70" t="inlineStr">
        <is>
          <t>VTS-045</t>
        </is>
      </c>
      <c r="D163" s="70" t="inlineStr">
        <is>
          <t>Reporting system served by</t>
        </is>
      </c>
      <c r="E163" s="70" t="inlineStr">
        <is>
          <t>Stage 4 first pass: primary evidence</t>
        </is>
      </c>
      <c r="F163" s="70" t="inlineStr">
        <is>
          <t>SRC-105</t>
        </is>
      </c>
      <c r="G163" s="71" t="inlineStr">
        <is>
          <t>https://wwwcdn.imo.org/localresources/en/KnowledgeCentre/IndexofIMOResolutions/MSCResolutions/MSC%20389%2094.pdf</t>
        </is>
      </c>
      <c r="H163" s="70" t="inlineStr">
        <is>
          <t>Does not determine the number of guide entries.</t>
        </is>
      </c>
    </row>
  </sheetData>
  <mergeCells count="2">
    <mergeCell ref="A1:H2"/>
    <mergeCell ref="A3:H4"/>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42"/>
  <sheetViews>
    <sheetView workbookViewId="0">
      <selection activeCell="A1" sqref="A1"/>
    </sheetView>
  </sheetViews>
  <sheetFormatPr baseColWidth="8" defaultRowHeight="15"/>
  <cols>
    <col width="13" customWidth="1" style="63" min="1" max="1"/>
    <col width="43" customWidth="1" style="63" min="2" max="2"/>
    <col width="36" customWidth="1" style="63" min="3" max="3"/>
    <col width="58" customWidth="1" style="63" min="4" max="4"/>
    <col width="35" customWidth="1" style="63" min="5" max="5"/>
    <col width="34" customWidth="1" style="63" min="6" max="6"/>
    <col width="60" customWidth="1" style="63" min="7" max="7"/>
    <col width="15" customWidth="1" style="63" min="8" max="8"/>
  </cols>
  <sheetData>
    <row r="1" ht="23" customHeight="1" s="63">
      <c r="A1" s="47" t="inlineStr">
        <is>
          <t>SOURCE REGISTER</t>
        </is>
      </c>
      <c r="B1" s="1" t="n"/>
      <c r="C1" s="1" t="n"/>
      <c r="D1" s="1" t="n"/>
      <c r="E1" s="1" t="n"/>
      <c r="F1" s="1" t="n"/>
      <c r="G1" s="1" t="n"/>
      <c r="H1" s="1" t="n"/>
    </row>
    <row r="2" ht="23" customHeight="1" s="63">
      <c r="A2" s="1" t="n"/>
      <c r="B2" s="1" t="n"/>
      <c r="C2" s="1" t="n"/>
      <c r="D2" s="1" t="n"/>
      <c r="E2" s="1" t="n"/>
      <c r="F2" s="1" t="n"/>
      <c r="G2" s="1" t="n"/>
      <c r="H2" s="1" t="n"/>
    </row>
    <row r="3" ht="21" customHeight="1" s="63">
      <c r="A3" s="15" t="inlineStr">
        <is>
          <t>Version 0.3 | 29 September 2026 | Sources. Reconciled register; see Audit Findings and Overview for limits.</t>
        </is>
      </c>
      <c r="B3" s="1" t="n"/>
      <c r="C3" s="1" t="n"/>
      <c r="D3" s="1" t="n"/>
      <c r="E3" s="1" t="n"/>
      <c r="F3" s="1" t="n"/>
      <c r="G3" s="1" t="n"/>
      <c r="H3" s="1" t="n"/>
    </row>
    <row r="4" ht="21" customHeight="1" s="63">
      <c r="A4" s="1" t="n"/>
      <c r="B4" s="1" t="n"/>
      <c r="C4" s="1" t="n"/>
      <c r="D4" s="1" t="n"/>
      <c r="E4" s="1" t="n"/>
      <c r="F4" s="1" t="n"/>
      <c r="G4" s="1" t="n"/>
      <c r="H4" s="1" t="n"/>
    </row>
    <row r="6" ht="34" customHeight="1" s="63">
      <c r="A6" s="65" t="inlineStr">
        <is>
          <t>Source ID</t>
        </is>
      </c>
      <c r="B6" s="65" t="inlineStr">
        <is>
          <t>Title</t>
        </is>
      </c>
      <c r="C6" s="65" t="inlineStr">
        <is>
          <t>Authority / origin</t>
        </is>
      </c>
      <c r="D6" s="65" t="inlineStr">
        <is>
          <t>URL</t>
        </is>
      </c>
      <c r="E6" s="65" t="inlineStr">
        <is>
          <t>Edition / date shown</t>
        </is>
      </c>
      <c r="F6" s="65" t="inlineStr">
        <is>
          <t>Evidence class</t>
        </is>
      </c>
      <c r="G6" s="65" t="inlineStr">
        <is>
          <t>Scope / limitation</t>
        </is>
      </c>
      <c r="H6" s="65" t="inlineStr">
        <is>
          <t>Accessed</t>
        </is>
      </c>
    </row>
    <row r="7" ht="60" customHeight="1" s="63">
      <c r="A7" s="72" t="inlineStr">
        <is>
          <t>SRC-001</t>
        </is>
      </c>
      <c r="B7" s="72" t="inlineStr">
        <is>
          <t>UKHO-labelled Notice 17: candidate extraction</t>
        </is>
      </c>
      <c r="C7" s="72" t="inlineStr">
        <is>
          <t>UKHO-labelled text; third-party host</t>
        </is>
      </c>
      <c r="D7" s="73" t="inlineStr">
        <is>
          <t>https://www.scribd.com/document/1014775753/1-1-IMO-Adopted-Traffic-Separation-Schemes-on-the-ADMIRALTY-Chart-Series</t>
        </is>
      </c>
      <c r="E7" s="72" t="inlineStr">
        <is>
          <t>Edition not visible</t>
        </is>
      </c>
      <c r="F7" s="72" t="inlineStr">
        <is>
          <t>Lead only</t>
        </is>
      </c>
      <c r="G7" s="72" t="inlineStr">
        <is>
          <t>Scheme labels recorded for research. Publication year, authenticity and current completeness require primary reconciliation.</t>
        </is>
      </c>
      <c r="H7" s="72" t="inlineStr">
        <is>
          <t>2026-09-29</t>
        </is>
      </c>
    </row>
    <row r="8" ht="60" customHeight="1" s="63">
      <c r="A8" s="70" t="inlineStr">
        <is>
          <t>SRC-002</t>
        </is>
      </c>
      <c r="B8" s="70" t="inlineStr">
        <is>
          <t>Annual Summary of Notices to Mariners (NP247)</t>
        </is>
      </c>
      <c r="C8" s="70" t="inlineStr">
        <is>
          <t>UK Hydrographic Office</t>
        </is>
      </c>
      <c r="D8" s="71" t="inlineStr">
        <is>
          <t>https://msi.admiralty.co.uk/NoticesToMariners/Annual</t>
        </is>
      </c>
      <c r="E8" s="70" t="inlineStr">
        <is>
          <t>2026 listing</t>
        </is>
      </c>
      <c r="F8" s="70" t="inlineStr">
        <is>
          <t>Primary source index</t>
        </is>
      </c>
      <c r="G8" s="70" t="inlineStr">
        <is>
          <t>Official 2026 Notice 17 index verified. Linked PDF could not be retrieved. No row-by-row comparison against the official list completed.</t>
        </is>
      </c>
      <c r="H8" s="70" t="inlineStr">
        <is>
          <t>2026-09-29</t>
        </is>
      </c>
    </row>
    <row r="9" ht="60" customHeight="1" s="63">
      <c r="A9" s="66" t="inlineStr">
        <is>
          <t>SRC-003</t>
        </is>
      </c>
      <c r="B9" s="66" t="inlineStr">
        <is>
          <t>Ships’ Routeing, 2025 Edition</t>
        </is>
      </c>
      <c r="C9" s="66" t="inlineStr">
        <is>
          <t>International Maritime Organization</t>
        </is>
      </c>
      <c r="D9" s="67" t="inlineStr">
        <is>
          <t>https://imo-epublications.org/content/books/9789280118353</t>
        </is>
      </c>
      <c r="E9" s="66" t="inlineStr">
        <is>
          <t>2025 edition</t>
        </is>
      </c>
      <c r="F9" s="66" t="inlineStr">
        <is>
          <t>Primary metadata only</t>
        </is>
      </c>
      <c r="G9" s="66" t="inlineStr">
        <is>
          <t>Catalogue identifies the 2025 edition, incorporating measures adopted before September 2025. Full contents and subsequent amendments not reconciled.</t>
        </is>
      </c>
      <c r="H9" s="66" t="inlineStr">
        <is>
          <t>2026-09-29</t>
        </is>
      </c>
    </row>
    <row r="10" ht="60" customHeight="1" s="63">
      <c r="A10" s="70" t="inlineStr">
        <is>
          <t>SRC-004</t>
        </is>
      </c>
      <c r="B10" s="70" t="inlineStr">
        <is>
          <t>Dover Strait crossings: Channel VTS</t>
        </is>
      </c>
      <c r="C10" s="70" t="inlineStr">
        <is>
          <t>Maritime and Coastguard Agency</t>
        </is>
      </c>
      <c r="D10" s="71" t="inlineStr">
        <is>
          <t>https://www.gov.uk/government/publications/dover-strait-crossings-channel-navigation-information-service/dover-strait-crossings-channel-navigation-information-service-cnis</t>
        </is>
      </c>
      <c r="E10" s="70" t="inlineStr">
        <is>
          <t>Updated 1 February 2024</t>
        </is>
      </c>
      <c r="F10" s="70" t="inlineStr">
        <is>
          <t>Primary service evidence</t>
        </is>
      </c>
      <c r="G10" s="70" t="inlineStr">
        <is>
          <t>Joint UK–France Channel VTS, operated from Dover and Gris-Nez; Dover Strait TSS and mandatory reporting area described.</t>
        </is>
      </c>
      <c r="H10" s="70" t="inlineStr">
        <is>
          <t>2026-09-29</t>
        </is>
      </c>
    </row>
    <row r="11" ht="79.5" customHeight="1" s="63">
      <c r="A11" s="66" t="inlineStr">
        <is>
          <t>SRC-005</t>
        </is>
      </c>
      <c r="B11" s="66" t="inlineStr">
        <is>
          <t>MGN 364 (M+F), Amendment 2</t>
        </is>
      </c>
      <c r="C11" s="66" t="inlineStr">
        <is>
          <t>Maritime and Coastguard Agency</t>
        </is>
      </c>
      <c r="D11" s="67" t="inlineStr">
        <is>
          <t>https://www.gov.uk/government/publications/mgn-364-mf-amendment-2-navigation-safety-traffic-separation-schemes-application-of-rule-10-and-navigation-in-the-dover-strait/mgn-364-mf-amendment-2-navigation-safety-traffic-separation-schemes-application-of-rule-10-and-navigation-in-the-dover-strait</t>
        </is>
      </c>
      <c r="E11" s="66" t="inlineStr">
        <is>
          <t>Amendment 2</t>
        </is>
      </c>
      <c r="F11" s="66" t="inlineStr">
        <is>
          <t>Primary scheme evidence</t>
        </is>
      </c>
      <c r="G11" s="66" t="inlineStr">
        <is>
          <t>Sections 3.5–3.11 identify Channel VTS and CALDOVREP. This inventory does not reproduce operational reporting instructions.</t>
        </is>
      </c>
      <c r="H11" s="66" t="inlineStr">
        <is>
          <t>2026-09-29</t>
        </is>
      </c>
    </row>
    <row r="12" ht="60" customHeight="1" s="63">
      <c r="A12" s="70" t="inlineStr">
        <is>
          <t>SRC-006</t>
        </is>
      </c>
      <c r="B12" s="70" t="inlineStr">
        <is>
          <t>Vessel Traffic Information System</t>
        </is>
      </c>
      <c r="C12" s="70" t="inlineStr">
        <is>
          <t>Maritime and Port Authority of Singapore</t>
        </is>
      </c>
      <c r="D12" s="71" t="inlineStr">
        <is>
          <t>https://www.mpa.gov.sg/port-marine-ops/operations/vessel-traffic-information-system</t>
        </is>
      </c>
      <c r="E12" s="70" t="inlineStr">
        <is>
          <t>Updated 6 August 2026</t>
        </is>
      </c>
      <c r="F12" s="70" t="inlineStr">
        <is>
          <t>Primary service and scheme evidence</t>
        </is>
      </c>
      <c r="G12" s="70" t="inlineStr">
        <is>
          <t>STRAITREP encompasses the Malacca–Singapore routeing system. Klang, Johor and Singapore VTS operate its sectors.</t>
        </is>
      </c>
      <c r="H12" s="70" t="inlineStr">
        <is>
          <t>2026-09-29</t>
        </is>
      </c>
    </row>
    <row r="13" ht="60" customHeight="1" s="63">
      <c r="A13" s="66" t="inlineStr">
        <is>
          <t>SRC-007</t>
        </is>
      </c>
      <c r="B13" s="66" t="inlineStr">
        <is>
          <t>STRAITREP operational areas</t>
        </is>
      </c>
      <c r="C13" s="66" t="inlineStr">
        <is>
          <t>Maritime and Port Authority of Singapore</t>
        </is>
      </c>
      <c r="D13" s="67" t="inlineStr">
        <is>
          <t>https://www.mpa.gov.sg/port-marine-ops/operations/vessel-traffic-information-system/operational-areas</t>
        </is>
      </c>
      <c r="E13" s="66" t="inlineStr">
        <is>
          <t>Updated 6 August 2026</t>
        </is>
      </c>
      <c r="F13" s="66" t="inlineStr">
        <is>
          <t>Primary sector evidence</t>
        </is>
      </c>
      <c r="G13" s="66" t="inlineStr">
        <is>
          <t>Table assigns sectors 1–5 to Klang, 6 to Johor and 7–9 to Singapore. Individual TSS segment boundaries not reconciled.</t>
        </is>
      </c>
      <c r="H13" s="66" t="inlineStr">
        <is>
          <t>2026-09-29</t>
        </is>
      </c>
    </row>
    <row r="14" ht="60" customHeight="1" s="63">
      <c r="A14" s="70" t="inlineStr">
        <is>
          <t>SRC-008</t>
        </is>
      </c>
      <c r="B14" s="70" t="inlineStr">
        <is>
          <t>BELTREP: Reporting Procedures</t>
        </is>
      </c>
      <c r="C14" s="70" t="inlineStr">
        <is>
          <t>Danish Defence / Royal Danish Navy</t>
        </is>
      </c>
      <c r="D14" s="71" t="inlineStr">
        <is>
          <t>https://www.forsvaret.dk/da/organisation/soevaernet/civile-opgaver/beltrep/</t>
        </is>
      </c>
      <c r="E14" s="70" t="inlineStr">
        <is>
          <t>Undated live page</t>
        </is>
      </c>
      <c r="F14" s="70" t="inlineStr">
        <is>
          <t>Primary service and scheme evidence</t>
        </is>
      </c>
      <c r="G14" s="70" t="inlineStr">
        <is>
          <t>BELTREP is a mandatory reporting system operated by Great Belt VTS.</t>
        </is>
      </c>
      <c r="H14" s="70" t="inlineStr">
        <is>
          <t>2026-09-29</t>
        </is>
      </c>
    </row>
    <row r="15" ht="60" customHeight="1" s="63">
      <c r="A15" s="66" t="inlineStr">
        <is>
          <t>SRC-009</t>
        </is>
      </c>
      <c r="B15" s="66" t="inlineStr">
        <is>
          <t>About SOUNDREP</t>
        </is>
      </c>
      <c r="C15" s="66" t="inlineStr">
        <is>
          <t>Swedish Maritime Administration</t>
        </is>
      </c>
      <c r="D15" s="67" t="inlineStr">
        <is>
          <t>https://www.sjofartsverket.se/en/services/maritime-traffic-information/soundrep/soundrep-information/about-soundrep/</t>
        </is>
      </c>
      <c r="E15" s="66" t="inlineStr">
        <is>
          <t>Updated 26 October 2022</t>
        </is>
      </c>
      <c r="F15" s="66" t="inlineStr">
        <is>
          <t>Primary service and scheme evidence</t>
        </is>
      </c>
      <c r="G15" s="66" t="inlineStr">
        <is>
          <t>Joint Swedish–Danish mandatory reporting scheme, operated by Sound VTS from Malmö.</t>
        </is>
      </c>
      <c r="H15" s="66" t="inlineStr">
        <is>
          <t>2026-09-29</t>
        </is>
      </c>
    </row>
    <row r="16" ht="60" customHeight="1" s="63">
      <c r="A16" s="70" t="inlineStr">
        <is>
          <t>SRC-010</t>
        </is>
      </c>
      <c r="B16" s="70" t="inlineStr">
        <is>
          <t>Ship reporting systems (SRS)</t>
        </is>
      </c>
      <c r="C16" s="70" t="inlineStr">
        <is>
          <t>Swedish Transport Agency</t>
        </is>
      </c>
      <c r="D16" s="71" t="inlineStr">
        <is>
          <t>https://www.transportstyrelsen.se/sv/sjofart/sjotrafik-och-hamnar/sjotrafikrapporteringssystem-srs/</t>
        </is>
      </c>
      <c r="E16" s="70" t="inlineStr">
        <is>
          <t>Updated 9 June 2026</t>
        </is>
      </c>
      <c r="F16" s="70" t="inlineStr">
        <is>
          <t>Primary regulatory overview</t>
        </is>
      </c>
      <c r="G16" s="70" t="inlineStr">
        <is>
          <t>Lists SOUNDREP, BELTREP, GOFREP and GDANREP. TSFS 2026:60 takes effect 1 October 2026, after this inventory date.</t>
        </is>
      </c>
      <c r="H16" s="70" t="inlineStr">
        <is>
          <t>2026-09-29</t>
        </is>
      </c>
    </row>
    <row r="17" ht="66" customHeight="1" s="63">
      <c r="A17" s="66" t="inlineStr">
        <is>
          <t>SRC-011</t>
        </is>
      </c>
      <c r="B17" s="66" t="inlineStr">
        <is>
          <t>GOFREP Area: Master's Guide</t>
        </is>
      </c>
      <c r="C17" s="66" t="inlineStr">
        <is>
          <t>Fintraffic</t>
        </is>
      </c>
      <c r="D17" s="67" t="inlineStr">
        <is>
          <t>https://mastersguide.fintraffic.fi/en/gofrep-area</t>
        </is>
      </c>
      <c r="E17" s="66" t="inlineStr">
        <is>
          <t>Undated live page</t>
        </is>
      </c>
      <c r="F17" s="66" t="inlineStr">
        <is>
          <t>Primary reporting-service evidence</t>
        </is>
      </c>
      <c r="G17" s="66" t="inlineStr">
        <is>
          <t>Canonical English Master's Guide checked. Names four central-report-line TSS. Replaces the earlier /sv/node/102 link. Does not substantiate the three restored eastern Gulf research leads.</t>
        </is>
      </c>
      <c r="H17" s="66" t="inlineStr">
        <is>
          <t>2026-09-29</t>
        </is>
      </c>
    </row>
    <row r="18" ht="60" customHeight="1" s="63">
      <c r="A18" s="70" t="inlineStr">
        <is>
          <t>SRC-012</t>
        </is>
      </c>
      <c r="B18" s="70" t="inlineStr">
        <is>
          <t>Monitoring international waters</t>
        </is>
      </c>
      <c r="C18" s="70" t="inlineStr">
        <is>
          <t>Fintraffic</t>
        </is>
      </c>
      <c r="D18" s="71" t="inlineStr">
        <is>
          <t>https://www.fintraffic.fi/sv/node/254</t>
        </is>
      </c>
      <c r="E18" s="70" t="inlineStr">
        <is>
          <t>Undated live page</t>
        </is>
      </c>
      <c r="F18" s="70" t="inlineStr">
        <is>
          <t>Primary association evidence</t>
        </is>
      </c>
      <c r="G18" s="70" t="inlineStr">
        <is>
          <t>Distinguishes GOFREP from VTS areas; identifies TSS near Hankoniemi, Porkkala, Kalbådagrund and Kõpu.</t>
        </is>
      </c>
      <c r="H18" s="70" t="inlineStr">
        <is>
          <t>2026-09-29</t>
        </is>
      </c>
    </row>
    <row r="19" ht="60" customHeight="1" s="63">
      <c r="A19" s="66" t="inlineStr">
        <is>
          <t>SRC-013</t>
        </is>
      </c>
      <c r="B19" s="66" t="inlineStr">
        <is>
          <t>Marine Order 63: Vessel reporting systems</t>
        </is>
      </c>
      <c r="C19" s="66" t="inlineStr">
        <is>
          <t>Australian Maritime Safety Authority</t>
        </is>
      </c>
      <c r="D19" s="67" t="inlineStr">
        <is>
          <t>https://www.amsa.gov.au/about/regulations-and-standards/marine-order-63-vessel-reporting-systems</t>
        </is>
      </c>
      <c r="E19" s="66" t="inlineStr">
        <is>
          <t>Marine Order 63 (2019); commenced 1 January 2020</t>
        </is>
      </c>
      <c r="F19" s="66" t="inlineStr">
        <is>
          <t>Primary regulatory overview</t>
        </is>
      </c>
      <c r="G19" s="66" t="inlineStr">
        <is>
          <t>Identifies mandatory REEFREP and separate MASTREP. REEFREP is retained as additional coverage outside this extracted TSS list.</t>
        </is>
      </c>
      <c r="H19" s="66" t="inlineStr">
        <is>
          <t>2026-09-29</t>
        </is>
      </c>
    </row>
    <row r="20" ht="60" customHeight="1" s="63">
      <c r="A20" s="70" t="inlineStr">
        <is>
          <t>SRC-014</t>
        </is>
      </c>
      <c r="B20" s="70" t="inlineStr">
        <is>
          <t>Vessel track data disclosure and dissemination policy</t>
        </is>
      </c>
      <c r="C20" s="70" t="inlineStr">
        <is>
          <t>Australian Maritime Safety Authority</t>
        </is>
      </c>
      <c r="D20" s="71" t="inlineStr">
        <is>
          <t>https://www.amsa.gov.au/safety-navigation/spatial-data/vessel-track-data-disclosure-and-dissemination-policy</t>
        </is>
      </c>
      <c r="E20" s="70" t="inlineStr">
        <is>
          <t>Updated 21 January 2021</t>
        </is>
      </c>
      <c r="F20" s="70" t="inlineStr">
        <is>
          <t>Primary background policy</t>
        </is>
      </c>
      <c r="G20" s="70" t="inlineStr">
        <is>
          <t>Historic policy distinguishes REEFVTS and REEFREP. Not used alone for present centre/sector configuration; use SRC-018.</t>
        </is>
      </c>
      <c r="H20" s="70" t="inlineStr">
        <is>
          <t>2026-09-29</t>
        </is>
      </c>
    </row>
    <row r="21" ht="60" customHeight="1" s="63">
      <c r="A21" s="66" t="inlineStr">
        <is>
          <t>SRC-015</t>
        </is>
      </c>
      <c r="B21" s="66" t="inlineStr">
        <is>
          <t>Vessel Traffic Service</t>
        </is>
      </c>
      <c r="C21" s="66" t="inlineStr">
        <is>
          <t>Danish Defence / Royal Danish Navy</t>
        </is>
      </c>
      <c r="D21" s="67" t="inlineStr">
        <is>
          <t>https://www.forsvaret.dk/da/organisation/soevaernet/nationalt-maritimt-operationscenter/vts/</t>
        </is>
      </c>
      <c r="E21" s="66" t="inlineStr">
        <is>
          <t>Updated 29 July 2026</t>
        </is>
      </c>
      <c r="F21" s="66" t="inlineStr">
        <is>
          <t>Primary service evidence</t>
        </is>
      </c>
      <c r="G21" s="66" t="inlineStr">
        <is>
          <t>Identifies VTS services in Great Belt, Sound and Fehmarnbelt, with distinct operating centres.</t>
        </is>
      </c>
      <c r="H21" s="66" t="inlineStr">
        <is>
          <t>2026-09-29</t>
        </is>
      </c>
    </row>
    <row r="22" ht="60" customHeight="1" s="63">
      <c r="A22" s="70" t="inlineStr">
        <is>
          <t>SRC-016</t>
        </is>
      </c>
      <c r="B22" s="70" t="inlineStr">
        <is>
          <t>Mandatory ship reporting systems and VTS</t>
        </is>
      </c>
      <c r="C22" s="70" t="inlineStr">
        <is>
          <t>Danish Emergency Management Agency</t>
        </is>
      </c>
      <c r="D22" s="71" t="inlineStr">
        <is>
          <t>https://www.brs.dk/da/om-os/organisation/sikre-farvande/obligatoriske-skibsmeldesystemer-msrs-og-skibstrafiktjenester-vts/</t>
        </is>
      </c>
      <c r="E22" s="70" t="inlineStr">
        <is>
          <t>Undated live page</t>
        </is>
      </c>
      <c r="F22" s="70" t="inlineStr">
        <is>
          <t>Primary service-status evidence</t>
        </is>
      </c>
      <c r="G22" s="70" t="inlineStr">
        <is>
          <t>Describes Fehmarnbelt VTS as temporary and voluntary. Confirm construction-phase extent and ending date.</t>
        </is>
      </c>
      <c r="H22" s="70" t="inlineStr">
        <is>
          <t>2026-09-29</t>
        </is>
      </c>
    </row>
    <row r="23" ht="60" customHeight="1" s="63">
      <c r="A23" s="66" t="inlineStr">
        <is>
          <t>SRC-017</t>
        </is>
      </c>
      <c r="B23" s="66" t="inlineStr">
        <is>
          <t>Vessel Traffic Services Locations</t>
        </is>
      </c>
      <c r="C23" s="66" t="inlineStr">
        <is>
          <t>United States Coast Guard Navigation Center</t>
        </is>
      </c>
      <c r="D23" s="67" t="inlineStr">
        <is>
          <t>https://www.navcen.uscg.gov/vessel-traffic-services-locations</t>
        </is>
      </c>
      <c r="E23" s="66" t="inlineStr">
        <is>
          <t>Live page; date not displayed</t>
        </is>
      </c>
      <c r="F23" s="66" t="inlineStr">
        <is>
          <t>Primary service and reporting evidence</t>
        </is>
      </c>
      <c r="G23" s="66" t="inlineStr">
        <is>
          <t>Detailed location sections identify the six restored US services and voluntary OVMRS. Nearby or offshore TSS coverage requires separate boundary checks.</t>
        </is>
      </c>
      <c r="H23" s="66" t="inlineStr">
        <is>
          <t>2026-09-29</t>
        </is>
      </c>
    </row>
    <row r="24" ht="60" customHeight="1" s="63">
      <c r="A24" s="70" t="inlineStr">
        <is>
          <t>SRC-018</t>
        </is>
      </c>
      <c r="B24" s="70" t="inlineStr">
        <is>
          <t>Great Barrier Reef and Torres Strait VTS (REEFVTS)</t>
        </is>
      </c>
      <c r="C24" s="70" t="inlineStr">
        <is>
          <t>Maritime Safety Queensland</t>
        </is>
      </c>
      <c r="D24" s="71" t="inlineStr">
        <is>
          <t>https://www.msq.qld.gov.au/shipping/reefvts</t>
        </is>
      </c>
      <c r="E24" s="70" t="inlineStr">
        <is>
          <t>Live operating-authority page</t>
        </is>
      </c>
      <c r="F24" s="70" t="inlineStr">
        <is>
          <t>Primary operational structure evidence</t>
        </is>
      </c>
      <c r="G24" s="70" t="inlineStr">
        <is>
          <t>Identifies Reef North/Reef South sectors and Townsville/Gladstone centres. Both centres can manage both sectors. Service identity does not establish a TSS link.</t>
        </is>
      </c>
      <c r="H24" s="70" t="inlineStr">
        <is>
          <t>2026-09-29</t>
        </is>
      </c>
    </row>
    <row r="25" ht="60" customHeight="1" s="63">
      <c r="A25" s="66" t="inlineStr">
        <is>
          <t>SRC-019</t>
        </is>
      </c>
      <c r="B25" s="66" t="inlineStr">
        <is>
          <t>VTS Zatoka Gdańska</t>
        </is>
      </c>
      <c r="C25" s="66" t="inlineStr">
        <is>
          <t>Maritime Office in Gdynia</t>
        </is>
      </c>
      <c r="D25" s="67" t="inlineStr">
        <is>
          <t>https://www.umgdy.gov.pl/en/marine-safety/vts-zatoka-gdanska-en/</t>
        </is>
      </c>
      <c r="E25" s="66" t="inlineStr">
        <is>
          <t>Updated 22 October 2024</t>
        </is>
      </c>
      <c r="F25" s="66" t="inlineStr">
        <is>
          <t>Primary service, scheme and component evidence</t>
        </is>
      </c>
      <c r="G25" s="66" t="inlineStr">
        <is>
          <t>Sections 'VTS area' and 'Traffic Separation Schemes' connect VTS, GDANREP and East/West TSS. Detailed current rules and coordinates remain for operational review.</t>
        </is>
      </c>
      <c r="H25" s="66" t="inlineStr">
        <is>
          <t>2026-09-29</t>
        </is>
      </c>
    </row>
    <row r="26" ht="66" customHeight="1" s="63">
      <c r="A26" s="70" t="inlineStr">
        <is>
          <t>SRC-020</t>
        </is>
      </c>
      <c r="B26" s="70" t="inlineStr">
        <is>
          <t>Resolution MSC.332(90): BELTREP amendments</t>
        </is>
      </c>
      <c r="C26" s="70" t="inlineStr">
        <is>
          <t>International Maritime Organization</t>
        </is>
      </c>
      <c r="D26" s="71" t="inlineStr">
        <is>
          <t>https://wwwcdn.imo.org/localresources/en/KnowledgeCentre/IndexofIMOResolutions/MSCResolutions/MSC.332(90).pdf</t>
        </is>
      </c>
      <c r="E26" s="70" t="inlineStr">
        <is>
          <t>Adopted 22 May 2012</t>
        </is>
      </c>
      <c r="F26" s="70" t="inlineStr">
        <is>
          <t>Primary adopted instrument; text checked</t>
        </is>
      </c>
      <c r="G26" s="70" t="inlineStr">
        <is>
          <t>Annex sections 2.1–2.2 and 6.2–6.4 identify Great Belt VTS and the Hatter Barn/Korsoer–Sprogoe TSS. Current service cross-checked using SRC-008/SRC-015. PDF image fetch failed; no chart geometry audited.</t>
        </is>
      </c>
      <c r="H26" s="70" t="inlineStr">
        <is>
          <t>2026-09-29</t>
        </is>
      </c>
    </row>
    <row r="27" ht="66" customHeight="1" s="63">
      <c r="A27" s="66" t="inlineStr">
        <is>
          <t>SRC-021</t>
        </is>
      </c>
      <c r="B27" s="66" t="inlineStr">
        <is>
          <t>Resolution MSC.314(88): SOUNDREP</t>
        </is>
      </c>
      <c r="C27" s="66" t="inlineStr">
        <is>
          <t>IMO; hosted by Swedish Maritime Administration</t>
        </is>
      </c>
      <c r="D27" s="67" t="inlineStr">
        <is>
          <t>https://www.sjofartsverket.se/globalassets/tjanster/sjotrafiktjanster/msc.31488.pdf</t>
        </is>
      </c>
      <c r="E27" s="66" t="inlineStr">
        <is>
          <t>Adopted 29 November 2010</t>
        </is>
      </c>
      <c r="F27" s="66" t="inlineStr">
        <is>
          <t>Primary adopted instrument; text checked</t>
        </is>
      </c>
      <c r="G27" s="66" t="inlineStr">
        <is>
          <t>Annex sections 6.2–6.3 name 'In the Sound' and 'Off Falsterbo'. Current service cross-checked with SRC-009/SRC-015. PDF image fetch failed; no chart geometry audited.</t>
        </is>
      </c>
      <c r="H27" s="66" t="inlineStr">
        <is>
          <t>2026-09-29</t>
        </is>
      </c>
    </row>
    <row r="28" ht="60" customHeight="1" s="63">
      <c r="A28" s="70" t="inlineStr">
        <is>
          <t>SRC-022</t>
        </is>
      </c>
      <c r="B28" s="70" t="inlineStr">
        <is>
          <t>Puget Sound Vessel Traffic Service</t>
        </is>
      </c>
      <c r="C28" s="70" t="inlineStr">
        <is>
          <t>United States Coast Guard</t>
        </is>
      </c>
      <c r="D28" s="71" t="inlineStr">
        <is>
          <t>https://www.pacificarea.uscg.mil/VTSPugetSound/</t>
        </is>
      </c>
      <c r="E28" s="70" t="inlineStr">
        <is>
          <t>Live page; date not displayed</t>
        </is>
      </c>
      <c r="F28" s="70" t="inlineStr">
        <is>
          <t>Legacy source locator; not reverified</t>
        </is>
      </c>
      <c r="G28" s="70" t="inlineStr">
        <is>
          <t>Preserved from the earlier v0.1 release for traceability. Not used as sole confirmation in v0.2.</t>
        </is>
      </c>
      <c r="H28" s="70" t="inlineStr">
        <is>
          <t>Not reverified in v0.2</t>
        </is>
      </c>
    </row>
    <row r="29" ht="60" customHeight="1" s="63">
      <c r="A29" s="66" t="inlineStr">
        <is>
          <t>SRC-023</t>
        </is>
      </c>
      <c r="B29" s="66" t="inlineStr">
        <is>
          <t>Mandatory and recommended SRS list</t>
        </is>
      </c>
      <c r="C29" s="66" t="inlineStr">
        <is>
          <t>Swedish Transport Agency</t>
        </is>
      </c>
      <c r="D29" s="67" t="inlineStr">
        <is>
          <t>https://www.transportstyrelsen.se/globalassets/global/sjofart/dokument/sjotrafik_dok/mandatory-and-recommended-srs.pdf</t>
        </is>
      </c>
      <c r="E29" s="66" t="inlineStr">
        <is>
          <t>Edition not established</t>
        </is>
      </c>
      <c r="F29" s="66" t="inlineStr">
        <is>
          <t>Legacy source locator; not reverified</t>
        </is>
      </c>
      <c r="G29" s="66" t="inlineStr">
        <is>
          <t>Preserved from the earlier v0.1 release for traceability. Not used as sole confirmation in v0.2.</t>
        </is>
      </c>
      <c r="H29" s="66" t="inlineStr">
        <is>
          <t>Not reverified in v0.2</t>
        </is>
      </c>
    </row>
    <row r="30" ht="60" customHeight="1" s="63">
      <c r="A30" s="66" t="inlineStr">
        <is>
          <t>SRC-024</t>
        </is>
      </c>
      <c r="B30" s="66" t="inlineStr">
        <is>
          <t>COLREG.2/Circ.59: New and amended existing traffic separation schemes</t>
        </is>
      </c>
      <c r="C30" s="66" t="inlineStr">
        <is>
          <t>IMO (third-party hosted copy, Shanghai Maritime University)</t>
        </is>
      </c>
      <c r="D30" s="67" t="inlineStr">
        <is>
          <t>https://cimrc.shmtu.edu.cn/_upload/article/files/63/dc/35c66be74d12873254dc88a2ef00/465d5392-0ba5-4f33-8e61-a48e3499b1b3.pdf</t>
        </is>
      </c>
      <c r="E30" s="66" t="inlineStr">
        <is>
          <t>31 October 2007</t>
        </is>
      </c>
      <c r="F30" s="66" t="inlineStr">
        <is>
          <t>Primary (Stage 4)</t>
        </is>
      </c>
      <c r="G30" s="66" t="inlineStr">
        <is>
          <t>Locator: para 1.4 and annex 4. Passage: Mandatory route for tankers from North Hinder to the German Bight and vice versa and to related traffic separation schemes Off Texel, Off Vlieland, Vlieland North and Vlieland Junction, Terschelling-German Bight and German Bight western approaches (amended schemes)</t>
        </is>
      </c>
      <c r="H30" s="66" t="inlineStr">
        <is>
          <t>2026-09-29</t>
        </is>
      </c>
    </row>
    <row r="31" ht="60" customHeight="1" s="63">
      <c r="A31" s="66" t="inlineStr">
        <is>
          <t>SRC-025</t>
        </is>
      </c>
      <c r="B31" s="66" t="inlineStr">
        <is>
          <t>COLREG.2/Circ.66: Amended traffic separation schemes</t>
        </is>
      </c>
      <c r="C31" s="66" t="inlineStr">
        <is>
          <t>IMO (third-party hosted copy, Vietnam Maritime Administration)</t>
        </is>
      </c>
      <c r="D31" s="67" t="inlineStr">
        <is>
          <t>https://www.vimawa.gov.vn/f/Circ%2066.pdf</t>
        </is>
      </c>
      <c r="E31" s="66" t="inlineStr">
        <is>
          <t>21 November 2014</t>
        </is>
      </c>
      <c r="F31" s="66" t="inlineStr">
        <is>
          <t>Primary (Stage 4)</t>
        </is>
      </c>
      <c r="G31" s="66" t="inlineStr">
        <is>
          <t>Locator: para 1.3, para 2, annex 3. Passage: The amended traffic separation schemes listed above and detailed in the annexes will be implemented at 0000 hours UTC on 1 June 2015</t>
        </is>
      </c>
      <c r="H31" s="66" t="inlineStr">
        <is>
          <t>2026-09-29</t>
        </is>
      </c>
    </row>
    <row r="32" ht="60" customHeight="1" s="63">
      <c r="A32" s="66" t="inlineStr">
        <is>
          <t>SRC-026</t>
        </is>
      </c>
      <c r="B32" s="66" t="inlineStr">
        <is>
          <t>COLREG.2/Circ.66/Corr.1: Amended traffic separation schemes, Corrigendum (Off Friesland)</t>
        </is>
      </c>
      <c r="C32" s="66" t="inlineStr">
        <is>
          <t>IMO (third-party hosted copy, Ministry of Development of Ukraine)</t>
        </is>
      </c>
      <c r="D32" s="67" t="inlineStr">
        <is>
          <t>https://mindev.gov.ua/storage/app/sites/1/uploaded-files/colreg2-circ66-corr1-corrigendum-secretariat.pdf</t>
        </is>
      </c>
      <c r="E32" s="66" t="inlineStr">
        <is>
          <t>20 May 2016</t>
        </is>
      </c>
      <c r="F32" s="66" t="inlineStr">
        <is>
          <t>Primary (Stage 4)</t>
        </is>
      </c>
      <c r="G32" s="66" t="inlineStr">
        <is>
          <t>Locator: annex: West Friesland scheme, North Friesland scheme, East Friesland scheme. Passage: approved corrections to the amended traffic separation schemes "Off Friesland" adopted at its ninety-fourth session (17 to 21 November 2014), as set out in the annex, replacing annex 3 of COLREG.2/Circ.66</t>
        </is>
      </c>
      <c r="H32" s="66" t="inlineStr">
        <is>
          <t>2026-09-29</t>
        </is>
      </c>
    </row>
    <row r="33" ht="60" customHeight="1" s="63">
      <c r="A33" s="66" t="inlineStr">
        <is>
          <t>SRC-027</t>
        </is>
      </c>
      <c r="B33" s="66" t="inlineStr">
        <is>
          <t>Traffic Separation Schemes (list of IMO routeing measures with adopting documents)</t>
        </is>
      </c>
      <c r="C33" s="66" t="inlineStr">
        <is>
          <t>Transportstyrelsen (Swedish Transport Agency)</t>
        </is>
      </c>
      <c r="D33" s="67" t="inlineStr">
        <is>
          <t>https://transportstyrelsen.se/globalassets/global/sjofart/dokument/sjotrafik_dok/ruttsystem.pdf</t>
        </is>
      </c>
      <c r="E33" s="66" t="inlineStr">
        <is>
          <t>2017-04-27 (sections dated 2017-04-27 and 2018-07-30)</t>
        </is>
      </c>
      <c r="F33" s="66" t="inlineStr">
        <is>
          <t>Supporting (Stage 4)</t>
        </is>
      </c>
      <c r="G33" s="66" t="inlineStr">
        <is>
          <t>Locator: Western European waters and North Sea pages. Passage: In the approaches to Ijmuiden Colreg.2/Circ.64 2012 MSC 91 2012 ... At Banco del Hoyo A.284(VIII) 1973</t>
        </is>
      </c>
      <c r="H33" s="66" t="inlineStr">
        <is>
          <t>2026-09-29</t>
        </is>
      </c>
    </row>
    <row r="34" ht="60" customHeight="1" s="63">
      <c r="A34" s="66" t="inlineStr">
        <is>
          <t>SRC-028</t>
        </is>
      </c>
      <c r="B34" s="66" t="inlineStr">
        <is>
          <t>Summary Report IMO Maritime Safety Committee (MSC 109)</t>
        </is>
      </c>
      <c r="C34" s="66" t="inlineStr">
        <is>
          <t>ISES Association (secondary summary)</t>
        </is>
      </c>
      <c r="D34" s="67" t="inlineStr">
        <is>
          <t>https://www.isesassociation.com/wp-content/uploads/2024/12/MSC_109_Summary_Report.pdf</t>
        </is>
      </c>
      <c r="E34" s="66" t="inlineStr">
        <is>
          <t>December 2024</t>
        </is>
      </c>
      <c r="F34" s="66" t="inlineStr">
        <is>
          <t>Lead only</t>
        </is>
      </c>
      <c r="G34" s="66" t="inlineStr">
        <is>
          <t>Locator: Ships' routeing outcomes. Passage: revised recommendation on navigation for containerships in traffic separation schemes Off Vlieland, Terschelling-German Bight, Off Friesland and German Bight western approach ... to be implemented from 1 July 2025</t>
        </is>
      </c>
      <c r="H34" s="66" t="inlineStr">
        <is>
          <t>2026-09-29</t>
        </is>
      </c>
    </row>
    <row r="35" ht="60" customHeight="1" s="63">
      <c r="A35" s="66" t="inlineStr">
        <is>
          <t>SRC-029</t>
        </is>
      </c>
      <c r="B35" s="66" t="inlineStr">
        <is>
          <t>Anlaufbedingungsverordnung (AnlBV), Anlage (zu § 1 Abs. 1)</t>
        </is>
      </c>
      <c r="C35" s="66" t="inlineStr">
        <is>
          <t>Bundesministerium der Justiz (gesetze-im-internet.de), German federal statute</t>
        </is>
      </c>
      <c r="D35" s="67" t="inlineStr">
        <is>
          <t>https://www.gesetze-im-internet.de/anlbv_2004/anlage.html</t>
        </is>
      </c>
      <c r="E35" s="66" t="inlineStr">
        <is>
          <t>Undated (consolidated text; original BGBl. I 2004, 301)</t>
        </is>
      </c>
      <c r="F35" s="66" t="inlineStr">
        <is>
          <t>Primary (Stage 4)</t>
        </is>
      </c>
      <c r="G35" s="66" t="inlineStr">
        <is>
          <t>Locator: Nr. 3.1, 5.1, 6 and 8. Passage: unabhängig davon, ob das Verkehrstrennungsgebiet „German Bight Western Approach“ benutzt wird, beim Passieren des Meridians 007° 10' E ... der Verkehrszentrale „German Bight Traffic“ über UKW-Sprechfunk (UKW-Kanal 79 oder 80)</t>
        </is>
      </c>
      <c r="H35" s="66" t="inlineStr">
        <is>
          <t>2026-09-29</t>
        </is>
      </c>
    </row>
    <row r="36" ht="60" customHeight="1" s="63">
      <c r="A36" s="66" t="inlineStr">
        <is>
          <t>SRC-030</t>
        </is>
      </c>
      <c r="B36" s="66" t="inlineStr">
        <is>
          <t>ELWIS: SeeSchStrO § 58 Schifffahrtspolizeiliche Meldungen, with Bekanntmachungen WSD Nordwest (19.1 to 19.4) and GDWS Außenstelle Nord (29.1)</t>
        </is>
      </c>
      <c r="C36" s="66" t="inlineStr">
        <is>
          <t>Generaldirektion Wasserstraßen und Schifffahrt (GDWS), ELWIS</t>
        </is>
      </c>
      <c r="D36" s="67" t="inlineStr">
        <is>
          <t>https://www.elwis.de/DE/Schifffahrtsrecht/Seeschifffahrtsrecht/SeeSchStrO/Achter-Abschnitt/58/58-node.html</t>
        </is>
      </c>
      <c r="E36" s="66" t="inlineStr">
        <is>
          <t>Undated</t>
        </is>
      </c>
      <c r="F36" s="66" t="inlineStr">
        <is>
          <t>Primary (Stage 4)</t>
        </is>
      </c>
      <c r="G36" s="66" t="inlineStr">
        <is>
          <t>Locator: Bekanntmachung 19.1.3 to 19.1.5, 19.2, 29.1.2 to 29.1.4. Passage: Reviereintrittsmeldung für Fahrzeuge, die das Verkehrstrennungsgebiet "Terschelling - German Bight" und die ihm zugeordnete Küstenverkehrszone befahren, beim Passieren der Leuchttonne "Borkumriff" über UKW Kanal 79 German Bight Traffic</t>
        </is>
      </c>
      <c r="H36" s="66" t="inlineStr">
        <is>
          <t>2026-09-29</t>
        </is>
      </c>
    </row>
    <row r="37" ht="60" customHeight="1" s="63">
      <c r="A37" s="66" t="inlineStr">
        <is>
          <t>SRC-031</t>
        </is>
      </c>
      <c r="B37" s="66" t="inlineStr">
        <is>
          <t>Verkehrszentralen (WSA Weser-Jade-Nordsee)</t>
        </is>
      </c>
      <c r="C37" s="66" t="inlineStr">
        <is>
          <t>Wasserstraßen- und Schifffahrtsamt Weser-Jade-Nordsee (WSV)</t>
        </is>
      </c>
      <c r="D37" s="67" t="inlineStr">
        <is>
          <t>https://www.wsa-weser-jade-nordsee.wsv.de/Webs/WSA/Weser-Jade-Nordsee/DE/Schifffahrt/Verkehrszentralen/verkehrsundrevierzentralen_node.html</t>
        </is>
      </c>
      <c r="E37" s="66" t="inlineStr">
        <is>
          <t>Undated</t>
        </is>
      </c>
      <c r="F37" s="66" t="inlineStr">
        <is>
          <t>Primary (Stage 4)</t>
        </is>
      </c>
      <c r="G37" s="66" t="inlineStr">
        <is>
          <t>Locator: Verkehrszentrale Wilhelmshaven. Passage: Von Wilhelmshaven aus erfolgt die Überwachung des Schiffsverkehrs der inneren deutschen Bucht von Borkum bis Helgoland und der Jade. ... 1. "German Bight Traffic" mit "Northcoast Traffic" 2. "Jade Traffic"</t>
        </is>
      </c>
      <c r="H37" s="66" t="inlineStr">
        <is>
          <t>2026-09-29</t>
        </is>
      </c>
    </row>
    <row r="38" ht="60" customHeight="1" s="63">
      <c r="A38" s="66" t="inlineStr">
        <is>
          <t>SRC-032</t>
        </is>
      </c>
      <c r="B38" s="66" t="inlineStr">
        <is>
          <t>Verkehrszentrale "Cuxhaven"</t>
        </is>
      </c>
      <c r="C38" s="66" t="inlineStr">
        <is>
          <t>Wasserstraßen- und Schifffahrtsamt Elbe-Nordsee (WSV)</t>
        </is>
      </c>
      <c r="D38" s="67" t="inlineStr">
        <is>
          <t>https://www.wsa-elbe-nordsee.wsv.de/Webs/WSA/Elbe-Nordsee/DE/2_Schifffahrt/4_Verkehrszentralen/2_Cuxhaven/Cuxhaven_node.html</t>
        </is>
      </c>
      <c r="E38" s="66" t="inlineStr">
        <is>
          <t>Undated</t>
        </is>
      </c>
      <c r="F38" s="66" t="inlineStr">
        <is>
          <t>Primary (Stage 4)</t>
        </is>
      </c>
      <c r="G38" s="66" t="inlineStr">
        <is>
          <t>Locator: page body. Passage: zuständig für die Sicherheit und Leichtigkeit des Schiffsverkehrs auf der Seeschifffahrtsstraße Elbe im Bereich der Elbeansteuerung bis Brunsbüttel</t>
        </is>
      </c>
      <c r="H38" s="66" t="inlineStr">
        <is>
          <t>2026-09-29</t>
        </is>
      </c>
    </row>
    <row r="39" ht="60" customHeight="1" s="63">
      <c r="A39" s="66" t="inlineStr">
        <is>
          <t>SRC-033</t>
        </is>
      </c>
      <c r="B39" s="66" t="inlineStr">
        <is>
          <t>Verkehrskanäle der Verkehrszentralen im Küstenbereich (map)</t>
        </is>
      </c>
      <c r="C39" s="66" t="inlineStr">
        <is>
          <t>Fachstelle für Geodäsie und Geoinformation der WSV (ELWIS)</t>
        </is>
      </c>
      <c r="D39" s="67" t="inlineStr">
        <is>
          <t>https://www.elwis.de/DE/Seeschifffahrt/Verkehrs-und-Sicherheitsmanagement/Verkehrszentralen/Verkehrskanaele.pdf?__blob=publicationFile</t>
        </is>
      </c>
      <c r="E39" s="66" t="inlineStr">
        <is>
          <t>Stand 2021</t>
        </is>
      </c>
      <c r="F39" s="66" t="inlineStr">
        <is>
          <t>Primary (Stage 4)</t>
        </is>
      </c>
      <c r="G39" s="66" t="inlineStr">
        <is>
          <t>Locator: legend. Passage: 3 Cuxhaven ElbeTraffic 16/71 ... 5 German Bight Traffic 16/79/80 6 North Coast Traffic 16/79 7 Jade Traffic 16/63/20</t>
        </is>
      </c>
      <c r="H39" s="66" t="inlineStr">
        <is>
          <t>2026-09-29</t>
        </is>
      </c>
    </row>
    <row r="40" ht="60" customHeight="1" s="63">
      <c r="A40" s="66" t="inlineStr">
        <is>
          <t>SRC-034</t>
        </is>
      </c>
      <c r="B40" s="66" t="inlineStr">
        <is>
          <t>Verkehrsbericht 2016</t>
        </is>
      </c>
      <c r="C40" s="66" t="inlineStr">
        <is>
          <t>Wasserstraßen- und Schifffahrtsverwaltung des Bundes (WSV/GDWS), via ULB Bonn legal deposit</t>
        </is>
      </c>
      <c r="D40" s="67" t="inlineStr">
        <is>
          <t>https://epflicht.ulb.uni-bonn.de/download/pdf/564811</t>
        </is>
      </c>
      <c r="E40" s="66" t="inlineStr">
        <is>
          <t>2016 (report year)</t>
        </is>
      </c>
      <c r="F40" s="66" t="inlineStr">
        <is>
          <t>Primary (Stage 4)</t>
        </is>
      </c>
      <c r="G40" s="66" t="inlineStr">
        <is>
          <t>Locator: 1.1.1 Nordsee. Passage: Das bedeutendste VTG ist das Terschelling-German Bight. Das nördlich gelegene parallele VTG Western Approach ermöglicht tiefergehenden Fahrzeugen die Fahrt. VTG Jade Approach ist die Verbindung der beiden</t>
        </is>
      </c>
      <c r="H40" s="66" t="inlineStr">
        <is>
          <t>2026-09-29</t>
        </is>
      </c>
    </row>
    <row r="41" ht="60" customHeight="1" s="63">
      <c r="A41" s="66" t="inlineStr">
        <is>
          <t>SRC-035</t>
        </is>
      </c>
      <c r="B41" s="66" t="inlineStr">
        <is>
          <t>Regulations for VTS Communication and the supporting VHF maritime radio-telephone channels, Version 2.0</t>
        </is>
      </c>
      <c r="C41" s="66" t="inlineStr">
        <is>
          <t>Central Nautical Management North Sea Canal Area (Port of Amsterdam)</t>
        </is>
      </c>
      <c r="D41" s="67" t="inlineStr">
        <is>
          <t>https://www.portofamsterdam.com/sites/default/files/2025-09/2025-479_VTS%20communicatieregeling%202.0%20def_NLEN_rev.pdf</t>
        </is>
      </c>
      <c r="E41" s="66" t="inlineStr">
        <is>
          <t>10 September 2025 (in force 30 September 2025)</t>
        </is>
      </c>
      <c r="F41" s="66" t="inlineStr">
        <is>
          <t>Primary (Stage 4)</t>
        </is>
      </c>
      <c r="G41" s="66" t="inlineStr">
        <is>
          <t>Locator: Scope of application (a); section 8; Appendix II. Passage: the approaches to IJmuiden, defined as the section of the Territorial Sea (including Anchorages 6, 7, and 8) within a 12-nautical-mile radius of the seaward ends of the IJmuiden breakwaters, including the extended IJ-geul deep water channel</t>
        </is>
      </c>
      <c r="H41" s="66" t="inlineStr">
        <is>
          <t>2026-09-29</t>
        </is>
      </c>
    </row>
    <row r="42" ht="60" customHeight="1" s="63">
      <c r="A42" s="66" t="inlineStr">
        <is>
          <t>SRC-036</t>
        </is>
      </c>
      <c r="B42" s="66" t="inlineStr">
        <is>
          <t>Advice for container ships near West Frisian Islands</t>
        </is>
      </c>
      <c r="C42" s="66" t="inlineStr">
        <is>
          <t>Netherlands Coastguard (Kustwacht)</t>
        </is>
      </c>
      <c r="D42" s="67" t="inlineStr">
        <is>
          <t>https://kustwacht.nl/en/merchant-shipping/advice-for-container-ships-near-west-frisian-islands/</t>
        </is>
      </c>
      <c r="E42" s="66" t="inlineStr">
        <is>
          <t>Modified 6 December 2022</t>
        </is>
      </c>
      <c r="F42" s="66" t="inlineStr">
        <is>
          <t>Primary (Stage 4)</t>
        </is>
      </c>
      <c r="G42" s="66" t="inlineStr">
        <is>
          <t>Locator: Northern and southern route; Advice in case of high waves. Passage: When we give the advice to follow the northern route, the captain is not obliged to follow this advice. The Coastguard has no powers to impose traffic directions.</t>
        </is>
      </c>
      <c r="H42" s="66" t="inlineStr">
        <is>
          <t>2026-09-29</t>
        </is>
      </c>
    </row>
    <row r="43" ht="60" customHeight="1" s="63">
      <c r="A43" s="66" t="inlineStr">
        <is>
          <t>SRC-037</t>
        </is>
      </c>
      <c r="B43" s="66" t="inlineStr">
        <is>
          <t>Vessel Traffic Monitoring (VTMon)</t>
        </is>
      </c>
      <c r="C43" s="66" t="inlineStr">
        <is>
          <t>Netherlands Coastguard (Kustwacht)</t>
        </is>
      </c>
      <c r="D43" s="67" t="inlineStr">
        <is>
          <t>https://kustwacht.nl/hulpverlening/vtm/</t>
        </is>
      </c>
      <c r="E43" s="66" t="inlineStr">
        <is>
          <t>Modified 6 October 2025</t>
        </is>
      </c>
      <c r="F43" s="66" t="inlineStr">
        <is>
          <t>Primary (Stage 4)</t>
        </is>
      </c>
      <c r="G43" s="66" t="inlineStr">
        <is>
          <t>Locator: opening paragraph. Passage: Vessel Traffic Monitoring (VTMon) is een nieuwe taak van de Kustwacht. ... VTMon houdt het scheepvaartverkeer in de gaten dat dichtbij windparken en vaarwegen vaart.</t>
        </is>
      </c>
      <c r="H43" s="66" t="inlineStr">
        <is>
          <t>2026-09-29</t>
        </is>
      </c>
    </row>
    <row r="44" ht="60" customHeight="1" s="63">
      <c r="A44" s="66" t="inlineStr">
        <is>
          <t>SRC-038</t>
        </is>
      </c>
      <c r="B44" s="66" t="inlineStr">
        <is>
          <t>Verkeerscentrales</t>
        </is>
      </c>
      <c r="C44" s="66" t="inlineStr">
        <is>
          <t>Netherlands Coastguard (Kustwacht)</t>
        </is>
      </c>
      <c r="D44" s="67" t="inlineStr">
        <is>
          <t>https://kustwacht.nl/maritieme-organisaties/verkeerscentrales/</t>
        </is>
      </c>
      <c r="E44" s="66" t="inlineStr">
        <is>
          <t>Modified 29 September 2022</t>
        </is>
      </c>
      <c r="F44" s="66" t="inlineStr">
        <is>
          <t>Primary (Stage 4)</t>
        </is>
      </c>
      <c r="G44" s="66" t="inlineStr">
        <is>
          <t>Locator: Verkeersbegeleiding. Passage: Het coördineren en begeleiden van scheepvaart wordt Vessel Traffic Service (VTS) genoemd. ... Relevante informatie wordt tussen de verkeerscentrales en het Kustwachtcentrum uitgewisseld.</t>
        </is>
      </c>
      <c r="H44" s="66" t="inlineStr">
        <is>
          <t>2026-09-29</t>
        </is>
      </c>
    </row>
    <row r="45" ht="60" customHeight="1" s="63">
      <c r="A45" s="66" t="inlineStr">
        <is>
          <t>SRC-039</t>
        </is>
      </c>
      <c r="B45" s="66" t="inlineStr">
        <is>
          <t>Resolution MSC.52(66): Mandatory ship reporting systems (annex: Off Ushant)</t>
        </is>
      </c>
      <c r="C45" s="66" t="inlineStr">
        <is>
          <t>IMO</t>
        </is>
      </c>
      <c r="D45" s="67" t="inlineStr">
        <is>
          <t>https://wwwcdn.imo.org/localresources/en/KnowledgeCentre/IndexofIMOResolutions/MSCResolutions/MSC.52(66).pdf</t>
        </is>
      </c>
      <c r="E45" s="66" t="inlineStr">
        <is>
          <t>Adopted 30 May 1996</t>
        </is>
      </c>
      <c r="F45" s="66" t="inlineStr">
        <is>
          <t>Primary (Stage 4)</t>
        </is>
      </c>
      <c r="G45" s="66" t="inlineStr">
        <is>
          <t>Locator: Annex 'Off Ushant', sections 1, 2, 3.2; name of system OUESSREP. Passage: The shore-based authority is the Corsen/Ouessant vessel traffic service (voice communication sign "Ushant Traffic") installed at the CROSS CORSEN site.</t>
        </is>
      </c>
      <c r="H45" s="66" t="inlineStr">
        <is>
          <t>2026-09-29</t>
        </is>
      </c>
    </row>
    <row r="46" ht="60" customHeight="1" s="63">
      <c r="A46" s="66" t="inlineStr">
        <is>
          <t>SRC-040</t>
        </is>
      </c>
      <c r="B46" s="66" t="inlineStr">
        <is>
          <t>Resolution MSC.251(83): Amendments to the existing mandatory ship reporting systems Off Ushant, Off Les Casquets and Dover Strait/Pas de Calais</t>
        </is>
      </c>
      <c r="C46" s="66" t="inlineStr">
        <is>
          <t>IMO</t>
        </is>
      </c>
      <c r="D46" s="67" t="inlineStr">
        <is>
          <t>https://wwwcdn.imo.org/localresources/en/KnowledgeCentre/IndexofIMOResolutions/MSCResolutions/MSC.251(83).pdf</t>
        </is>
      </c>
      <c r="E46" s="66" t="inlineStr">
        <is>
          <t>Adopted 8 October 2007</t>
        </is>
      </c>
      <c r="F46" s="66" t="inlineStr">
        <is>
          <t>Primary (Stage 4)</t>
        </is>
      </c>
      <c r="G46" s="66" t="inlineStr">
        <is>
          <t>Locator: operative paras 1 and 2. Passage: the amendments to the existing mandatory ship reporting systems, Off Ushant (OUESSREP), Off Les Casquets (MANCHEREP) and Dover Strait/Pas de Calais (CALDOVREP), will enter into force at 0000 hours UTC on 1 May 2008</t>
        </is>
      </c>
      <c r="H46" s="66" t="inlineStr">
        <is>
          <t>2026-09-29</t>
        </is>
      </c>
    </row>
    <row r="47" ht="60" customHeight="1" s="63">
      <c r="A47" s="66" t="inlineStr">
        <is>
          <t>SRC-041</t>
        </is>
      </c>
      <c r="B47" s="66" t="inlineStr">
        <is>
          <t>COLREG.2/Circ.51: New and amended traffic separation schemes</t>
        </is>
      </c>
      <c r="C47" s="66" t="inlineStr">
        <is>
          <t>IMO (third-party hosted copy, Shanghai Maritime University)</t>
        </is>
      </c>
      <c r="D47" s="67" t="inlineStr">
        <is>
          <t>https://cimrc.shmtu.edu.cn/_upload/article/files/63/dc/35c66be74d12873254dc88a2ef00/a4f3f58b-c400-41cb-858b-89dccee63151.pdf</t>
        </is>
      </c>
      <c r="E47" s="66" t="inlineStr">
        <is>
          <t>31 May 2002</t>
        </is>
      </c>
      <c r="F47" s="66" t="inlineStr">
        <is>
          <t>Primary (Stage 4)</t>
        </is>
      </c>
      <c r="G47" s="66" t="inlineStr">
        <is>
          <t>Locator: para 1.3 and 2(d). Passage: The amended TSS "Off Ushant" (annex 3) will be implemented by France at 0000 hours UTC on 1 May 2003.</t>
        </is>
      </c>
      <c r="H47" s="66" t="inlineStr">
        <is>
          <t>2026-09-29</t>
        </is>
      </c>
    </row>
    <row r="48" ht="60" customHeight="1" s="63">
      <c r="A48" s="66" t="inlineStr">
        <is>
          <t>SRC-042</t>
        </is>
      </c>
      <c r="B48" s="66" t="inlineStr">
        <is>
          <t>Chiffres clés de la mer et du littoral, Edition 2024: 18 Surveillance de la navigation maritime</t>
        </is>
      </c>
      <c r="C48" s="66" t="inlineStr">
        <is>
          <t>SDES, Ministère de la Transition écologique (France); data DGAMPA</t>
        </is>
      </c>
      <c r="D48" s="67" t="inlineStr">
        <is>
          <t>https://www.statistiques.developpement-durable.gouv.fr/edition-numerique/chiffres-cles-mer-littoral/18-surveillance-de-la-navigation-maritime</t>
        </is>
      </c>
      <c r="E48" s="66" t="inlineStr">
        <is>
          <t>Edition 2024 (data 2021/2022)</t>
        </is>
      </c>
      <c r="F48" s="66" t="inlineStr">
        <is>
          <t>Primary (Stage 4)</t>
        </is>
      </c>
      <c r="G48" s="66" t="inlineStr">
        <is>
          <t>Locator: figure note and text. Passage: DST Ouessant : zone de compétences CROSS Corsen. ... les 3 CROSS de Manche ont contrôlé 134 836 navires (jauge supérieure à 300 UMS soumis à un compte rendu obligatoire)</t>
        </is>
      </c>
      <c r="H48" s="66" t="inlineStr">
        <is>
          <t>2026-09-29</t>
        </is>
      </c>
    </row>
    <row r="49" ht="60" customHeight="1" s="63">
      <c r="A49" s="66" t="inlineStr">
        <is>
          <t>SRC-043</t>
        </is>
      </c>
      <c r="B49" s="66" t="inlineStr">
        <is>
          <t>Resolution MSC.63(67): Mandatory ship reporting systems (annex 3: Off Finisterre)</t>
        </is>
      </c>
      <c r="C49" s="66" t="inlineStr">
        <is>
          <t>IMO</t>
        </is>
      </c>
      <c r="D49" s="67" t="inlineStr">
        <is>
          <t>https://wwwcdn.imo.org/localresources/en/KnowledgeCentre/IndexofIMOResolutions/MSCResolutions/MSC.63(67).pdf</t>
        </is>
      </c>
      <c r="E49" s="66" t="inlineStr">
        <is>
          <t>Adopted 3 December 1996</t>
        </is>
      </c>
      <c r="F49" s="66" t="inlineStr">
        <is>
          <t>Primary (Stage 4)</t>
        </is>
      </c>
      <c r="G49" s="66" t="inlineStr">
        <is>
          <t>Locator: Annex 3, sections 1, 2, 3.3, 3.4. Passage: This area includes the traffic separation scheme "off Finisterre" and associated inshore traffic zones ... Ships entering the area of coverage shall report to the Finisterre Traffic VTS</t>
        </is>
      </c>
      <c r="H49" s="66" t="inlineStr">
        <is>
          <t>2026-09-29</t>
        </is>
      </c>
    </row>
    <row r="50" ht="60" customHeight="1" s="63">
      <c r="A50" s="66" t="inlineStr">
        <is>
          <t>SRC-044</t>
        </is>
      </c>
      <c r="B50" s="66" t="inlineStr">
        <is>
          <t>Resolution A.957(23): Amended traffic separation scheme "Off Finisterre"</t>
        </is>
      </c>
      <c r="C50" s="66" t="inlineStr">
        <is>
          <t>IMO</t>
        </is>
      </c>
      <c r="D50" s="67" t="inlineStr">
        <is>
          <t>https://wwwcdn.imo.org/localresources/en/KnowledgeCentre/IndexofIMOResolutions/AssemblyDocuments/A.957(23).pdf</t>
        </is>
      </c>
      <c r="E50" s="66" t="inlineStr">
        <is>
          <t>Adopted 5 December 2003</t>
        </is>
      </c>
      <c r="F50" s="66" t="inlineStr">
        <is>
          <t>Primary (Stage 4)</t>
        </is>
      </c>
      <c r="G50" s="66" t="inlineStr">
        <is>
          <t>Locator: operative para 1; annex (a) to (h). Passage: ADOPTS the amendments to the traffic separation scheme Off Finisterre set out in the Annex to the present resolution, for implementation at 0000 hours UTC on 1 June 2004</t>
        </is>
      </c>
      <c r="H50" s="66" t="inlineStr">
        <is>
          <t>2026-09-29</t>
        </is>
      </c>
    </row>
    <row r="51" ht="60" customHeight="1" s="63">
      <c r="A51" s="66" t="inlineStr">
        <is>
          <t>SRC-045</t>
        </is>
      </c>
      <c r="B51" s="66" t="inlineStr">
        <is>
          <t>El centro de coordinación de Salvamento Marítimo de Vigo rescató a 316 personas en el 2024</t>
        </is>
      </c>
      <c r="C51" s="66" t="inlineStr">
        <is>
          <t>Metropolitano.gal (news)</t>
        </is>
      </c>
      <c r="D51" s="67" t="inlineStr">
        <is>
          <t>https://metropolitano.gal/extra/el-centro-de-coordinacion-de-salvamento-maritimo-de-vigo-rescato-a-316-personas-en-el-2024</t>
        </is>
      </c>
      <c r="E51" s="66" t="inlineStr">
        <is>
          <t>7 February 2025</t>
        </is>
      </c>
      <c r="F51" s="66" t="inlineStr">
        <is>
          <t>Lead only</t>
        </is>
      </c>
      <c r="G51" s="66" t="inlineStr">
        <is>
          <t>Locator: article body. Passage: el Centro de Coordinación de Salvamento ubicado en Fisterra controló 35.937 buques a su paso</t>
        </is>
      </c>
      <c r="H51" s="66" t="inlineStr">
        <is>
          <t>2026-09-29</t>
        </is>
      </c>
    </row>
    <row r="52" ht="60" customHeight="1" s="63">
      <c r="A52" s="66" t="inlineStr">
        <is>
          <t>SRC-046</t>
        </is>
      </c>
      <c r="B52" s="66" t="inlineStr">
        <is>
          <t>Decreto-Lei n.º 198/2006 (regime jurídico dos esquemas de separação de tráfego)</t>
        </is>
      </c>
      <c r="C52" s="66" t="inlineStr">
        <is>
          <t>Diário da República (Portugal), copy hosted by Marinha Portuguesa</t>
        </is>
      </c>
      <c r="D52" s="67" t="inlineStr">
        <is>
          <t>https://www.marinha.pt/Conteudos_Externos/LexMar2/PGPAT%20100/PGPAT%201000%20-%20Cap%C3%ADtulos/Capitulo%20K%20EST/Decreto-Lei%20198-2006%20(19OUT2006).pdf</t>
        </is>
      </c>
      <c r="E52" s="66" t="inlineStr">
        <is>
          <t>19 October 2006</t>
        </is>
      </c>
      <c r="F52" s="66" t="inlineStr">
        <is>
          <t>Primary (Stage 4)</t>
        </is>
      </c>
      <c r="G52" s="66" t="inlineStr">
        <is>
          <t>Locator: Preamble; Artigos 3, 4 and 9. Passage: Compete ao IPTM, responsável nacional pelo serviço de tráfego marítimo (VTS), e à AMN, através dos meios navais disponíveis, a fiscalização do cumprimento do estabelecido no presente decreto-lei.</t>
        </is>
      </c>
      <c r="H52" s="66" t="inlineStr">
        <is>
          <t>2026-09-29</t>
        </is>
      </c>
    </row>
    <row r="53" ht="60" customHeight="1" s="63">
      <c r="A53" s="66" t="inlineStr">
        <is>
          <t>SRC-047</t>
        </is>
      </c>
      <c r="B53" s="66" t="inlineStr">
        <is>
          <t>Decreto-Lei n.º 263/2009 (VTS costeiro do continente)</t>
        </is>
      </c>
      <c r="C53" s="66" t="inlineStr">
        <is>
          <t>Diário da República (Portugal), copy hosted by Marinha Portuguesa</t>
        </is>
      </c>
      <c r="D53" s="67" t="inlineStr">
        <is>
          <t>https://www.marinha.pt/Conteudos_Externos/LexMar2/PGPAT%20100/PGPAT%201000%20-%20Cap%C3%ADtulos/Capitulo%20K%20EST/Dec.%20Lei%20263_2009,%20de%2028Set.pdf</t>
        </is>
      </c>
      <c r="E53" s="66" t="inlineStr">
        <is>
          <t>28 September 2009</t>
        </is>
      </c>
      <c r="F53" s="66" t="inlineStr">
        <is>
          <t>Primary (Stage 4)</t>
        </is>
      </c>
      <c r="G53" s="66" t="inlineStr">
        <is>
          <t>Locator: Artigos 6 to 10. Passage: No âmbito das funções de supervisão, o CCTMC zela ... em particular, pela observância das regras aplicáveis aos esquemas de separação de tráfego.</t>
        </is>
      </c>
      <c r="H53" s="66" t="inlineStr">
        <is>
          <t>2026-09-29</t>
        </is>
      </c>
    </row>
    <row r="54" ht="60" customHeight="1" s="63">
      <c r="A54" s="66" t="inlineStr">
        <is>
          <t>SRC-048</t>
        </is>
      </c>
      <c r="B54" s="66" t="inlineStr">
        <is>
          <t>Resolution MSC.278(85): Adoption of the new mandatory ship reporting system "Off the coast of Portugal - COPREP"</t>
        </is>
      </c>
      <c r="C54" s="66" t="inlineStr">
        <is>
          <t>IMO</t>
        </is>
      </c>
      <c r="D54" s="67" t="inlineStr">
        <is>
          <t>https://wwwcdn.imo.org/localresources/en/KnowledgeCentre/IndexofIMOResolutions/MSCResolutions/MSC.278(85).pdf</t>
        </is>
      </c>
      <c r="E54" s="66" t="inlineStr">
        <is>
          <t>Adopted 1 December 2008</t>
        </is>
      </c>
      <c r="F54" s="66" t="inlineStr">
        <is>
          <t>Primary (Stage 4)</t>
        </is>
      </c>
      <c r="G54" s="66" t="inlineStr">
        <is>
          <t>Locator: Annex sections 1, 2.1, 3.4, 7. Passage: The shore-based authority for COPREP mandatory ship reporting system, to which these reports should be sent, is ROCA CONTROL</t>
        </is>
      </c>
      <c r="H54" s="66" t="inlineStr">
        <is>
          <t>2026-09-29</t>
        </is>
      </c>
    </row>
    <row r="55" ht="60" customHeight="1" s="63">
      <c r="A55" s="66" t="inlineStr">
        <is>
          <t>SRC-049</t>
        </is>
      </c>
      <c r="B55" s="66" t="inlineStr">
        <is>
          <t>COLREG.2/Circ.61: New and amended existing traffic separation schemes</t>
        </is>
      </c>
      <c r="C55" s="66" t="inlineStr">
        <is>
          <t>IMO (third-party hosted copy, Shanghai Maritime University)</t>
        </is>
      </c>
      <c r="D55" s="67" t="inlineStr">
        <is>
          <t>https://cimrc.shmtu.edu.cn/_upload/article/files/63/dc/35c66be74d12873254dc88a2ef00/25e2ceb4-d2d9-4cf2-b55b-cdb3d56001b5.pdf</t>
        </is>
      </c>
      <c r="E55" s="66" t="inlineStr">
        <is>
          <t>1 June 2010</t>
        </is>
      </c>
      <c r="F55" s="66" t="inlineStr">
        <is>
          <t>Primary (Stage 4)</t>
        </is>
      </c>
      <c r="G55" s="66" t="inlineStr">
        <is>
          <t>Locator: paras 1.6, 1.7, 2; annexes 6 and 7. Passage: "Off Cape Roca" (amended scheme); .7 "Off Cape S. Vicente" (amended scheme); ... will be implemented at 0000 hours UTC on 1 December 2010</t>
        </is>
      </c>
      <c r="H55" s="66" t="inlineStr">
        <is>
          <t>2026-09-29</t>
        </is>
      </c>
    </row>
    <row r="56" ht="60" customHeight="1" s="63">
      <c r="A56" s="66" t="inlineStr">
        <is>
          <t>SRC-050</t>
        </is>
      </c>
      <c r="B56" s="66" t="inlineStr">
        <is>
          <t>Ships' Routeing, 2008 edition (consolidated), contents pages</t>
        </is>
      </c>
      <c r="C56" s="66" t="inlineStr">
        <is>
          <t>IMO publication (extract hosted by University of Ljubljana)</t>
        </is>
      </c>
      <c r="D56" s="67" t="inlineStr">
        <is>
          <t>https://www.fpp.uni-lj.si/mma_bin.php?id=2011032217361737</t>
        </is>
      </c>
      <c r="E56" s="66" t="inlineStr">
        <is>
          <t>2008 (amendments to December 2007)</t>
        </is>
      </c>
      <c r="F56" s="66" t="inlineStr">
        <is>
          <t>Supporting (Stage 4)</t>
        </is>
      </c>
      <c r="G56" s="66" t="inlineStr">
        <is>
          <t>Locator: Contents, Part B Section II Western European waters. Passage: Off Cape Roca ... II/30 Off Cape S. Vicente ... II/31 At Banco del Hoyo ... II/32</t>
        </is>
      </c>
      <c r="H56" s="66" t="inlineStr">
        <is>
          <t>2026-09-29</t>
        </is>
      </c>
    </row>
    <row r="57" ht="60" customHeight="1" s="63">
      <c r="A57" s="66" t="inlineStr">
        <is>
          <t>SRC-051</t>
        </is>
      </c>
      <c r="B57" s="66" t="inlineStr">
        <is>
          <t>COLREG.2/Circ.57: New and amended existing traffic separation schemes</t>
        </is>
      </c>
      <c r="C57" s="66" t="inlineStr">
        <is>
          <t>IMO (third-party hosted copy, Shanghai Maritime University)</t>
        </is>
      </c>
      <c r="D57" s="67" t="inlineStr">
        <is>
          <t>https://cimrc.shmtu.edu.cn/_upload/article/files/63/dc/35c66be74d12873254dc88a2ef00/8c6a3c5f-5a85-4450-980a-5534de9fcd0a.pdf</t>
        </is>
      </c>
      <c r="E57" s="66" t="inlineStr">
        <is>
          <t>26 May 2006</t>
        </is>
      </c>
      <c r="F57" s="66" t="inlineStr">
        <is>
          <t>Primary (Stage 4)</t>
        </is>
      </c>
      <c r="G57" s="66" t="inlineStr">
        <is>
          <t>Locator: para 1.1; annex 1 paras 2 and 3 with notes. Passage: Note: Ships that so wish may give voluntary notification of entry to and departure from the TSS via the Las Palmas Regional MRCC, using VHF channel 16.</t>
        </is>
      </c>
      <c r="H57" s="66" t="inlineStr">
        <is>
          <t>2026-09-29</t>
        </is>
      </c>
    </row>
    <row r="58" ht="60" customHeight="1" s="63">
      <c r="A58" s="66" t="inlineStr">
        <is>
          <t>SRC-052</t>
        </is>
      </c>
      <c r="B58" s="66" t="inlineStr">
        <is>
          <t>Resolution MSC.213(81): Mandatory ship reporting system for the Canary Islands</t>
        </is>
      </c>
      <c r="C58" s="66" t="inlineStr">
        <is>
          <t>IMO</t>
        </is>
      </c>
      <c r="D58" s="67" t="inlineStr">
        <is>
          <t>https://wwwcdn.imo.org/localresources/en/KnowledgeCentre/IndexofIMOResolutions/MSCResolutions/MSC.213(81).pdf</t>
        </is>
      </c>
      <c r="E58" s="66" t="inlineStr">
        <is>
          <t>Adopted 12 May 2006</t>
        </is>
      </c>
      <c r="F58" s="66" t="inlineStr">
        <is>
          <t>Primary (Stage 4)</t>
        </is>
      </c>
      <c r="G58" s="66" t="inlineStr">
        <is>
          <t>Locator: operative para 2; annex 1 sections 1, 2, 3.4. Passage: Tankers of 600 tonnes deadweight and upwards, either transiting the Canary Islands or sailing to or from Canarian ports or involved in inter-island navigation</t>
        </is>
      </c>
      <c r="H58" s="66" t="inlineStr">
        <is>
          <t>2026-09-29</t>
        </is>
      </c>
    </row>
    <row r="59" ht="60" customHeight="1" s="63">
      <c r="A59" s="66" t="inlineStr">
        <is>
          <t>SRC-053</t>
        </is>
      </c>
      <c r="B59" s="66" t="inlineStr">
        <is>
          <t>List of traffic separation schemes</t>
        </is>
      </c>
      <c r="C59" s="66" t="inlineStr">
        <is>
          <t>Wikipedia</t>
        </is>
      </c>
      <c r="D59" s="67" t="inlineStr">
        <is>
          <t>https://en.wikipedia.org/wiki/List_of_traffic_separation_schemes</t>
        </is>
      </c>
      <c r="E59" s="66" t="inlineStr">
        <is>
          <t>Undated</t>
        </is>
      </c>
      <c r="F59" s="66" t="inlineStr">
        <is>
          <t>Lead only</t>
        </is>
      </c>
      <c r="G59" s="66" t="inlineStr">
        <is>
          <t>Locator: Europe and North Sea sections. Passage: Lists Banco del Hoyo, Brown Ridge, West Friesland, East Friesland, Botney Ground; no separate North Friesland entry</t>
        </is>
      </c>
      <c r="H59" s="66" t="inlineStr">
        <is>
          <t>2026-09-29</t>
        </is>
      </c>
    </row>
    <row r="60" ht="60" customHeight="1" s="63">
      <c r="A60" s="66" t="inlineStr">
        <is>
          <t>SRC-054</t>
        </is>
      </c>
      <c r="B60" s="66" t="inlineStr">
        <is>
          <t>IMO COLREG.2/Circ.40, New and amended traffic separation schemes (in Swedish Transport Agency compilation of COLREG.2 circulars)</t>
        </is>
      </c>
      <c r="C60" s="66" t="inlineStr">
        <is>
          <t>IMO (hosted by Transportstyrelsen, Sweden)</t>
        </is>
      </c>
      <c r="D60" s="67" t="inlineStr">
        <is>
          <t>https://www.transportstyrelsen.se/globalassets/global/sjofart/dokument/sjotrafik_dok/imo_colreg.2_cirkular.pdf?id=58526</t>
        </is>
      </c>
      <c r="E60" s="66" t="inlineStr">
        <is>
          <t>Circular: MSC 63 (16 to 25 May 1994); compilation undated</t>
        </is>
      </c>
      <c r="F60" s="66" t="inlineStr">
        <is>
          <t>Primary (Stage 4)</t>
        </is>
      </c>
      <c r="G60" s="66" t="inlineStr">
        <is>
          <t>Locator: COLREG.2/Circ.40, para 1 and 2 (compilation p.129 to 130). Passage: .2 Strait of Istanbul - North Approach ... .8 In the Strait of Gibraltar ... will be implemented at 00.00 hours UTC on 24 November 1994.</t>
        </is>
      </c>
      <c r="H60" s="66" t="inlineStr">
        <is>
          <t>2026-09-29</t>
        </is>
      </c>
    </row>
    <row r="61" ht="60" customHeight="1" s="63">
      <c r="A61" s="66" t="inlineStr">
        <is>
          <t>SRC-055</t>
        </is>
      </c>
      <c r="B61" s="66" t="inlineStr">
        <is>
          <t>Resolution MSC.300(87), Amendments to the existing mandatory ship reporting system In the Strait of Gibraltar (GIBREP)</t>
        </is>
      </c>
      <c r="C61" s="66" t="inlineStr">
        <is>
          <t>IMO</t>
        </is>
      </c>
      <c r="D61" s="67" t="inlineStr">
        <is>
          <t>https://wwwcdn.imo.org/localresources/en/KnowledgeCentre/IndexofIMOResolutions/MSCResolutions/MSC.300(87).pdf</t>
        </is>
      </c>
      <c r="E61" s="66" t="inlineStr">
        <is>
          <t>Adopted 17 May 2010</t>
        </is>
      </c>
      <c r="F61" s="66" t="inlineStr">
        <is>
          <t>Primary (Stage 4)</t>
        </is>
      </c>
      <c r="G61" s="66" t="inlineStr">
        <is>
          <t>Locator: Operative paras 1 and 2; annex paras 1.1, 2.1, 3.4, 3.5.1 and VHF channels section. Passage: Both TARIFA and TANGIER Centres monitor navigation in the TSS in the Strait of Gibraltar using radar and AIS.</t>
        </is>
      </c>
      <c r="H61" s="66" t="inlineStr">
        <is>
          <t>2026-09-29</t>
        </is>
      </c>
    </row>
    <row r="62" ht="60" customHeight="1" s="63">
      <c r="A62" s="66" t="inlineStr">
        <is>
          <t>SRC-056</t>
        </is>
      </c>
      <c r="B62" s="66" t="inlineStr">
        <is>
          <t>Los DST, autopistas del mar (Revista Tramos, Ministerio de Transportes; text by Carmen Lorente Sanchez, Salvamento Maritimo)</t>
        </is>
      </c>
      <c r="C62" s="66" t="inlineStr">
        <is>
          <t>Ministerio de Transportes y Movilidad Sostenible / Salvamento Maritimo (Spain)</t>
        </is>
      </c>
      <c r="D62" s="67" t="inlineStr">
        <is>
          <t>https://www.transportes.gob.es/recursos_mfom/comodin/recursos/06_los_dst_autopistas_del_mar.pdf</t>
        </is>
      </c>
      <c r="E62" s="66" t="inlineStr">
        <is>
          <t>Febrero 2025</t>
        </is>
      </c>
      <c r="F62" s="66" t="inlineStr">
        <is>
          <t>Primary (Stage 4)</t>
        </is>
      </c>
      <c r="G62" s="66" t="inlineStr">
        <is>
          <t>Locator: Standfirst p.38; section 'Sistemas de notificacion en Espana'; section 'DST de Tarifa'. Passage: Salvamento Maritimo es el encargado de controlar la seguridad del trafico maritimo en los DST de Fisterra, Tarifa, cabo de Gata y Canarias oriental y occidental</t>
        </is>
      </c>
      <c r="H62" s="66" t="inlineStr">
        <is>
          <t>2026-09-29</t>
        </is>
      </c>
    </row>
    <row r="63" ht="60" customHeight="1" s="63">
      <c r="A63" s="66" t="inlineStr">
        <is>
          <t>SRC-057</t>
        </is>
      </c>
      <c r="B63" s="66" t="inlineStr">
        <is>
          <t>Salvamento Maritimo coordino la asistencia a 14.413 personas durante el ano 2014 (press release)</t>
        </is>
      </c>
      <c r="C63" s="66" t="inlineStr">
        <is>
          <t>La Moncloa / Ministerio de Fomento (Spain)</t>
        </is>
      </c>
      <c r="D63" s="67" t="inlineStr">
        <is>
          <t>https://www.lamoncloa.gob.es/serviciosdeprensa/notasprensa/mfom/Paginas/2015/140115-tarifa.aspx</t>
        </is>
      </c>
      <c r="E63" s="66" t="inlineStr">
        <is>
          <t>14/01/2015</t>
        </is>
      </c>
      <c r="F63" s="66" t="inlineStr">
        <is>
          <t>Supporting (Stage 4)</t>
        </is>
      </c>
      <c r="G63" s="66" t="inlineStr">
        <is>
          <t>Locator: Section 'Control del trafico maritimo'. Passage: buques identificados a su paso por los Dispositivos de Separacion de Trafico de Finisterre, Tarifa y Cabo de Gata y Canarias Oriental y Occidental</t>
        </is>
      </c>
      <c r="H63" s="66" t="inlineStr">
        <is>
          <t>2026-09-29</t>
        </is>
      </c>
    </row>
    <row r="64" ht="60" customHeight="1" s="63">
      <c r="A64" s="66" t="inlineStr">
        <is>
          <t>SRC-058</t>
        </is>
      </c>
      <c r="B64" s="66" t="inlineStr">
        <is>
          <t>Resolution MSC.598(111), Mandatory ship reporting system In the Adriatic Sea (ADRIREP)</t>
        </is>
      </c>
      <c r="C64" s="66" t="inlineStr">
        <is>
          <t>IMO</t>
        </is>
      </c>
      <c r="D64" s="67" t="inlineStr">
        <is>
          <t>https://wwwcdn.imo.org/localresources/en/KnowledgeCentre/IndexofIMOResolutions/MSCResolutions/MSC.598(111).pdf</t>
        </is>
      </c>
      <c r="E64" s="66" t="inlineStr">
        <is>
          <t>Adopted 22 May 2026</t>
        </is>
      </c>
      <c r="F64" s="66" t="inlineStr">
        <is>
          <t>Primary (Stage 4)</t>
        </is>
      </c>
      <c r="G64" s="66" t="inlineStr">
        <is>
          <t>Locator: Operative paras 1, 2, 4; annex paras 1.1, 2.1, 3.1.3, section 7; appendix 2 contact table. Passage: The operational area of the mandatory ship reporting system covers the whole Adriatic Sea, north from the latitude 40° 25'.00 N</t>
        </is>
      </c>
      <c r="H64" s="66" t="inlineStr">
        <is>
          <t>2026-09-29</t>
        </is>
      </c>
    </row>
    <row r="65" ht="60" customHeight="1" s="63">
      <c r="A65" s="66" t="inlineStr">
        <is>
          <t>SRC-059</t>
        </is>
      </c>
      <c r="B65" s="66" t="inlineStr">
        <is>
          <t>Mandatory ship reporting systems (SRS) list</t>
        </is>
      </c>
      <c r="C65" s="66" t="inlineStr">
        <is>
          <t>Transportstyrelsen (Swedish Transport Agency)</t>
        </is>
      </c>
      <c r="D65" s="67" t="inlineStr">
        <is>
          <t>https://transportstyrelsen.se/globalassets/global/sjofart/dokument/sjotrafik_dok/mandatory-and-recommended-srs.pdf</t>
        </is>
      </c>
      <c r="E65" s="66" t="inlineStr">
        <is>
          <t>2017-09-18</t>
        </is>
      </c>
      <c r="F65" s="66" t="inlineStr">
        <is>
          <t>Supporting (Stage 4)</t>
        </is>
      </c>
      <c r="G65" s="66" t="inlineStr">
        <is>
          <t>Locator: Table of mandatory SRS. Passage: In the Strait of Gibraltar (GIBREP) MSC.63(67) 1996 MSC.300(87) 2010 ... In the Adriatic Sea (ADRIREP) MSC.139(76) 2002</t>
        </is>
      </c>
      <c r="H65" s="66" t="inlineStr">
        <is>
          <t>2026-09-29</t>
        </is>
      </c>
    </row>
    <row r="66" ht="60" customHeight="1" s="63">
      <c r="A66" s="66" t="inlineStr">
        <is>
          <t>SRC-060</t>
        </is>
      </c>
      <c r="B66" s="66" t="inlineStr">
        <is>
          <t>Koper VTS Users Manual</t>
        </is>
      </c>
      <c r="C66" s="66" t="inlineStr">
        <is>
          <t>Slovenian Maritime Administration (URSP)</t>
        </is>
      </c>
      <c r="D66" s="67" t="inlineStr">
        <is>
          <t>https://www.gov.si/assets/organi-v-sestavi/URSP/Dokumenti/VTS/Koper-VTS-Users-Manual.pdf</t>
        </is>
      </c>
      <c r="E66" s="66" t="inlineStr">
        <is>
          <t>Version 1, 30 Nov 2025</t>
        </is>
      </c>
      <c r="F66" s="66" t="inlineStr">
        <is>
          <t>Primary (Stage 4)</t>
        </is>
      </c>
      <c r="G66" s="66" t="inlineStr">
        <is>
          <t>Locator: Sections 3 (VTS area), 4 (participation), 6.1 (working channels), 7.1 (TSS in the Gulf of Trieste). Passage: Koper VTS area covers the internal waters and territorial sea of the Republic of Slovenia.</t>
        </is>
      </c>
      <c r="H66" s="66" t="inlineStr">
        <is>
          <t>2026-09-29</t>
        </is>
      </c>
    </row>
    <row r="67" ht="60" customHeight="1" s="63">
      <c r="A67" s="66" t="inlineStr">
        <is>
          <t>SRC-061</t>
        </is>
      </c>
      <c r="B67" s="66" t="inlineStr">
        <is>
          <t>Capitaneria di Porto VTS Trieste, Manuale Utente</t>
        </is>
      </c>
      <c r="C67" s="66" t="inlineStr">
        <is>
          <t>Guardia Costiera, Capitaneria di Porto di Trieste (Italy)</t>
        </is>
      </c>
      <c r="D67" s="67" t="inlineStr">
        <is>
          <t>https://www.guardiacostiera.gov.it/portale/documents/d/guest/it_trieste_manuale_utentevts</t>
        </is>
      </c>
      <c r="E67" s="66" t="inlineStr">
        <is>
          <t>Edizione n.002 Gennaio 2018</t>
        </is>
      </c>
      <c r="F67" s="66" t="inlineStr">
        <is>
          <t>Primary (Stage 4)</t>
        </is>
      </c>
      <c r="G67" s="66" t="inlineStr">
        <is>
          <t>Locator: Regime di partecipazione; Limiti Area VTS Trieste; Schemi di separazione. Passage: Nell'Area VTS di Trieste è ricompreso lo schema obbligatorio di separazione del traffico per le navi che transitano all'interno del Golfo di Trieste</t>
        </is>
      </c>
      <c r="H67" s="66" t="inlineStr">
        <is>
          <t>2026-09-29</t>
        </is>
      </c>
    </row>
    <row r="68" ht="60" customHeight="1" s="63">
      <c r="A68" s="66" t="inlineStr">
        <is>
          <t>SRC-062</t>
        </is>
      </c>
      <c r="B68" s="66" t="inlineStr">
        <is>
          <t>Italy Venice VTS Common Procedures</t>
        </is>
      </c>
      <c r="C68" s="66" t="inlineStr">
        <is>
          <t>Guardia Costiera, Capitaneria di Porto di Venezia (Italy)</t>
        </is>
      </c>
      <c r="D68" s="67" t="inlineStr">
        <is>
          <t>https://www.guardiacostiera.gov.it/portale/documents/d/guest/en_venezia_manuale_utentevts</t>
        </is>
      </c>
      <c r="E68" s="66" t="inlineStr">
        <is>
          <t>Edition No. 00, last updated 19/09/17</t>
        </is>
      </c>
      <c r="F68" s="66" t="inlineStr">
        <is>
          <t>Primary (Stage 4)</t>
        </is>
      </c>
      <c r="G68" s="66" t="inlineStr">
        <is>
          <t>Locator: Participation rules; working VHF channels table; VTS area (points A to E); First call. Passage: All participating vessels shall contact (see page 7) Venice VTS when at 5 NM outside the VTS Area outer limit</t>
        </is>
      </c>
      <c r="H68" s="66" t="inlineStr">
        <is>
          <t>2026-09-29</t>
        </is>
      </c>
    </row>
    <row r="69" ht="60" customHeight="1" s="63">
      <c r="A69" s="66" t="inlineStr">
        <is>
          <t>SRC-063</t>
        </is>
      </c>
      <c r="B69" s="66" t="inlineStr">
        <is>
          <t>Vessel Traffic Service (Guardia Costiera portal page)</t>
        </is>
      </c>
      <c r="C69" s="66" t="inlineStr">
        <is>
          <t>Comando Generale del Corpo delle Capitanerie di Porto, Guardia Costiera (Italy)</t>
        </is>
      </c>
      <c r="D69" s="67" t="inlineStr">
        <is>
          <t>https://www.guardiacostiera.gov.it/portale/vessel-traffic-service</t>
        </is>
      </c>
      <c r="E69" s="66" t="inlineStr">
        <is>
          <t>Undated</t>
        </is>
      </c>
      <c r="F69" s="66" t="inlineStr">
        <is>
          <t>Primary (Stage 4)</t>
        </is>
      </c>
      <c r="G69" s="66" t="inlineStr">
        <is>
          <t>Locator: Section listing VTS centre manuals. Passage: Attualmente i Centri VTS in Italia sono 11.</t>
        </is>
      </c>
      <c r="H69" s="66" t="inlineStr">
        <is>
          <t>2026-09-29</t>
        </is>
      </c>
    </row>
    <row r="70" ht="60" customHeight="1" s="63">
      <c r="A70" s="66" t="inlineStr">
        <is>
          <t>SRC-064</t>
        </is>
      </c>
      <c r="B70" s="66" t="inlineStr">
        <is>
          <t>Memoria del Comando Generale del Corpo delle Capitanerie di Porto, Camera dei Deputati, IX Commissione</t>
        </is>
      </c>
      <c r="C70" s="66" t="inlineStr">
        <is>
          <t>Guardia Costiera (Italy)</t>
        </is>
      </c>
      <c r="D70" s="67" t="inlineStr">
        <is>
          <t>https://documenti.camera.it/leg19/documentiAcquisiti/COM08/Audizioni/leg19.com08.Audizioni.Memoria.PUBBLICO.ideGes.7923.15-06-2023-16-25-26.360.pdf</t>
        </is>
      </c>
      <c r="E70" s="66" t="inlineStr">
        <is>
          <t>15-06-2023 (filing date in URL)</t>
        </is>
      </c>
      <c r="F70" s="66" t="inlineStr">
        <is>
          <t>Primary (Stage 4)</t>
        </is>
      </c>
      <c r="G70" s="66" t="inlineStr">
        <is>
          <t>Locator: Section 2, Il sistema VTS italiano. Passage: Ad oggi sono operativi undici Centri VTS ... Bari - Brindisi - Genova - La Maddalena - La Spezia - Messina - Palermo - Savona - Taranto - Trieste - Venezia</t>
        </is>
      </c>
      <c r="H70" s="66" t="inlineStr">
        <is>
          <t>2026-09-29</t>
        </is>
      </c>
    </row>
    <row r="71" ht="60" customHeight="1" s="63">
      <c r="A71" s="66" t="inlineStr">
        <is>
          <t>SRC-065</t>
        </is>
      </c>
      <c r="B71" s="66" t="inlineStr">
        <is>
          <t>Nadzor i upravljanje pomorskim prometom, VTS Hrvatska (supplement to Radiosluzba za pomorce)</t>
        </is>
      </c>
      <c r="C71" s="66" t="inlineStr">
        <is>
          <t>Hrvatski hidrografski institut (Croatia)</t>
        </is>
      </c>
      <c r="D71" s="67" t="inlineStr">
        <is>
          <t>https://www.hhi.hr/Portals/0/adam/HHI/a14_Qn4yJECeVbpwF_KLag/CouponFiles/VTS_RS_2015.pdf</t>
        </is>
      </c>
      <c r="E71" s="66" t="inlineStr">
        <is>
          <t>2015 (file name VTS_RS_2015)</t>
        </is>
      </c>
      <c r="F71" s="66" t="inlineStr">
        <is>
          <t>Primary (Stage 4)</t>
        </is>
      </c>
      <c r="G71" s="66" t="inlineStr">
        <is>
          <t>Locator: Opis (p.28-1); Sektor A (p.28-9 to 28-10). Passage: VTS sluzba nadzire primjenu sustava usmjerene i odijeljene plovidbe na Jadranskom moru ... COLREG.2/Circ. 54 ... i COLREG.2/Circ. 58 ... u VTS podrucju.</t>
        </is>
      </c>
      <c r="H71" s="66" t="inlineStr">
        <is>
          <t>2026-09-29</t>
        </is>
      </c>
    </row>
    <row r="72" ht="60" customHeight="1" s="63">
      <c r="A72" s="66" t="inlineStr">
        <is>
          <t>SRC-066</t>
        </is>
      </c>
      <c r="B72" s="66" t="inlineStr">
        <is>
          <t>Vessel Traffic and Pilotage Services</t>
        </is>
      </c>
      <c r="C72" s="66" t="inlineStr">
        <is>
          <t>Directorate General of Coastal Safety (Turkey)</t>
        </is>
      </c>
      <c r="D72" s="67" t="inlineStr">
        <is>
          <t>https://kiyiemniyeti.gov.tr/vessel_traffic_and_pilotage_services</t>
        </is>
      </c>
      <c r="E72" s="66" t="inlineStr">
        <is>
          <t>Undated</t>
        </is>
      </c>
      <c r="F72" s="66" t="inlineStr">
        <is>
          <t>Primary (Stage 4)</t>
        </is>
      </c>
      <c r="G72" s="66" t="inlineStr">
        <is>
          <t>Locator: TSVTS description. Passage: The SP1/SP2 reports is the primary sources for traffic organization service provided by the TSVTS.</t>
        </is>
      </c>
      <c r="H72" s="66" t="inlineStr">
        <is>
          <t>2026-09-29</t>
        </is>
      </c>
    </row>
    <row r="73" ht="60" customHeight="1" s="63">
      <c r="A73" s="66" t="inlineStr">
        <is>
          <t>SRC-067</t>
        </is>
      </c>
      <c r="B73" s="66" t="inlineStr">
        <is>
          <t>Turk Bogazlari Deniz Trafik Duzeni Yonetmeligi (Karar Sayisi: 1426)</t>
        </is>
      </c>
      <c r="C73" s="66" t="inlineStr">
        <is>
          <t>Resmi Gazete, Republic of Turkey</t>
        </is>
      </c>
      <c r="D73" s="67" t="inlineStr">
        <is>
          <t>https://www.resmigazete.gov.tr/eskiler/2019/08/20190815-18.pdf</t>
        </is>
      </c>
      <c r="E73" s="66" t="inlineStr">
        <is>
          <t>15 Agustos 2019</t>
        </is>
      </c>
      <c r="F73" s="66" t="inlineStr">
        <is>
          <t>Primary (Stage 4)</t>
        </is>
      </c>
      <c r="G73" s="66" t="inlineStr">
        <is>
          <t>Locator: Madde 3 (l), (n); Madde 4(2) Kuzeyde; Madde 5(1); Madde 7 (scanned PDF, read as page images). Passage: Bakanlik/Idare, trafik ayirim duzeninin uygulanmasi, denetlenmesi ve rapor sisteminin islerligi icin Turk Bogazlari Gemi Trafik Hizmetleri Sistemi'ni kurar.</t>
        </is>
      </c>
      <c r="H73" s="66" t="inlineStr">
        <is>
          <t>2026-09-29</t>
        </is>
      </c>
    </row>
    <row r="74" ht="60" customHeight="1" s="63">
      <c r="A74" s="66" t="inlineStr">
        <is>
          <t>SRC-068</t>
        </is>
      </c>
      <c r="B74" s="66" t="inlineStr">
        <is>
          <t>Stelechosi ton Kentron Parakolouthisis thalassias Kykloforias (VTS) tis Choras (administrative procedure entry)</t>
        </is>
      </c>
      <c r="C74" s="66" t="inlineStr">
        <is>
          <t>mitos.gov.gr, Hellenic Government (Hellenic Coast Guard)</t>
        </is>
      </c>
      <c r="D74" s="67" t="inlineStr">
        <is>
          <t>https://mitos.gov.gr/index.php/%CE%94%CE%94:%CE%A3%CF%84%CE%B5%CE%BB%CE%AD%CF%87%CF%89%CF%83%CE%B7_%CF%84%CF%89%CE%BD_%CE%9A%CE%AD%CE%BD%CF%84%CF%81%CF%89%CE%BD_%CE%A0%CE%B1%CF%81%CE%B1%CE%BA%CE%BF%CE%BB%CE%BF%CF%8D%CE%B8%CE%B7%CF%83%CE%B7%CF%82_%CE%B8%CE%B1%CE%BB%CE%AC%CF%83%CF%83%CE%B9%CE%B1%CF%82_%CE%9A%CF%85%CE%BA%CE%BB%CE%BF%CF%86%CE%BF%CF%81%CE%AF%CE%B1%CF%82_(VTS)_%CF%84%CE%B7%CF%82_%CE%A7%CF%8E%CF%81%CE%B1%CF%82</t>
        </is>
      </c>
      <c r="E74" s="66" t="inlineStr">
        <is>
          <t>Last updated 02/09/2026</t>
        </is>
      </c>
      <c r="F74" s="66" t="inlineStr">
        <is>
          <t>Supporting (Stage 4)</t>
        </is>
      </c>
      <c r="G74" s="66" t="inlineStr">
        <is>
          <t>Locator: Procedure description (no centre list). Passage: (WebFetch summary only: page describes staffing of VTS centres under the Hellenic Coast Guard; no centre list or areas; no verbatim passage retained)</t>
        </is>
      </c>
      <c r="H74" s="66" t="inlineStr">
        <is>
          <t>2026-09-29</t>
        </is>
      </c>
    </row>
    <row r="75" ht="60" customHeight="1" s="63">
      <c r="A75" s="66" t="inlineStr">
        <is>
          <t>SRC-069</t>
        </is>
      </c>
      <c r="B75" s="66" t="inlineStr">
        <is>
          <t>Systimata parakolouthisis ploion ana tin ydrogeio (student paper, AEN course platform)</t>
        </is>
      </c>
      <c r="C75" s="66" t="inlineStr">
        <is>
          <t>maredu.hcg.gr (Hellenic merchant marine academy e-class)</t>
        </is>
      </c>
      <c r="D75" s="67" t="inlineStr">
        <is>
          <t>https://maredu.hcg.gr/modules/document/file.php/MAK264/%CE%9D%CE%B1%CF%85%CF%84%CE%B9%CE%BA%CE%AD%CF%82%20%CE%95%CF%80%CE%B9%CE%BA%CE%BF%CE%B9%CE%BD%CF%89%CE%BD%CE%AF%CE%B5%CF%82%20-%20%CE%9D%CE%97%CE%9F/%CE%A3%CF%85%CF%83%CF%84%CE%AE%CE%BC%CE%B1%CF%84%CE%B1%20%CF%80%CE%B1%CF%81%CE%B1%CE%BA%CE%BF%CE%BB%CE%BF%CF%8D%CE%B8%CE%B7%CF%83%CE%B7%CF%82%20%CF%80%CE%BB%CE%BF%CE%AF%CF%89%CE%BD%20%CE%B1%CE%BD%CE%AC%20%CF%84%CE%B7%CE%BD%20%CF%85%CF%86%CE%AE%CE%BB%CE%B9%CE%BF%20%CE%BA%CE%B1%CE%B9%20%CE%B5%CE%BE%CE%BF%CF%80%CE%BB%CE%B9%CF%83%CE%BC%CF%8C%CF%82%20%CE%B5%CF%80%CE%AF%20%CF%84%CE%BF%CF%85%20%CF%80%CE%BB%CE%BF%CE%AF%CE%BF%CF%85.pdf</t>
        </is>
      </c>
      <c r="E75" s="66" t="inlineStr">
        <is>
          <t>Undated</t>
        </is>
      </c>
      <c r="F75" s="66" t="inlineStr">
        <is>
          <t>Lead only</t>
        </is>
      </c>
      <c r="G75" s="66" t="inlineStr">
        <is>
          <t>Locator: Section 1.2 VTMIS. Passage: Τα VTS που έχουν αναπτυχθεί στα λιμάνια του Πειραιά, Πάτρας, Ηγουμενίτσας και Κέρκυρας συνδέονται με το Εθνικό κέντρο VTMIS</t>
        </is>
      </c>
      <c r="H75" s="66" t="inlineStr">
        <is>
          <t>2026-09-29</t>
        </is>
      </c>
    </row>
    <row r="76" ht="60" customHeight="1" s="63">
      <c r="A76" s="66" t="inlineStr">
        <is>
          <t>SRC-070</t>
        </is>
      </c>
      <c r="B76" s="66" t="inlineStr">
        <is>
          <t>Gemi Trafik ve Kılavuzluk Hizmeti (Turkish-language VTS page)</t>
        </is>
      </c>
      <c r="C76" s="66" t="inlineStr">
        <is>
          <t>KEGM, Türkiye</t>
        </is>
      </c>
      <c r="D76" s="67" t="inlineStr">
        <is>
          <t>https://www.kiyiemniyeti.gov.tr/gemi_trafik_ve_kilavuzluk_hizmeti</t>
        </is>
      </c>
      <c r="E76" s="66" t="inlineStr">
        <is>
          <t>Undated</t>
        </is>
      </c>
      <c r="F76" s="66" t="inlineStr">
        <is>
          <t>Primary (Stage 4)</t>
        </is>
      </c>
      <c r="G76" s="66" t="inlineStr">
        <is>
          <t>Locator: Türk Boğazları Gemi Trafik Hizmetleri paragraph. Passage: TBGTH sistemi, 2008 yılında ilave edilen bileşenler ile Marmara Denizi’ndeki “Trafik Ayırım Düzenini” içerecek şekilde genişletilmiş</t>
        </is>
      </c>
      <c r="H76" s="66" t="inlineStr">
        <is>
          <t>2026-09-29</t>
        </is>
      </c>
    </row>
    <row r="77" ht="60" customHeight="1" s="63">
      <c r="A77" s="66" t="inlineStr">
        <is>
          <t>SRC-071</t>
        </is>
      </c>
      <c r="B77" s="66" t="inlineStr">
        <is>
          <t>Türk Boğazları Deniz Trafik Düzeni Yönetmeliği Uygulama Yönergesi (Implementing Directive of the Turkish Straits Maritime Traffic Regulation)</t>
        </is>
      </c>
      <c r="C77" s="66" t="inlineStr">
        <is>
          <t>Ministry of Transport and Infrastructure, Türkiye (Denizcilik Genel Müdürlüğü)</t>
        </is>
      </c>
      <c r="D77" s="67" t="inlineStr">
        <is>
          <t>https://denizcilik.uab.gov.tr/uploads/pages/yonerge-talimat/tbdtduy.pdf</t>
        </is>
      </c>
      <c r="E77" s="66" t="inlineStr">
        <is>
          <t>Approved 04.12.2023 (Olur No. 1493540)</t>
        </is>
      </c>
      <c r="F77" s="66" t="inlineStr">
        <is>
          <t>Primary (Stage 4)</t>
        </is>
      </c>
      <c r="G77" s="66" t="inlineStr">
        <is>
          <t>Locator: Madde 1; Madde 12 (Türk Boğazlarında rapor sistemi); Madde 18. Passage: Bildirim yükümlülüğüne uyulmaması veya yapılan bildirimlerin doğru bilgiler içermemesi durumunda ... bildirimi yapılan gemi geçiş sırasını kaybeder.</t>
        </is>
      </c>
      <c r="H77" s="66" t="inlineStr">
        <is>
          <t>2026-09-29</t>
        </is>
      </c>
    </row>
    <row r="78" ht="60" customHeight="1" s="63">
      <c r="A78" s="66" t="inlineStr">
        <is>
          <t>SRC-072</t>
        </is>
      </c>
      <c r="B78" s="66" t="inlineStr">
        <is>
          <t>Resolution A.827(19) Ships' Routeing, Annex 2: Rules and Recommendations on Navigation through the Strait of Istanbul, the Strait of Canakkale and the Marmara Sea</t>
        </is>
      </c>
      <c r="C78" s="66" t="inlineStr">
        <is>
          <t>IMO Assembly</t>
        </is>
      </c>
      <c r="D78" s="67" t="inlineStr">
        <is>
          <t>https://wwwcdn.imo.org/localresources/en/KnowledgeCentre/IndexofIMOResolutions/AssemblyDocuments/A.827(19).pdf</t>
        </is>
      </c>
      <c r="E78" s="66" t="inlineStr">
        <is>
          <t>Adopted 23 November 1995; issued 15 December 1995</t>
        </is>
      </c>
      <c r="F78" s="66" t="inlineStr">
        <is>
          <t>Primary (Stage 4)</t>
        </is>
      </c>
      <c r="G78" s="66" t="inlineStr">
        <is>
          <t>Locator: Annex 2, para 2.1. Passage: All vessels entering the Straits are strongly recommended to participate in the reporting system (TUBRAP) established by the competent authority</t>
        </is>
      </c>
      <c r="H78" s="66" t="inlineStr">
        <is>
          <t>2026-09-29</t>
        </is>
      </c>
    </row>
    <row r="79" ht="60" customHeight="1" s="63">
      <c r="A79" s="66" t="inlineStr">
        <is>
          <t>SRC-073</t>
        </is>
      </c>
      <c r="B79" s="66" t="inlineStr">
        <is>
          <t>Maritime Traffic Regulations for the Turkish Straits (English translation of 2019 Regulation)</t>
        </is>
      </c>
      <c r="C79" s="66" t="inlineStr">
        <is>
          <t>Unofficial copy hosted by media.ellinikahoaxes.gr (translation of Turkish regulation, OG 15/8/2019 No. 30859)</t>
        </is>
      </c>
      <c r="D79" s="67" t="inlineStr">
        <is>
          <t>https://media.ellinikahoaxes.gr/uploads/2021/03/TURK-BOGAZLARI-DENIZ-TRAFIK-DUZENI-YONETMELIGI-INGILIZCE-2019.pdf</t>
        </is>
      </c>
      <c r="E79" s="66" t="inlineStr">
        <is>
          <t>Undated (file 2021)</t>
        </is>
      </c>
      <c r="F79" s="66" t="inlineStr">
        <is>
          <t>Lead only</t>
        </is>
      </c>
      <c r="G79" s="66" t="inlineStr">
        <is>
          <t>Locator: Art. 3(l), Art. 4, Art. 5, Art. 7; Annex 1.1 to 1.5. Passage: TUBRAP means Turkish Straits Reporting System including the Sailing Plan-1 and 2 as well as calling point report.</t>
        </is>
      </c>
      <c r="H79" s="66" t="inlineStr">
        <is>
          <t>2026-09-29</t>
        </is>
      </c>
    </row>
    <row r="80" ht="60" customHeight="1" s="63">
      <c r="A80" s="66" t="inlineStr">
        <is>
          <t>SRC-074</t>
        </is>
      </c>
      <c r="B80" s="66" t="inlineStr">
        <is>
          <t>Resolution A.374(X) Routeing systems</t>
        </is>
      </c>
      <c r="C80" s="66" t="inlineStr">
        <is>
          <t>IMCO/IMO Assembly</t>
        </is>
      </c>
      <c r="D80" s="67" t="inlineStr">
        <is>
          <t>https://wwwcdn.imo.org/localresources/en/KnowledgeCentre/IndexofIMOResolutions/AssemblyDocuments/A.374(10).pdf</t>
        </is>
      </c>
      <c r="E80" s="66" t="inlineStr">
        <is>
          <t>Adopted 14 November 1977; issued 18 January 1978</t>
        </is>
      </c>
      <c r="F80" s="66" t="inlineStr">
        <is>
          <t>Primary (Stage 4)</t>
        </is>
      </c>
      <c r="G80" s="66" t="inlineStr">
        <is>
          <t>Locator: Annex pp.6 and 10 (scanned, OCR). Passage: IN THE GULF OF SUEZ (new scheme) ... IN THE SOUTHERN APPROACHES TO THE KERCH STRAIT (new scheme) (Reference chart: USSR Chart No. 514)</t>
        </is>
      </c>
      <c r="H80" s="66" t="inlineStr">
        <is>
          <t>2026-09-29</t>
        </is>
      </c>
    </row>
    <row r="81" ht="60" customHeight="1" s="63">
      <c r="A81" s="66" t="inlineStr">
        <is>
          <t>SRC-075</t>
        </is>
      </c>
      <c r="B81" s="66" t="inlineStr">
        <is>
          <t>Proposals have been drafted to amend the Traffic Separation Scheme (TSS) No 2. In the Approaches to the Chornomorsk, Odesa and Pivdennyi Ports</t>
        </is>
      </c>
      <c r="C81" s="66" t="inlineStr">
        <is>
          <t>State Service for Maritime and River Transport of Ukraine (Marad)</t>
        </is>
      </c>
      <c r="D81" s="67" t="inlineStr">
        <is>
          <t>https://marad.gov.ua/storage/app/sites/1/international-activities/Propozicii_sistemi_rozpodilu_ryhu_en.pdf</t>
        </is>
      </c>
      <c r="E81" s="66" t="inlineStr">
        <is>
          <t>Undated</t>
        </is>
      </c>
      <c r="F81" s="66" t="inlineStr">
        <is>
          <t>Primary (Stage 4)</t>
        </is>
      </c>
      <c r="G81" s="66" t="inlineStr">
        <is>
          <t>Locator: Introduction; Figure 1 caption; Summary. Passage: combine 2 previously adopted by the IMO systems into one system</t>
        </is>
      </c>
      <c r="H81" s="66" t="inlineStr">
        <is>
          <t>2026-09-29</t>
        </is>
      </c>
    </row>
    <row r="82" ht="60" customHeight="1" s="63">
      <c r="A82" s="66" t="inlineStr">
        <is>
          <t>SRC-076</t>
        </is>
      </c>
      <c r="B82" s="66" t="inlineStr">
        <is>
          <t>COLREG.2/Circ.78 New separation schemes and associated measures (member circular summary)</t>
        </is>
      </c>
      <c r="C82" s="66" t="inlineStr">
        <is>
          <t>Hong Kong Shipowners Association (secondary summary of IMO circular)</t>
        </is>
      </c>
      <c r="D82" s="67" t="inlineStr">
        <is>
          <t>https://hksoa.org/member_circulars/colreg-2-circ-78-new-separation-schemes-and-associated-measures/</t>
        </is>
      </c>
      <c r="E82" s="66" t="inlineStr">
        <is>
          <t>Circular issued 13 December 2022 (per page)</t>
        </is>
      </c>
      <c r="F82" s="66" t="inlineStr">
        <is>
          <t>Lead only</t>
        </is>
      </c>
      <c r="G82" s="66" t="inlineStr">
        <is>
          <t>Locator: Circular summary. Passage: The new traffic separation schemes and associated measures will be implemented at 0000 hours UTC on 1 June 2023</t>
        </is>
      </c>
      <c r="H82" s="66" t="inlineStr">
        <is>
          <t>2026-09-29</t>
        </is>
      </c>
    </row>
    <row r="83" ht="60" customHeight="1" s="63">
      <c r="A83" s="66" t="inlineStr">
        <is>
          <t>SRC-077</t>
        </is>
      </c>
      <c r="B83" s="66" t="inlineStr">
        <is>
          <t>INFORMATION for shipowners, agents, port operators regarding navigation along the approach corridor to the ports of Ukraine (Chornomorsk, Odesa, Pivdennyi)</t>
        </is>
      </c>
      <c r="C83" s="66" t="inlineStr">
        <is>
          <t>State Enterprise Ukrainian Sea Ports Authority (USPA)</t>
        </is>
      </c>
      <c r="D83" s="67" t="inlineStr">
        <is>
          <t>https://www.uspa.gov.ua/en/announcements-en/information-for-shipowners-agents-port-operators</t>
        </is>
      </c>
      <c r="E83" s="66" t="inlineStr">
        <is>
          <t>29.07.2022</t>
        </is>
      </c>
      <c r="F83" s="66" t="inlineStr">
        <is>
          <t>Primary (Stage 4)</t>
        </is>
      </c>
      <c r="G83" s="66" t="inlineStr">
        <is>
          <t>Locator: Organization of communication, coordination and information exchange. Passage: “Delta-Lotsman” branch of SE “USPA”: pilot-operator of VTCP Odesa</t>
        </is>
      </c>
      <c r="H83" s="66" t="inlineStr">
        <is>
          <t>2026-09-29</t>
        </is>
      </c>
    </row>
    <row r="84" ht="60" customHeight="1" s="63">
      <c r="A84" s="66" t="inlineStr">
        <is>
          <t>SRC-078</t>
        </is>
      </c>
      <c r="B84" s="66" t="inlineStr">
        <is>
          <t>Ukraine's statement on MSI issues (BASWG15, agenda item 7)</t>
        </is>
      </c>
      <c r="C84" s="66" t="inlineStr">
        <is>
          <t>Government of Ukraine, submitted to IHO Mediterranean and Black Seas Hydrographic Commission, Black and Azov Seas Working Group</t>
        </is>
      </c>
      <c r="D84" s="67" t="inlineStr">
        <is>
          <t>https://iho.int/uploads/user/Inter-Regional%20Coordination/RHC/MBSHC/BASWG/BASWG15/StatementOnMSI_Ukraine.pdf</t>
        </is>
      </c>
      <c r="E84" s="66" t="inlineStr">
        <is>
          <t>Undated (refers to events of April 2021)</t>
        </is>
      </c>
      <c r="F84" s="66" t="inlineStr">
        <is>
          <t>Primary (Stage 4)</t>
        </is>
      </c>
      <c r="G84" s="66" t="inlineStr">
        <is>
          <t>Locator: Para 3. Passage: the Russian Federation disables the usage of traffic separation schemes established by the IMO</t>
        </is>
      </c>
      <c r="H84" s="66" t="inlineStr">
        <is>
          <t>2026-09-29</t>
        </is>
      </c>
    </row>
    <row r="85" ht="60" customHeight="1" s="63">
      <c r="A85" s="66" t="inlineStr">
        <is>
          <t>SRC-079</t>
        </is>
      </c>
      <c r="B85" s="66" t="inlineStr">
        <is>
          <t>Circular Letter No.4508 Communication from the Government of Ukraine</t>
        </is>
      </c>
      <c r="C85" s="66" t="inlineStr">
        <is>
          <t>IMO Secretariat (copy hosted by MARINA, Philippines)</t>
        </is>
      </c>
      <c r="D85" s="67" t="inlineStr">
        <is>
          <t>https://marina.gov.ph/wp-content/uploads/2022/03/Circular-Letter-No.4508-Communication-From-The-Government-Of-Ukraine-Secretariat1.pdf</t>
        </is>
      </c>
      <c r="E85" s="66" t="inlineStr">
        <is>
          <t>9 February 2022</t>
        </is>
      </c>
      <c r="F85" s="66" t="inlineStr">
        <is>
          <t>Primary (Stage 4)</t>
        </is>
      </c>
      <c r="G85" s="66" t="inlineStr">
        <is>
          <t>Locator: Annex, report as of January 2022, section on suspension of innocent passage. Passage: the Russian Federation interfered with the functioning of three traffic separation schemes approved by the IMO: “Approaches to the Kerch Strait from the South”, “From Cape Chersonese to Cape Ai-Todor” and “Approaches to the port of Sevastopol”</t>
        </is>
      </c>
      <c r="H85" s="66" t="inlineStr">
        <is>
          <t>2026-09-29</t>
        </is>
      </c>
    </row>
    <row r="86" ht="60" customHeight="1" s="63">
      <c r="A86" s="66" t="inlineStr">
        <is>
          <t>SRC-080</t>
        </is>
      </c>
      <c r="B86" s="66" t="inlineStr">
        <is>
          <t>Lockheed Martin monitor system (Gulf of Suez VTIMS)</t>
        </is>
      </c>
      <c r="C86" s="66" t="inlineStr">
        <is>
          <t>MarineLink (trade press)</t>
        </is>
      </c>
      <c r="D86" s="67" t="inlineStr">
        <is>
          <t>https://www.marinelink.com/news/307563</t>
        </is>
      </c>
      <c r="E86" s="66" t="inlineStr">
        <is>
          <t>15 August 2002</t>
        </is>
      </c>
      <c r="F86" s="66" t="inlineStr">
        <is>
          <t>Lead only</t>
        </is>
      </c>
      <c r="G86" s="66" t="inlineStr">
        <is>
          <t>Locator: Article body. Passage: Two VTCs are in operation on the Gulf and a third is located in the Port of Safaga on the Red Sea.</t>
        </is>
      </c>
      <c r="H86" s="66" t="inlineStr">
        <is>
          <t>2026-09-29</t>
        </is>
      </c>
    </row>
    <row r="87" ht="60" customHeight="1" s="63">
      <c r="A87" s="66" t="inlineStr">
        <is>
          <t>SRC-081</t>
        </is>
      </c>
      <c r="B87" s="66" t="inlineStr">
        <is>
          <t>Marine Notice No. 13 of 2017: Vessels Requiring a Place of Refuge for Repairs</t>
        </is>
      </c>
      <c r="C87" s="66" t="inlineStr">
        <is>
          <t>South African Maritime Safety Authority (copy hosted by West P&amp;I)</t>
        </is>
      </c>
      <c r="D87" s="67" t="inlineStr">
        <is>
          <t>https://www.westpandi.com/globalassets/news/mn-13-of-2017.pdf</t>
        </is>
      </c>
      <c r="E87" s="66" t="inlineStr">
        <is>
          <t>27 June 2017</t>
        </is>
      </c>
      <c r="F87" s="66" t="inlineStr">
        <is>
          <t>Supporting (Stage 4)</t>
        </is>
      </c>
      <c r="G87" s="66" t="inlineStr">
        <is>
          <t>Locator: Introduction. Passage: vessels whose passage plan requires them to transit South African waters and have had their seaworthiness or safety compromised, are failing to report this to SAMSA</t>
        </is>
      </c>
      <c r="H87" s="66" t="inlineStr">
        <is>
          <t>2026-09-29</t>
        </is>
      </c>
    </row>
    <row r="88" ht="60" customHeight="1" s="63">
      <c r="A88" s="66" t="inlineStr">
        <is>
          <t>SRC-082</t>
        </is>
      </c>
      <c r="B88" s="66" t="inlineStr">
        <is>
          <t>SASAR Regulations, 2016, Regulation 30 Ship reporting system</t>
        </is>
      </c>
      <c r="C88" s="66" t="inlineStr">
        <is>
          <t>South African statutory text (reproduced by Juta/acts.co.za)</t>
        </is>
      </c>
      <c r="D88" s="67" t="inlineStr">
        <is>
          <t>https://source.acts.co.za/south-african-maritime-and%20aeronautical-search-and-rescue-act-2002/r604_30__ship_reporting_sy.php</t>
        </is>
      </c>
      <c r="E88" s="66" t="inlineStr">
        <is>
          <t>Undated page (Regulations 2016)</t>
        </is>
      </c>
      <c r="F88" s="66" t="inlineStr">
        <is>
          <t>Supporting (Stage 4)</t>
        </is>
      </c>
      <c r="G88" s="66" t="inlineStr">
        <is>
          <t>Locator: Regulation 30. Passage: A ship reporting system must be established in terms of Chapter 5 of the Maritime SAR Convention</t>
        </is>
      </c>
      <c r="H88" s="66" t="inlineStr">
        <is>
          <t>2026-09-29</t>
        </is>
      </c>
    </row>
    <row r="89" ht="60" customHeight="1" s="63">
      <c r="A89" s="66" t="inlineStr">
        <is>
          <t>SRC-083</t>
        </is>
      </c>
      <c r="B89" s="66" t="inlineStr">
        <is>
          <t>Port Marine Circular No. 65 of 1998: Mandatory Ship Reporting System in the Straits of Malacca and Singapore - STRAITREP (attaching SN/Circ.201, resolution MSC.73(69) Annex 1, and SN/Circ.201/Corr.1)</t>
        </is>
      </c>
      <c r="C89" s="66" t="inlineStr">
        <is>
          <t>MPA / IMO</t>
        </is>
      </c>
      <c r="D89" s="67" t="inlineStr">
        <is>
          <t>https://www.mpa.gov.sg/api/media/78c165e3-67e4-4da3-9496-c196739374d2/-pc98-65.pdf</t>
        </is>
      </c>
      <c r="E89" s="66" t="inlineStr">
        <is>
          <t>20 Oct 98 (MSC.73(69) adopted 19 May 1998)</t>
        </is>
      </c>
      <c r="F89" s="66" t="inlineStr">
        <is>
          <t>Primary (Stage 4)</t>
        </is>
      </c>
      <c r="G89" s="66" t="inlineStr">
        <is>
          <t>Locator: MSC.73(69) Annex 1, paras 1.1, 2.1, 3.3, 3.4. Passage: The operational area of STRAITREP covers the Straits of Malacca and Singapore between longitudes 100°40'E and 104°23'E ... The area includes the routeing system in the Straits of Malacca and Singapore.</t>
        </is>
      </c>
      <c r="H89" s="66" t="inlineStr">
        <is>
          <t>2026-09-29</t>
        </is>
      </c>
    </row>
    <row r="90" ht="60" customHeight="1" s="63">
      <c r="A90" s="66" t="inlineStr">
        <is>
          <t>SRC-084</t>
        </is>
      </c>
      <c r="B90" s="66" t="inlineStr">
        <is>
          <t>Singapore Port Information 2026, Chartlets: STRAITREP Operational Area (Sectors 1 to 9) (Appendix 1) and (Sectors 7 to 9) (Appendix 2)</t>
        </is>
      </c>
      <c r="C90" s="66" t="inlineStr">
        <is>
          <t>MPA</t>
        </is>
      </c>
      <c r="D90" s="67" t="inlineStr">
        <is>
          <t>https://file.go.gov.sg/spi2026apr17.pdf</t>
        </is>
      </c>
      <c r="E90" s="66" t="inlineStr">
        <is>
          <t>Updated to 17 Apr 2026</t>
        </is>
      </c>
      <c r="F90" s="66" t="inlineStr">
        <is>
          <t>Primary (Stage 4)</t>
        </is>
      </c>
      <c r="G90" s="66" t="inlineStr">
        <is>
          <t>Locator: pp. 16, 119-120 (chartlet images, interpreted visually). Passage: STRAITREP OPERATIONAL AREA (SECTORS 1 TO 9) ... SECTOR 1 ANGSA ... SECTOR 2 JUGRA ... SECTOR 4 UNDAN ... SECTOR 5 SEGENTING ... SECTOR 6 PIAI</t>
        </is>
      </c>
      <c r="H90" s="66" t="inlineStr">
        <is>
          <t>2026-09-29</t>
        </is>
      </c>
    </row>
    <row r="91" ht="60" customHeight="1" s="63">
      <c r="A91" s="66" t="inlineStr">
        <is>
          <t>SRC-085</t>
        </is>
      </c>
      <c r="B91" s="66" t="inlineStr">
        <is>
          <t>COLREG.2/Circ.54/Add.1: Delay in implementation of the new TSS Approaches to the Port of Ra's al Khafji (Note by the Government of Saudi Arabia)</t>
        </is>
      </c>
      <c r="C91" s="66" t="inlineStr">
        <is>
          <t>IMO (copy hosted by Shanghai Maritime University CIMRC)</t>
        </is>
      </c>
      <c r="D91" s="67" t="inlineStr">
        <is>
          <t>https://cimrc.shmtu.edu.cn/_upload/article/files/63/dc/35c66be74d12873254dc88a2ef00/aa83707e-76b8-4c8b-b69d-ff9f9a86bd6c.pdf</t>
        </is>
      </c>
      <c r="E91" s="66" t="inlineStr">
        <is>
          <t>13 September 2004</t>
        </is>
      </c>
      <c r="F91" s="66" t="inlineStr">
        <is>
          <t>Supporting (Stage 4)</t>
        </is>
      </c>
      <c r="G91" s="66" t="inlineStr">
        <is>
          <t>Locator: para 1. Passage: will not be implemented at 0000 hours UTC on 1 December 2004 as envisaged and that the implementation date has been postponed to 1 June 2005.</t>
        </is>
      </c>
      <c r="H91" s="66" t="inlineStr">
        <is>
          <t>2026-09-29</t>
        </is>
      </c>
    </row>
    <row r="92" ht="60" customHeight="1" s="63">
      <c r="A92" s="66" t="inlineStr">
        <is>
          <t>SRC-086</t>
        </is>
      </c>
      <c r="B92" s="66" t="inlineStr">
        <is>
          <t>Resolution A.284(VIII) Routeing systems</t>
        </is>
      </c>
      <c r="C92" s="66" t="inlineStr">
        <is>
          <t>IMCO Assembly (IMO Knowledge Centre)</t>
        </is>
      </c>
      <c r="D92" s="67" t="inlineStr">
        <is>
          <t>https://wwwcdn.imo.org/localresources/en/KnowledgeCentre/IndexofIMOResolutions/AssemblyDocuments/A.284(8).pdf</t>
        </is>
      </c>
      <c r="E92" s="66" t="inlineStr">
        <is>
          <t>adopted on 20 November 1973</t>
        </is>
      </c>
      <c r="F92" s="66" t="inlineStr">
        <is>
          <t>Primary (Stage 4)</t>
        </is>
      </c>
      <c r="G92" s="66" t="inlineStr">
        <is>
          <t>Locator: Annex: In the Strait of Bab el Mandeb; In the Strait of Hormuz; Tunb-Farur; In the approach to Ras Tanura (pp. 41-43). Passage: TUNB-FARUR (Reference chart: British Admiralty 2837) Description of the traffic separation scheme Separation of traffic in this area is achieved by establishing separate traffic lanes.</t>
        </is>
      </c>
      <c r="H92" s="66" t="inlineStr">
        <is>
          <t>2026-09-29</t>
        </is>
      </c>
    </row>
    <row r="93" ht="60" customHeight="1" s="63">
      <c r="A93" s="66" t="inlineStr">
        <is>
          <t>SRC-087</t>
        </is>
      </c>
      <c r="B93" s="66" t="inlineStr">
        <is>
          <t>Resolution A.338(IX) Routeing systems</t>
        </is>
      </c>
      <c r="C93" s="66" t="inlineStr">
        <is>
          <t>IMCO Assembly (IMO Knowledge Centre)</t>
        </is>
      </c>
      <c r="D93" s="67" t="inlineStr">
        <is>
          <t>https://wwwcdn.imo.org/localresources/en/KnowledgeCentre/IndexofIMOResolutions/AssemblyDocuments/A.338%289%29.pdf</t>
        </is>
      </c>
      <c r="E93" s="66" t="inlineStr">
        <is>
          <t>adopted on 12 November 1975</t>
        </is>
      </c>
      <c r="F93" s="66" t="inlineStr">
        <is>
          <t>Primary (Stage 4)</t>
        </is>
      </c>
      <c r="G93" s="66" t="inlineStr">
        <is>
          <t>Locator: Annex p. 9 'In the approaches to Ras Tanura and Ju'aymah (as amended)' Parts I to III. Passage: IN THE APPROACHES TO RAS TANURA AND JU'AYMAH (as amended) ... Part I: Ras Tanura Approach ... Part II: Ju'aymah Approach ... Part III: Ju'aymah Departure</t>
        </is>
      </c>
      <c r="H93" s="66" t="inlineStr">
        <is>
          <t>2026-09-29</t>
        </is>
      </c>
    </row>
    <row r="94" ht="60" customHeight="1" s="63">
      <c r="A94" s="66" t="inlineStr">
        <is>
          <t>SRC-088</t>
        </is>
      </c>
      <c r="B94" s="66" t="inlineStr">
        <is>
          <t>Middle East / Strait of Hormuz (hot topic page)</t>
        </is>
      </c>
      <c r="C94" s="66" t="inlineStr">
        <is>
          <t>International Maritime Organization</t>
        </is>
      </c>
      <c r="D94" s="67" t="inlineStr">
        <is>
          <t>https://www.imo.org/en/mediacentre/hottopics/pages/middle-east-strait-of-hormuz.aspx</t>
        </is>
      </c>
      <c r="E94" s="66" t="inlineStr">
        <is>
          <t>23 September 2026 (as reported by fetch tool)</t>
        </is>
      </c>
      <c r="F94" s="66" t="inlineStr">
        <is>
          <t>Primary (Stage 4)</t>
        </is>
      </c>
      <c r="G94" s="66" t="inlineStr">
        <is>
          <t>Locator: Strait of Hormuz section. Passage: The existing Traffic Separation Scheme (TSS) in the Strait of Hormuz was proposed by Iran and Oman and adopted by IMO in 1968.</t>
        </is>
      </c>
      <c r="H94" s="66" t="inlineStr">
        <is>
          <t>2026-09-29</t>
        </is>
      </c>
    </row>
    <row r="95" ht="60" customHeight="1" s="63">
      <c r="A95" s="66" t="inlineStr">
        <is>
          <t>SRC-089</t>
        </is>
      </c>
      <c r="B95" s="66" t="inlineStr">
        <is>
          <t>Port Marine Notice DZM/MN/019/2023: Traffic arrangement in Zaqqum TSS during pipe laying operation by DLB 750</t>
        </is>
      </c>
      <c r="C95" s="66" t="inlineStr">
        <is>
          <t>ADNOC (Harbour Master, Port of Das, Zirku &amp; Mubarraz)</t>
        </is>
      </c>
      <c r="D95" s="67" t="inlineStr">
        <is>
          <t>https://ppa.adnoc.ae/-/media/ppa/files/marine-notices/local-marine-notices/das/2023/marine-notice-019-2023---pipe-laying-operation---traffic-arrangement-in-zaqqum-tss.ashx</t>
        </is>
      </c>
      <c r="E95" s="66" t="inlineStr">
        <is>
          <t>14/03/2023 (Type of Change: Temporary)</t>
        </is>
      </c>
      <c r="F95" s="66" t="inlineStr">
        <is>
          <t>Primary (Stage 4)</t>
        </is>
      </c>
      <c r="G95" s="66" t="inlineStr">
        <is>
          <t>Locator: p. 1 and Caution (d), (g). Passage: the traffic within Zaqqum Traffic Separation Scheme will be re-arranged ... Maintain a listening watch on VHF Channel 23 (Das VTIS) all times</t>
        </is>
      </c>
      <c r="H95" s="66" t="inlineStr">
        <is>
          <t>2026-09-29</t>
        </is>
      </c>
    </row>
    <row r="96" ht="60" customHeight="1" s="63">
      <c r="A96" s="66" t="inlineStr">
        <is>
          <t>SRC-090</t>
        </is>
      </c>
      <c r="B96" s="66" t="inlineStr">
        <is>
          <t>MEPC 80/16/3: Call for establishment of a new traffic separation scheme south of Sri Lanka (IWC, ICS, BIMCO, INTERTANKO et al.)</t>
        </is>
      </c>
      <c r="C96" s="66" t="inlineStr">
        <is>
          <t>IMO document submitted by IWC and industry bodies (copy hosted by World Shipping Council)</t>
        </is>
      </c>
      <c r="D96" s="67" t="inlineStr">
        <is>
          <t>https://www.worldshipping.org/s/MEPC-80-16-3-Call-for-establishment-of-a-new-traffic-separation-scheme-south-of-Sri-Lanka-IWC-ICS-BI.pdf</t>
        </is>
      </c>
      <c r="E96" s="66" t="inlineStr">
        <is>
          <t>28 April 2023</t>
        </is>
      </c>
      <c r="F96" s="66" t="inlineStr">
        <is>
          <t>Supporting (Stage 4)</t>
        </is>
      </c>
      <c r="G96" s="66" t="inlineStr">
        <is>
          <t>Locator: para 2. Passage: The existing TSS located south of Dondra Head (see Ships' Routing, Section IV - Indian Ocean and adjacent waters, IMO publication) was established in 1980</t>
        </is>
      </c>
      <c r="H96" s="66" t="inlineStr">
        <is>
          <t>2026-09-29</t>
        </is>
      </c>
    </row>
    <row r="97" ht="60" customHeight="1" s="63">
      <c r="A97" s="66" t="inlineStr">
        <is>
          <t>SRC-091</t>
        </is>
      </c>
      <c r="B97" s="66" t="inlineStr">
        <is>
          <t>Marine Security Bulletin 14/2026: Security incident in the Arabian Gulf</t>
        </is>
      </c>
      <c r="C97" s="66" t="inlineStr">
        <is>
          <t>Liberia Maritime Authority (flag administration)</t>
        </is>
      </c>
      <c r="D97" s="67" t="inlineStr">
        <is>
          <t>https://www.liscr.com/marketing/liscr/media/liscr/online%20library/maritime/msb-14_2026.pdf</t>
        </is>
      </c>
      <c r="E97" s="66" t="inlineStr">
        <is>
          <t>2 June 2026</t>
        </is>
      </c>
      <c r="F97" s="66" t="inlineStr">
        <is>
          <t>Primary (Stage 4)</t>
        </is>
      </c>
      <c r="G97" s="66" t="inlineStr">
        <is>
          <t>Locator: Recommendations. Passage: MSCIO encourages companies to register their ships' movements before entering the Voluntary Reporting Area (VRA).</t>
        </is>
      </c>
      <c r="H97" s="66" t="inlineStr">
        <is>
          <t>2026-09-29</t>
        </is>
      </c>
    </row>
    <row r="98" ht="60" customHeight="1" s="63">
      <c r="A98" s="66" t="inlineStr">
        <is>
          <t>SRC-092</t>
        </is>
      </c>
      <c r="B98" s="66" t="inlineStr">
        <is>
          <t>Vessels Arriving in Singapore</t>
        </is>
      </c>
      <c r="C98" s="66" t="inlineStr">
        <is>
          <t>Maritime and Port Authority of Singapore (MPA)</t>
        </is>
      </c>
      <c r="D98" s="67" t="inlineStr">
        <is>
          <t>https://www.mpa.gov.sg/port-marine-ops/arrivals-and-departures/vessels-arriving-in-singapore</t>
        </is>
      </c>
      <c r="E98" s="66" t="inlineStr">
        <is>
          <t>Last Updated 28 Sep 2026</t>
        </is>
      </c>
      <c r="F98" s="66" t="inlineStr">
        <is>
          <t>Primary (Stage 4)</t>
        </is>
      </c>
      <c r="G98" s="66" t="inlineStr">
        <is>
          <t>Locator: VHF reporting stations table: VTIS West / Central / East. Passage: Reporting and listening by vessels in Sector 8, STRAITREP operational area (area between Long. 103°44.5'E and 104°02.1'E). [Sector 7: between the line joining Tg Piai and Pulau Karimun Kecil and Long. 103°44.5'E; Sector 9: between Long. 104°02.1'E and 104°23.0'E]</t>
        </is>
      </c>
      <c r="H98" s="66" t="inlineStr">
        <is>
          <t>2026-09-29</t>
        </is>
      </c>
    </row>
    <row r="99" ht="60" customHeight="1" s="63">
      <c r="A99" s="66" t="inlineStr">
        <is>
          <t>SRC-093</t>
        </is>
      </c>
      <c r="B99" s="66" t="inlineStr">
        <is>
          <t>Singapore Port Information 2025 (Updated to 1 Feb 2025): Straits of Malacca and Singapore Routeing System, Annexes 5 to 8</t>
        </is>
      </c>
      <c r="C99" s="66" t="inlineStr">
        <is>
          <t>Maritime and Port Authority of Singapore (MPA)</t>
        </is>
      </c>
      <c r="D99" s="67" t="inlineStr">
        <is>
          <t>https://file.go.gov.sg/spi2025feb01.pdf</t>
        </is>
      </c>
      <c r="E99" s="66" t="inlineStr">
        <is>
          <t>Updated to 1 Feb 2025</t>
        </is>
      </c>
      <c r="F99" s="66" t="inlineStr">
        <is>
          <t>Primary (Stage 4)</t>
        </is>
      </c>
      <c r="G99" s="66" t="inlineStr">
        <is>
          <t>Locator: Traffic Separation Schemes para 1.5 to 1.8 and 2; Annexes 'In the Singapore Strait (Main Strait)', 'Singapore Strait (Off St. John's Island)', 'Singapore Strait (Off Changi/Pulau Batam)', 'At Horsburgh Lighthouse Area'. Passage: The traffic separation schemes (listed above and detailed at Annexes 1 to 8) were implemented at 0000 hours UTC on 1 December 1998. Source: COLREG.2/Circ.44 ... with amendments from COLREG.2/Circ.54</t>
        </is>
      </c>
      <c r="H99" s="66" t="inlineStr">
        <is>
          <t>2026-09-29</t>
        </is>
      </c>
    </row>
    <row r="100" ht="60" customHeight="1" s="63">
      <c r="A100" s="66" t="inlineStr">
        <is>
          <t>SRC-094</t>
        </is>
      </c>
      <c r="B100" s="66" t="inlineStr">
        <is>
          <t>Resolution MSC.73(69) Mandatory ship reporting systems, Annex 10 (STRAITREP)</t>
        </is>
      </c>
      <c r="C100" s="66" t="inlineStr">
        <is>
          <t>International Maritime Organization</t>
        </is>
      </c>
      <c r="D100" s="67" t="inlineStr">
        <is>
          <t>https://wwwcdn.imo.org/localresources/en/KnowledgeCentre/IndexofIMOResolutions/MSCResolutions/MSC.73(69).pdf</t>
        </is>
      </c>
      <c r="E100" s="66" t="inlineStr">
        <is>
          <t>Adopted 19 May 1998</t>
        </is>
      </c>
      <c r="F100" s="66" t="inlineStr">
        <is>
          <t>Primary (Stage 4)</t>
        </is>
      </c>
      <c r="G100" s="66" t="inlineStr">
        <is>
          <t>Locator: Annex, paras 1, 2.1, 3 and 4 (Authority). Passage: The area includes the routeing system in the Straits of Malacca and Singapore. The area is divided into nine sectors, each has an assigned VHF channel</t>
        </is>
      </c>
      <c r="H100" s="66" t="inlineStr">
        <is>
          <t>2026-09-29</t>
        </is>
      </c>
    </row>
    <row r="101" ht="60" customHeight="1" s="63">
      <c r="A101" s="66" t="inlineStr">
        <is>
          <t>SRC-095</t>
        </is>
      </c>
      <c r="B101" s="66" t="inlineStr">
        <is>
          <t>COLREG.2/Circ.74 New Traffic Separation Schemes</t>
        </is>
      </c>
      <c r="C101" s="66" t="inlineStr">
        <is>
          <t>International Maritime Organization (copy hosted by BIMCO)</t>
        </is>
      </c>
      <c r="D101" s="67" t="inlineStr">
        <is>
          <t>https://bimco.org/media/gusfhkrc/colreg2circ74-new-traffic-separation-schemes-secretariat.pdf</t>
        </is>
      </c>
      <c r="E101" s="66" t="inlineStr">
        <is>
          <t>14 June 2019</t>
        </is>
      </c>
      <c r="F101" s="66" t="inlineStr">
        <is>
          <t>Primary (Stage 4)</t>
        </is>
      </c>
      <c r="G101" s="66" t="inlineStr">
        <is>
          <t>Locator: Paras 1 and 2; Annex 'In the Sunda Strait'. Passage: adopted ... new traffic separation schemes and associated measures listed in the annex as follows: .1 In the Sunda Strait; and .2 In the Lombok Strait. ... should be implemented on 1 July 2020.</t>
        </is>
      </c>
      <c r="H101" s="66" t="inlineStr">
        <is>
          <t>2026-09-29</t>
        </is>
      </c>
    </row>
    <row r="102" ht="60" customHeight="1" s="63">
      <c r="A102" s="66" t="inlineStr">
        <is>
          <t>SRC-096</t>
        </is>
      </c>
      <c r="B102" s="66" t="inlineStr">
        <is>
          <t>Berlaku 1 Juli 2020, Kemenhub Jelaskan Sistem Pelaporan Kapal di TSS Selat Sunda dan Selat Lombok</t>
        </is>
      </c>
      <c r="C102" s="66" t="inlineStr">
        <is>
          <t>Directorate General of Sea Transportation (Hubla), Ministry of Transportation, Indonesia</t>
        </is>
      </c>
      <c r="D102" s="67" t="inlineStr">
        <is>
          <t>https://hubla.dephub.go.id/home/post/read/7657/berlaku-1-juli-2020-kemenhub-jelaskan-sistem-pelaporan-kapal-di-tss-selat-sunda-dan-selat-lombok</t>
        </is>
      </c>
      <c r="E102" s="66" t="inlineStr">
        <is>
          <t>Senin, 22 Juni 2020</t>
        </is>
      </c>
      <c r="F102" s="66" t="inlineStr">
        <is>
          <t>Primary (Stage 4)</t>
        </is>
      </c>
      <c r="G102" s="66" t="inlineStr">
        <is>
          <t>Locator: News release body. Passage: Sistem Pelaporan dan Informasi Navigasi di Selat Sunda dan Selat Lombok bersifat wajib, yaitu bagi semua kapal berbendera Indonesia ... TSS Selat Sunda melalui Radio VHF pada channel 22 atau 68 dengan nama panggil Merak VTS</t>
        </is>
      </c>
      <c r="H102" s="66" t="inlineStr">
        <is>
          <t>2026-09-29</t>
        </is>
      </c>
    </row>
    <row r="103" ht="60" customHeight="1" s="63">
      <c r="A103" s="66" t="inlineStr">
        <is>
          <t>SRC-097</t>
        </is>
      </c>
      <c r="B103" s="66" t="inlineStr">
        <is>
          <t>Pentingnya Bagan Pemisahan Alur Laut di Selat Sunda dan Selat Lombok bagi Indonesia</t>
        </is>
      </c>
      <c r="C103" s="66" t="inlineStr">
        <is>
          <t>Directorate General of Sea Transportation (Hubla), Indonesia</t>
        </is>
      </c>
      <c r="D103" s="67" t="inlineStr">
        <is>
          <t>https://hubla.dephub.go.id/home/post/read/5132/pentingnya-bagan-pemisahan-alur-laut-di-selat-sunda-dan-selat-lombok-bagi-indonesia</t>
        </is>
      </c>
      <c r="E103" s="66" t="inlineStr">
        <is>
          <t>Senin, 10 Juni 2019</t>
        </is>
      </c>
      <c r="F103" s="66" t="inlineStr">
        <is>
          <t>Supporting (Stage 4)</t>
        </is>
      </c>
      <c r="G103" s="66" t="inlineStr">
        <is>
          <t>Locator: News release body. Passage: Setelah TSS tersebut diadopsi dalam sidang IMO MSC ke 101, Indonesia harus mempersiapkan dengan sebaik-baiknya</t>
        </is>
      </c>
      <c r="H103" s="66" t="inlineStr">
        <is>
          <t>2026-09-29</t>
        </is>
      </c>
    </row>
    <row r="104" ht="60" customHeight="1" s="63">
      <c r="A104" s="66" t="inlineStr">
        <is>
          <t>SRC-098</t>
        </is>
      </c>
      <c r="B104" s="66" t="inlineStr">
        <is>
          <t>Hong Kong Fact Sheet: the Port</t>
        </is>
      </c>
      <c r="C104" s="66" t="inlineStr">
        <is>
          <t>Marine Department, HKSAR Government</t>
        </is>
      </c>
      <c r="D104" s="67" t="inlineStr">
        <is>
          <t>https://www.mardep.gov.hk/en/materials-and-publications/publications/hk-fact-sheet/index.html</t>
        </is>
      </c>
      <c r="E104" s="66" t="inlineStr">
        <is>
          <t>Undated (cites 2024/2025 data)</t>
        </is>
      </c>
      <c r="F104" s="66" t="inlineStr">
        <is>
          <t>Primary (Stage 4)</t>
        </is>
      </c>
      <c r="G104" s="66" t="inlineStr">
        <is>
          <t>Locator: Port fact sheet text. Passage: A comprehensive Vessel Traffic Service (VTS) ... covers all navigable waters of Hong Kong used by sea-going vessels and ferries.</t>
        </is>
      </c>
      <c r="H104" s="66" t="inlineStr">
        <is>
          <t>2026-09-29</t>
        </is>
      </c>
    </row>
    <row r="105" ht="60" customHeight="1" s="63">
      <c r="A105" s="66" t="inlineStr">
        <is>
          <t>SRC-099</t>
        </is>
      </c>
      <c r="B105" s="66" t="inlineStr">
        <is>
          <t>Vessel Traffic Centre pamphlet: Vessels required to participate in Hong Kong Vessel Traffic Service</t>
        </is>
      </c>
      <c r="C105" s="66" t="inlineStr">
        <is>
          <t>Marine Department, HKSAR Government</t>
        </is>
      </c>
      <c r="D105" s="67" t="inlineStr">
        <is>
          <t>https://www.mardep.gov.hk/filemanager/en/share/publications/pdf/materials/vtc_pamphlet.pdf</t>
        </is>
      </c>
      <c r="E105" s="66" t="inlineStr">
        <is>
          <t>April 2025</t>
        </is>
      </c>
      <c r="F105" s="66" t="inlineStr">
        <is>
          <t>Primary (Stage 4)</t>
        </is>
      </c>
      <c r="G105" s="66" t="inlineStr">
        <is>
          <t>Locator: Participation (Cap 313A reg 4; Cap 548F s57); VHF sectors and calling-in points. Passage: Eastern Approaches Channel 12 ... Tathong Channel Separation Buoy No. 1 ... Lamma Patch; Pursuant to Regulation 4 of the Shipping and port control regulations, (Cap 313A), a vessel of over 300 gross tonnage</t>
        </is>
      </c>
      <c r="H105" s="66" t="inlineStr">
        <is>
          <t>2026-09-29</t>
        </is>
      </c>
    </row>
    <row r="106" ht="60" customHeight="1" s="63">
      <c r="A106" s="66" t="inlineStr">
        <is>
          <t>SRC-100</t>
        </is>
      </c>
      <c r="B106" s="66" t="inlineStr">
        <is>
          <t>Examination Guidebook on Hong Kong Waters</t>
        </is>
      </c>
      <c r="C106" s="66" t="inlineStr">
        <is>
          <t>Marine Department, HKSAR Government</t>
        </is>
      </c>
      <c r="D106" s="67" t="inlineStr">
        <is>
          <t>https://www.mardep.gov.hk/filemanager/en/share/pub-services/pdf/hkwaterlk_guide.pdf</t>
        </is>
      </c>
      <c r="E106" s="66" t="inlineStr">
        <is>
          <t>March 2026 Edition</t>
        </is>
      </c>
      <c r="F106" s="66" t="inlineStr">
        <is>
          <t>Primary (Stage 4)</t>
        </is>
      </c>
      <c r="G106" s="66" t="inlineStr">
        <is>
          <t>Locator: Traffic Separation Schemes. Passage: There are two traffic separation schemes (TSS) within Hong Kong waters which are adopted by IMO: (a) Tathong Channel (b) East Lamma Channel</t>
        </is>
      </c>
      <c r="H106" s="66" t="inlineStr">
        <is>
          <t>2026-09-29</t>
        </is>
      </c>
    </row>
    <row r="107" ht="60" customHeight="1" s="63">
      <c r="A107" s="66" t="inlineStr">
        <is>
          <t>SRC-101</t>
        </is>
      </c>
      <c r="B107" s="66" t="inlineStr">
        <is>
          <t>Hong Kong Vessel Traffic Service: VHF Sectors and Calling-in Points (Drawing No. 2025MAR032)</t>
        </is>
      </c>
      <c r="C107" s="66" t="inlineStr">
        <is>
          <t>Hydrographic Office, Marine Department, HKSAR Government</t>
        </is>
      </c>
      <c r="D107" s="67" t="inlineStr">
        <is>
          <t>https://www.mardep.gov.hk/filemanager/en/share/pub-services/pdf/vts_vscp.pdf</t>
        </is>
      </c>
      <c r="E107" s="66" t="inlineStr">
        <is>
          <t>September 2025</t>
        </is>
      </c>
      <c r="F107" s="66" t="inlineStr">
        <is>
          <t>Primary (Stage 4)</t>
        </is>
      </c>
      <c r="G107" s="66" t="inlineStr">
        <is>
          <t>Locator: Chart labels. Passage: Eastern Approaches VHF CH 12; Lantau South VHF CH 63; Western Approaches VHF CH 67; Harbour VHF CH 14; Harbour East VHF CH 02; Kwai Chung Control Station VHF CH 74</t>
        </is>
      </c>
      <c r="H107" s="66" t="inlineStr">
        <is>
          <t>2026-09-29</t>
        </is>
      </c>
    </row>
    <row r="108" ht="60" customHeight="1" s="63">
      <c r="A108" s="66" t="inlineStr">
        <is>
          <t>SRC-102</t>
        </is>
      </c>
      <c r="B108" s="66" t="inlineStr">
        <is>
          <t>航经担杆水道分道通航制及周围水域的船舶请注意！ (Guangdong MSA official account, supplied by Guangzhou MSA)</t>
        </is>
      </c>
      <c r="C108" s="66" t="inlineStr">
        <is>
          <t>Guangdong Maritime Safety Administration / Guangzhou MSA (published on The Paper official account)</t>
        </is>
      </c>
      <c r="D108" s="67" t="inlineStr">
        <is>
          <t>https://m.thepaper.cn/newsDetail_forward_30326627</t>
        </is>
      </c>
      <c r="E108" s="66" t="inlineStr">
        <is>
          <t>2025-03-06</t>
        </is>
      </c>
      <c r="F108" s="66" t="inlineStr">
        <is>
          <t>Primary (Stage 4)</t>
        </is>
      </c>
      <c r="G108" s="66" t="inlineStr">
        <is>
          <t>Locator: Article body (official MSA account). Passage: 船舶在担杆水道分道通航制及附近水域航行时，应严格遵守《珠江口水域船舶定线制》... 可在VHF08\09频道上向广州交管中心请求协助</t>
        </is>
      </c>
      <c r="H108" s="66" t="inlineStr">
        <is>
          <t>2026-09-29</t>
        </is>
      </c>
    </row>
    <row r="109" ht="60" customHeight="1" s="63">
      <c r="A109" s="66" t="inlineStr">
        <is>
          <t>SRC-103</t>
        </is>
      </c>
      <c r="B109" s="66" t="inlineStr">
        <is>
          <t>“担杆”监管台投入运行 广州国产VTS再扩容</t>
        </is>
      </c>
      <c r="C109" s="66" t="inlineStr">
        <is>
          <t>China News Service (chinanews.com.cn)</t>
        </is>
      </c>
      <c r="D109" s="67" t="inlineStr">
        <is>
          <t>https://www.chinanews.com.cn/dwq/2026/04-08/10600653.shtml</t>
        </is>
      </c>
      <c r="E109" s="66" t="inlineStr">
        <is>
          <t>2026-04-08</t>
        </is>
      </c>
      <c r="F109" s="66" t="inlineStr">
        <is>
          <t>Lead only</t>
        </is>
      </c>
      <c r="G109" s="66" t="inlineStr">
        <is>
          <t>Locator: News report. Passage: 此次“担杆”监控台启用，将对担杆水道分道通航制、广东沿海主要公共航路、担杆水域渔船推荐航路等水域开展常态化VTS管控</t>
        </is>
      </c>
      <c r="H109" s="66" t="inlineStr">
        <is>
          <t>2026-09-29</t>
        </is>
      </c>
    </row>
    <row r="110" ht="60" customHeight="1" s="63">
      <c r="A110" s="66" t="inlineStr">
        <is>
          <t>SRC-104</t>
        </is>
      </c>
      <c r="B110" s="66" t="inlineStr">
        <is>
          <t>解读《广东海事局关于试行珠江口水上交通安全特别监管区交通组织一体化的通告》</t>
        </is>
      </c>
      <c r="C110" s="66" t="inlineStr">
        <is>
          <t>Guangdong Maritime Safety Administration</t>
        </is>
      </c>
      <c r="D110" s="67" t="inlineStr">
        <is>
          <t>https://www.gd.msa.gov.cn/288d370277a13952929caab591b72d65/784a5ef27d1d402db548f019c88978b6.jhtml</t>
        </is>
      </c>
      <c r="E110" s="66" t="inlineStr">
        <is>
          <t>发布时间：2023-12-20</t>
        </is>
      </c>
      <c r="F110" s="66" t="inlineStr">
        <is>
          <t>Supporting (Stage 4)</t>
        </is>
      </c>
      <c r="G110" s="66" t="inlineStr">
        <is>
          <t>Locator: Section on 船舶动态报告. Passage: 珠江口VTS区域报告线共21条 ... 采用“报进不报出，报离不报靠”的原则</t>
        </is>
      </c>
      <c r="H110" s="66" t="inlineStr">
        <is>
          <t>2026-09-29</t>
        </is>
      </c>
    </row>
    <row r="111" ht="60" customHeight="1" s="63">
      <c r="A111" s="66" t="inlineStr">
        <is>
          <t>SRC-105</t>
        </is>
      </c>
      <c r="B111" s="66" t="inlineStr">
        <is>
          <t>Resolution MSC.389(94) Amendments to the existing mandatory ship reporting system 'Off Chengshan Jiao Promontory'</t>
        </is>
      </c>
      <c r="C111" s="66" t="inlineStr">
        <is>
          <t>International Maritime Organization</t>
        </is>
      </c>
      <c r="D111" s="67" t="inlineStr">
        <is>
          <t>https://wwwcdn.imo.org/localresources/en/KnowledgeCentre/IndexofIMOResolutions/MSCResolutions/MSC%20389%2094.pdf</t>
        </is>
      </c>
      <c r="E111" s="66" t="inlineStr">
        <is>
          <t>Adopted 21 November 2014</t>
        </is>
      </c>
      <c r="F111" s="66" t="inlineStr">
        <is>
          <t>Primary (Stage 4)</t>
        </is>
      </c>
      <c r="G111" s="66" t="inlineStr">
        <is>
          <t>Locator: Operative paras 1-2; Annex paras 1, 2, 3 (Authority), 6. Passage: The waters covered by the Ship Reporting System is the water area with the VTS Centre (geographical position is 37°23'.65N, 122°42'.12E) as the centre and 24 miles as the radius.</t>
        </is>
      </c>
      <c r="H111" s="66" t="inlineStr">
        <is>
          <t>2026-09-29</t>
        </is>
      </c>
    </row>
    <row r="112" ht="60" customHeight="1" s="63">
      <c r="A112" s="66" t="inlineStr">
        <is>
          <t>SRC-106</t>
        </is>
      </c>
      <c r="B112" s="66" t="inlineStr">
        <is>
          <t>Распоряжение Правительства РФ от 2 сентября 2006 г. № 1226-р: Схемы разделения движения в территориальном море Российской Федерации</t>
        </is>
      </c>
      <c r="C112" s="66" t="inlineStr">
        <is>
          <t>Government of the Russian Federation (text via meganorm.ru repository)</t>
        </is>
      </c>
      <c r="D112" s="67" t="inlineStr">
        <is>
          <t>https://meganorm.ru/Data2/1/4293849/4293849842.htm</t>
        </is>
      </c>
      <c r="E112" s="66" t="inlineStr">
        <is>
          <t>2 September 2006 (original text; later amendments not checked)</t>
        </is>
      </c>
      <c r="F112" s="66" t="inlineStr">
        <is>
          <t>Supporting (Stage 4)</t>
        </is>
      </c>
      <c r="G112" s="66" t="inlineStr">
        <is>
          <t>Locator: Section II (Pacific: schemes 5, 6, 12, 13) and Section IV (Sea of Japan: scheme 3). Passage: Схема разделения движения № 3. Между мысами Поворотный и Островной (от залива Петра Великого до мыса Белкина).</t>
        </is>
      </c>
      <c r="H112" s="66" t="inlineStr">
        <is>
          <t>2026-09-29</t>
        </is>
      </c>
    </row>
    <row r="113" ht="60" customHeight="1" s="63">
      <c r="A113" s="66" t="inlineStr">
        <is>
          <t>SRC-107</t>
        </is>
      </c>
      <c r="B113" s="66" t="inlineStr">
        <is>
          <t>Обязательные постановления в морском порту Находка (Приказ Минтранса России от 23.06.2011 № 169)</t>
        </is>
      </c>
      <c r="C113" s="66" t="inlineStr">
        <is>
          <t>Ministry of Transport of the Russian Federation (official publication, Rossiyskaya Gazeta)</t>
        </is>
      </c>
      <c r="D113" s="67" t="inlineStr">
        <is>
          <t>https://rg.ru/documents/2011/07/05/naxodka-site-dok.html</t>
        </is>
      </c>
      <c r="E113" s="66" t="inlineStr">
        <is>
          <t>5 July 2011 (original text; amended to 15.12.2017 per S19)</t>
        </is>
      </c>
      <c r="F113" s="66" t="inlineStr">
        <is>
          <t>Primary (Stage 4)</t>
        </is>
      </c>
      <c r="G113" s="66" t="inlineStr">
        <is>
          <t>Locator: Paras 52 to 55. Passage: На подходах к заливу Находка в секторе № 1 Б, который ограничен с юга границей территориального моря, с запада меридианом 132°28,00' ..., с востока меридианом 133°43,00' ..., связь с РСУДС осуществляется на канале 9 ОВЧ.</t>
        </is>
      </c>
      <c r="H113" s="66" t="inlineStr">
        <is>
          <t>2026-09-29</t>
        </is>
      </c>
    </row>
    <row r="114" ht="60" customHeight="1" s="63">
      <c r="A114" s="66" t="inlineStr">
        <is>
          <t>SRC-108</t>
        </is>
      </c>
      <c r="B114" s="66" t="inlineStr">
        <is>
          <t>Приказ Минтранса России от 23.06.2011 N 169 (ред. от 15.12.2017) Об утверждении Обязательных постановлений в морском порту Находка (metadata only)</t>
        </is>
      </c>
      <c r="C114" s="66" t="inlineStr">
        <is>
          <t>ConsultantPlus legal database</t>
        </is>
      </c>
      <c r="D114" s="67" t="inlineStr">
        <is>
          <t>https://www.consultant.ru/document/cons_doc_LAW_116506/dfe493850a134ba391cd60a9ae6bf84ebb6f7aa9/</t>
        </is>
      </c>
      <c r="E114" s="66" t="inlineStr">
        <is>
          <t>ред. от 15.12.2017</t>
        </is>
      </c>
      <c r="F114" s="66" t="inlineStr">
        <is>
          <t>Lead only</t>
        </is>
      </c>
      <c r="G114" s="66" t="inlineStr">
        <is>
          <t>Locator: Document header (body paywalled). Passage: Об утверждении Обязательных постановлений в морском порту Находка (ред. от 15.12.2017)</t>
        </is>
      </c>
      <c r="H114" s="66" t="inlineStr">
        <is>
          <t>2026-09-29</t>
        </is>
      </c>
    </row>
    <row r="115" ht="60" customHeight="1" s="63">
      <c r="A115" s="66" t="inlineStr">
        <is>
          <t>SRC-109</t>
        </is>
      </c>
      <c r="B115" s="66" t="inlineStr">
        <is>
          <t>Offshore oil and gas exploration</t>
        </is>
      </c>
      <c r="C115" s="66" t="inlineStr">
        <is>
          <t>Australian Maritime Safety Authority (AMSA)</t>
        </is>
      </c>
      <c r="D115" s="67" t="inlineStr">
        <is>
          <t>https://www.amsa.gov.au/safety-navigation/navigating-coastal-waters/offshore-oil-and-gas-exploration</t>
        </is>
      </c>
      <c r="E115" s="66" t="inlineStr">
        <is>
          <t>Last updated 9 October 2023</t>
        </is>
      </c>
      <c r="F115" s="66" t="inlineStr">
        <is>
          <t>Primary (Stage 4)</t>
        </is>
      </c>
      <c r="G115" s="66" t="inlineStr">
        <is>
          <t>Locator: Sensitive areas lists (Southern Australia; South-West Australia). Passage: Gippsland and Wilsons Promontory TSS ... Cape Leeuwin Traffic Separation Scheme ... not permitted within any charted International Maritime Organization-adopted Traffic Separation Scheme</t>
        </is>
      </c>
      <c r="H115" s="66" t="inlineStr">
        <is>
          <t>2026-09-29</t>
        </is>
      </c>
    </row>
    <row r="116" ht="60" customHeight="1" s="63">
      <c r="A116" s="66" t="inlineStr">
        <is>
          <t>SRC-110</t>
        </is>
      </c>
      <c r="B116" s="66" t="inlineStr">
        <is>
          <t>Modernised Australian Ship Tracking and Reporting System (MASTREP)</t>
        </is>
      </c>
      <c r="C116" s="66" t="inlineStr">
        <is>
          <t>Australian Maritime Safety Authority (AMSA)</t>
        </is>
      </c>
      <c r="D116" s="67" t="inlineStr">
        <is>
          <t>https://www.amsa.gov.au/safety-navigation/navigation-systems/modernised-australian-ship-tracking-and-reporting-system</t>
        </is>
      </c>
      <c r="E116" s="66" t="inlineStr">
        <is>
          <t>Last updated 23 December 2020</t>
        </is>
      </c>
      <c r="F116" s="66" t="inlineStr">
        <is>
          <t>Primary (Stage 4)</t>
        </is>
      </c>
      <c r="G116" s="66" t="inlineStr">
        <is>
          <t>Locator: Page body. Passage: Participation in MASTREP is mandatory for certain vessels ... foreign vessels from the arrival at its first port in Australia until its departure from its final port in Australia; all regulated Australian vessels while in the MASTREP area.</t>
        </is>
      </c>
      <c r="H116" s="66" t="inlineStr">
        <is>
          <t>2026-09-29</t>
        </is>
      </c>
    </row>
    <row r="117" ht="60" customHeight="1" s="63">
      <c r="A117" s="66" t="inlineStr">
        <is>
          <t>SRC-111</t>
        </is>
      </c>
      <c r="B117" s="66" t="inlineStr">
        <is>
          <t>33 CFR 161.60 Vessel Traffic Service Prince William Sound</t>
        </is>
      </c>
      <c r="C117" s="66" t="inlineStr">
        <is>
          <t>US Government (eCFR, current)</t>
        </is>
      </c>
      <c r="D117" s="67" t="inlineStr">
        <is>
          <t>https://www.ecfr.gov/current/title-33/part-161/section-161.60</t>
        </is>
      </c>
      <c r="E117" s="66" t="inlineStr">
        <is>
          <t>eCFR current (accessed 2026-09-29)</t>
        </is>
      </c>
      <c r="F117" s="66" t="inlineStr">
        <is>
          <t>Primary (Stage 4)</t>
        </is>
      </c>
      <c r="G117" s="66" t="inlineStr">
        <is>
          <t>Locator: §161.60(a),(b),(e). Passage: The VTS area consists of the navigable waters of the United States north of a line drawn from Cape Hinchinbrook Light to Schooner Rock Light, comprising that portion of Prince William Sound between 146°30′ W. and 147°20′ W.</t>
        </is>
      </c>
      <c r="H117" s="66" t="inlineStr">
        <is>
          <t>2026-09-29</t>
        </is>
      </c>
    </row>
    <row r="118" ht="60" customHeight="1" s="63">
      <c r="A118" s="66" t="inlineStr">
        <is>
          <t>SRC-112</t>
        </is>
      </c>
      <c r="B118" s="66" t="inlineStr">
        <is>
          <t>33 CFR 167.1700 to 167.1703 In Prince William Sound (TSS)</t>
        </is>
      </c>
      <c r="C118" s="66" t="inlineStr">
        <is>
          <t>US Government (eCFR, current)</t>
        </is>
      </c>
      <c r="D118" s="67" t="inlineStr">
        <is>
          <t>https://www.ecfr.gov/current/title-33/part-167/section-167.1700</t>
        </is>
      </c>
      <c r="E118" s="66" t="inlineStr">
        <is>
          <t>eCFR current (accessed 2026-09-29)</t>
        </is>
      </c>
      <c r="F118" s="66" t="inlineStr">
        <is>
          <t>Primary (Stage 4)</t>
        </is>
      </c>
      <c r="G118" s="66" t="inlineStr">
        <is>
          <t>Locator: §§167.1700-167.1703. Passage: The Prince William Sound Traffic Separation Scheme consists of four parts: Prince William Sound Traffic Separation Scheme, Valdez Arm Traffic Separation Scheme, and two precautionary areas.</t>
        </is>
      </c>
      <c r="H118" s="66" t="inlineStr">
        <is>
          <t>2026-09-29</t>
        </is>
      </c>
    </row>
    <row r="119" ht="60" customHeight="1" s="63">
      <c r="A119" s="66" t="inlineStr">
        <is>
          <t>SRC-113</t>
        </is>
      </c>
      <c r="B119" s="66" t="inlineStr">
        <is>
          <t>33 CFR 161.12 Table 161.12(c) VTS, VMRS centers, call signs/MMSI, designated frequencies and monitoring areas</t>
        </is>
      </c>
      <c r="C119" s="66" t="inlineStr">
        <is>
          <t>US Government (eCFR, current)</t>
        </is>
      </c>
      <c r="D119" s="67" t="inlineStr">
        <is>
          <t>https://www.ecfr.gov/current/title-33/part-161/section-161.12</t>
        </is>
      </c>
      <c r="E119" s="66" t="inlineStr">
        <is>
          <t>eCFR current (accessed 2026-09-29)</t>
        </is>
      </c>
      <c r="F119" s="66" t="inlineStr">
        <is>
          <t>Primary (Stage 4)</t>
        </is>
      </c>
      <c r="G119" s="66" t="inlineStr">
        <is>
          <t>Locator: Table 161.12(c) entries (9) Prince William Sound and (10) Puget Sound; note 7. Passage: Prince William Sound— Valdez Traffic ... 156.650 MHz (CH. 13) The navigable waters south of 61°05.00′ N., east of 147°20.00′ W., north of 60°00.00′ N., and west of 146°30.00′ W.</t>
        </is>
      </c>
      <c r="H119" s="66" t="inlineStr">
        <is>
          <t>2026-09-29</t>
        </is>
      </c>
    </row>
    <row r="120" ht="60" customHeight="1" s="63">
      <c r="A120" s="66" t="inlineStr">
        <is>
          <t>SRC-114</t>
        </is>
      </c>
      <c r="B120" s="66" t="inlineStr">
        <is>
          <t>33 CFR 161.55 Vessel Traffic Service Puget Sound and the Cooperative Vessel Traffic Service for the Juan de Fuca Region</t>
        </is>
      </c>
      <c r="C120" s="66" t="inlineStr">
        <is>
          <t>US Government (eCFR, current)</t>
        </is>
      </c>
      <c r="D120" s="67" t="inlineStr">
        <is>
          <t>https://www.ecfr.gov/current/title-33/part-161/section-161.55</t>
        </is>
      </c>
      <c r="E120" s="66" t="inlineStr">
        <is>
          <t>eCFR current (accessed 2026-09-29)</t>
        </is>
      </c>
      <c r="F120" s="66" t="inlineStr">
        <is>
          <t>Primary (Stage 4)</t>
        </is>
      </c>
      <c r="G120" s="66" t="inlineStr">
        <is>
          <t>Locator: §161.55 intro and (a). Passage: Canadian and United States Vessel Traffic Centers (Prince Rupert, B.C., Canada; Vancouver, B.C., Canada; and Seattle, WA) manage traffic within the CVTS area irrespective of the International Boundary.</t>
        </is>
      </c>
      <c r="H120" s="66" t="inlineStr">
        <is>
          <t>2026-09-29</t>
        </is>
      </c>
    </row>
    <row r="121" ht="60" customHeight="1" s="63">
      <c r="A121" s="66" t="inlineStr">
        <is>
          <t>SRC-115</t>
        </is>
      </c>
      <c r="B121" s="66" t="inlineStr">
        <is>
          <t>33 CFR 167.1300 to 167.1303 (approaches to the Strait of Juan de Fuca) and 167.1310 (Strait of Juan de Fuca)</t>
        </is>
      </c>
      <c r="C121" s="66" t="inlineStr">
        <is>
          <t>US Government (eCFR, current)</t>
        </is>
      </c>
      <c r="D121" s="67" t="inlineStr">
        <is>
          <t>https://www.ecfr.gov/current/title-33/part-167/section-167.1300</t>
        </is>
      </c>
      <c r="E121" s="66" t="inlineStr">
        <is>
          <t>eCFR current (accessed 2026-09-29)</t>
        </is>
      </c>
      <c r="F121" s="66" t="inlineStr">
        <is>
          <t>Primary (Stage 4)</t>
        </is>
      </c>
      <c r="G121" s="66" t="inlineStr">
        <is>
          <t>Locator: §§167.1300-167.1303, 167.1310. Passage: The traffic separation scheme for the approaches to the Strait of Juan de Fuca consists of three parts: the western approach, the southwestern approach, and precautionary area “JF.”</t>
        </is>
      </c>
      <c r="H121" s="66" t="inlineStr">
        <is>
          <t>2026-09-29</t>
        </is>
      </c>
    </row>
    <row r="122" ht="60" customHeight="1" s="63">
      <c r="A122" s="66" t="inlineStr">
        <is>
          <t>SRC-116</t>
        </is>
      </c>
      <c r="B122" s="66" t="inlineStr">
        <is>
          <t>Vessel Traffic Services Zones Regulations (SOR/2025-275), Schedule 1 Western VTS Zones</t>
        </is>
      </c>
      <c r="C122" s="66" t="inlineStr">
        <is>
          <t>Government of Canada (Justice Laws Website)</t>
        </is>
      </c>
      <c r="D122" s="67" t="inlineStr">
        <is>
          <t>https://laws-lois.justice.gc.ca/eng/regulations/SOR-2025-275/FullText.html</t>
        </is>
      </c>
      <c r="E122" s="66" t="inlineStr">
        <is>
          <t>Current to 2026-09-21, last amended 2026-03-31</t>
        </is>
      </c>
      <c r="F122" s="66" t="inlineStr">
        <is>
          <t>Primary (Stage 4)</t>
        </is>
      </c>
      <c r="G122" s="66" t="inlineStr">
        <is>
          <t>Locator: Schedule 1 items 1 (Victoria) and 2 (Prince Rupert); application provisions. Passage: following the international boundary through the Strait of Georgia, Boundary Pass, Haro Strait and Juan de Fuca Strait to 48°28′36″ N, 124°40′00″ W</t>
        </is>
      </c>
      <c r="H122" s="66" t="inlineStr">
        <is>
          <t>2026-09-29</t>
        </is>
      </c>
    </row>
    <row r="123" ht="60" customHeight="1" s="63">
      <c r="A123" s="66" t="inlineStr">
        <is>
          <t>SRC-117</t>
        </is>
      </c>
      <c r="B123" s="66" t="inlineStr">
        <is>
          <t>33 CFR Part 161, Vessel Traffic Management (Table 161.12(c); ss 161.16, 161.50, 161.55)</t>
        </is>
      </c>
      <c r="C123" s="66" t="inlineStr">
        <is>
          <t>US Government, eCFR (Office of the Federal Register)</t>
        </is>
      </c>
      <c r="D123" s="67" t="inlineStr">
        <is>
          <t>https://www.ecfr.gov/api/versioner/v1/full/2026-09-01/title-33.xml?part=161</t>
        </is>
      </c>
      <c r="E123" s="66" t="inlineStr">
        <is>
          <t>eCFR point-in-time text as of 2026-09-01; s161.55 last amended 84 FR 30880, 28 June 2019</t>
        </is>
      </c>
      <c r="F123" s="66" t="inlineStr">
        <is>
          <t>Primary (Stage 4)</t>
        </is>
      </c>
      <c r="G123" s="66" t="inlineStr">
        <is>
          <t>Locator: Table 161.12(c) rows (4) Los Angeles-Long Beach, (10) Puget Sound, (11) San Francisco; s161.50; s161.55; s161.16. Passage: Vessel Movement Reporting System Area: The navigable waters within a 25 nautical mile radius of Point Fermin Light</t>
        </is>
      </c>
      <c r="H123" s="66" t="inlineStr">
        <is>
          <t>2026-09-29</t>
        </is>
      </c>
    </row>
    <row r="124" ht="60" customHeight="1" s="63">
      <c r="A124" s="66" t="inlineStr">
        <is>
          <t>SRC-118</t>
        </is>
      </c>
      <c r="B124" s="66" t="inlineStr">
        <is>
          <t>33 CFR Part 167, Offshore Traffic Separation Schemes (ss 167.400-406, 167.450-452, 167.500-503, 167.1320-1332)</t>
        </is>
      </c>
      <c r="C124" s="66" t="inlineStr">
        <is>
          <t>US Government, eCFR (Office of the Federal Register)</t>
        </is>
      </c>
      <c r="D124" s="67" t="inlineStr">
        <is>
          <t>https://www.ecfr.gov/api/versioner/v1/full/2026-09-01/title-33.xml?part=167</t>
        </is>
      </c>
      <c r="E124" s="66" t="inlineStr">
        <is>
          <t>eCFR point-in-time text as of 2026-09-01</t>
        </is>
      </c>
      <c r="F124" s="66" t="inlineStr">
        <is>
          <t>Primary (Stage 4)</t>
        </is>
      </c>
      <c r="G124" s="66" t="inlineStr">
        <is>
          <t>Locator: s167.400 Off San Francisco; s167.450 Santa Barbara Channel; s167.500 approaches to Los Angeles-Long Beach; s167.1320 Puget Sound and its approaches; s167.1330 Haro Strait, Boundary Pass, Strait of Georgia. Passage: The traffic separation scheme in Haro Strait, Boundary Pass, and the Strait of Georgia consists of a series of traffic separation schemes, two-way routes, and five precautionary areas.</t>
        </is>
      </c>
      <c r="H124" s="66" t="inlineStr">
        <is>
          <t>2026-09-29</t>
        </is>
      </c>
    </row>
    <row r="125" ht="60" customHeight="1" s="63">
      <c r="A125" s="66" t="inlineStr">
        <is>
          <t>SRC-119</t>
        </is>
      </c>
      <c r="B125" s="66" t="inlineStr">
        <is>
          <t>Radio Aids to Marine Navigation 2026, Part 3 (Western VTS Zones; Victoria VTS Zone; CVTS Agreement)</t>
        </is>
      </c>
      <c r="C125" s="66" t="inlineStr">
        <is>
          <t>Canadian Coast Guard (MCTS)</t>
        </is>
      </c>
      <c r="D125" s="67" t="inlineStr">
        <is>
          <t>https://www.canada.ca/content/dam/ccg-gcc/documents/publications/mcts-sctm/ramn-arnm-2026-eng.pdf</t>
        </is>
      </c>
      <c r="E125" s="66" t="inlineStr">
        <is>
          <t>Annual Edition 2026, Version #8, 2026-09-25</t>
        </is>
      </c>
      <c r="F125" s="66" t="inlineStr">
        <is>
          <t>Primary (Stage 4)</t>
        </is>
      </c>
      <c r="G125" s="66" t="inlineStr">
        <is>
          <t>Locator: s3.5.1; Table 3-1 and Table 3-2 (Victoria VTS Zone), p.3-15; s3.5.4, p.3-28. Passage: Participation with Prince Rupert, Seattle and Victoria Traffic is mandatory within Canadian and United States territorial waters.</t>
        </is>
      </c>
      <c r="H125" s="66" t="inlineStr">
        <is>
          <t>2026-09-29</t>
        </is>
      </c>
    </row>
    <row r="126" ht="60" customHeight="1" s="63">
      <c r="A126" s="66" t="inlineStr">
        <is>
          <t>SRC-120</t>
        </is>
      </c>
      <c r="B126" s="66" t="inlineStr">
        <is>
          <t>COLREG.2/Circ.49, New and amended traffic separation schemes (19 January 2001)</t>
        </is>
      </c>
      <c r="C126" s="66" t="inlineStr">
        <is>
          <t>IMO (copy hosted by Shanghai Maritime University CIMRC)</t>
        </is>
      </c>
      <c r="D126" s="67" t="inlineStr">
        <is>
          <t>https://cimrc.shmtu.edu.cn/_upload/article/files/63/dc/35c66be74d12873254dc88a2ef00/4e997831-d3e8-440e-962a-5d1aaac44e37.pdf</t>
        </is>
      </c>
      <c r="E126" s="66" t="inlineStr">
        <is>
          <t>19 January 2001</t>
        </is>
      </c>
      <c r="F126" s="66" t="inlineStr">
        <is>
          <t>Primary (Stage 4)</t>
        </is>
      </c>
      <c r="G126" s="66" t="inlineStr">
        <is>
          <t>Locator: Paras 1-2 and annexes 1-4. Passage: .1 “Landfall and approaches to Talara Bay” (new scheme); .2 “Landfall Off Puerto Salaverry” (new scheme); .3 “Landfall and approaches to Ferrol Bay (Puerto Chimbotu)” (new scheme); .4 “Landfall and approaches to San Nicolas Bay” (new scheme)</t>
        </is>
      </c>
      <c r="H126" s="66" t="inlineStr">
        <is>
          <t>2026-09-29</t>
        </is>
      </c>
    </row>
    <row r="127" ht="60" customHeight="1" s="63">
      <c r="A127" s="66" t="inlineStr">
        <is>
          <t>SRC-121</t>
        </is>
      </c>
      <c r="B127" s="66" t="inlineStr">
        <is>
          <t>CHILREP, Sistema de Notificación de la Situación de las Naves (actualización agosto 2020)</t>
        </is>
      </c>
      <c r="C127" s="66" t="inlineStr">
        <is>
          <t>DIRECTEMAR, Servicio de Búsqueda y Salvamento Marítimo, MRCC Chile</t>
        </is>
      </c>
      <c r="D127" s="67" t="inlineStr">
        <is>
          <t>https://www.directemar.cl/directemar/site/docs/20200515/20200515201601/chilrep_v2_espa__ol.pdf</t>
        </is>
      </c>
      <c r="E127" s="66" t="inlineStr">
        <is>
          <t>Agosto 2020</t>
        </is>
      </c>
      <c r="F127" s="66" t="inlineStr">
        <is>
          <t>Primary (Stage 4)</t>
        </is>
      </c>
      <c r="G127" s="66" t="inlineStr">
        <is>
          <t>Locator: Introductory section, pp.5-6. Passage: El CHILREP es un sistema voluntario “positivo” ... Los buques de bandera chilena deben notificar su posición a las 12:00Z y 24:00Z diariamente.</t>
        </is>
      </c>
      <c r="H127" s="66" t="inlineStr">
        <is>
          <t>2026-09-29</t>
        </is>
      </c>
    </row>
    <row r="128" ht="60" customHeight="1" s="63">
      <c r="A128" s="66" t="inlineStr">
        <is>
          <t>SRC-122</t>
        </is>
      </c>
      <c r="B128" s="66" t="inlineStr">
        <is>
          <t>Resolución Nº 12.000/934 D.G.T.M. y M.M. (4 October 2018), anchorage points in Valparaíso Bay</t>
        </is>
      </c>
      <c r="C128" s="66" t="inlineStr">
        <is>
          <t>DIRECTEMAR text reproduced by vLex Chile (commercial legal database)</t>
        </is>
      </c>
      <c r="D128" s="67" t="inlineStr">
        <is>
          <t>https://vlex.cl/vid/resolucion-n-12-000-927122110</t>
        </is>
      </c>
      <c r="E128" s="66" t="inlineStr">
        <is>
          <t>4 October 2018</t>
        </is>
      </c>
      <c r="F128" s="66" t="inlineStr">
        <is>
          <t>Lead only</t>
        </is>
      </c>
      <c r="G128" s="66" t="inlineStr">
        <is>
          <t>Locator: Operative provisions (as summarised by fetch tool). Passage: las naves deberán confirmar con VTS Valparaíso (Vessel Trafic Service)/CBV-20 con 2 horas de anticipación vía radial (Canal 16 VHF).</t>
        </is>
      </c>
      <c r="H128" s="66" t="inlineStr">
        <is>
          <t>2026-09-29</t>
        </is>
      </c>
    </row>
    <row r="129" ht="60" customHeight="1" s="63">
      <c r="A129" s="66" t="inlineStr">
        <is>
          <t>SRC-123</t>
        </is>
      </c>
      <c r="B129" s="66" t="inlineStr">
        <is>
          <t>Vessel Traffic Services Zones Regulations (SOR/89-98), status page</t>
        </is>
      </c>
      <c r="C129" s="66" t="inlineStr">
        <is>
          <t>Government of Canada, Justice Laws Website</t>
        </is>
      </c>
      <c r="D129" s="67" t="inlineStr">
        <is>
          <t>https://laws-lois.justice.gc.ca/eng/regulations/SOR-89-98/FullText.html</t>
        </is>
      </c>
      <c r="E129" s="66" t="inlineStr">
        <is>
          <t>Current to 2026-09-21</t>
        </is>
      </c>
      <c r="F129" s="66" t="inlineStr">
        <is>
          <t>Supporting (Stage 4)</t>
        </is>
      </c>
      <c r="G129" s="66" t="inlineStr">
        <is>
          <t>Locator: Regulation status note. Passage: [Repealed, SOR/2025-275, s. 39]</t>
        </is>
      </c>
      <c r="H129" s="66" t="inlineStr">
        <is>
          <t>2026-09-29</t>
        </is>
      </c>
    </row>
    <row r="130" ht="60" customHeight="1" s="63">
      <c r="A130" s="66" t="inlineStr">
        <is>
          <t>SRC-124</t>
        </is>
      </c>
      <c r="B130" s="66" t="inlineStr">
        <is>
          <t>Resolución 12600/94 (24-08-2020), San Vicente terminal (Capitanía de Puerto de San Vicente)</t>
        </is>
      </c>
      <c r="C130" s="66" t="inlineStr">
        <is>
          <t>DIRECTEMAR</t>
        </is>
      </c>
      <c r="D130" s="67" t="inlineStr">
        <is>
          <t>https://www.directemar.cl/directemar/site/docs/20200825/20200825090936/09__12600_94_240820_san_vicente.pdf</t>
        </is>
      </c>
      <c r="E130" s="66" t="inlineStr">
        <is>
          <t>24 August 2020</t>
        </is>
      </c>
      <c r="F130" s="66" t="inlineStr">
        <is>
          <t>Supporting (Stage 4)</t>
        </is>
      </c>
      <c r="G130" s="66" t="inlineStr">
        <is>
          <t>Locator: Communications provisions. Passage: Capitanía de Puerto de San Vicente (CBT-23), canal 16 VHF.</t>
        </is>
      </c>
      <c r="H130" s="66" t="inlineStr">
        <is>
          <t>2026-09-29</t>
        </is>
      </c>
    </row>
    <row r="131" ht="60" customHeight="1" s="63">
      <c r="A131" s="66" t="inlineStr">
        <is>
          <t>SRC-125</t>
        </is>
      </c>
      <c r="B131" s="66" t="inlineStr">
        <is>
          <t>Resolución Directoral Nº 839-2025 MGP/DICAPI (anchorages, Callao)</t>
        </is>
      </c>
      <c r="C131" s="66" t="inlineStr">
        <is>
          <t>DICAPI, published in El Peruano</t>
        </is>
      </c>
      <c r="D131" s="67" t="inlineStr">
        <is>
          <t>https://busquedas.elperuano.pe/dispositivo/NL/2458852-1</t>
        </is>
      </c>
      <c r="E131" s="66" t="inlineStr">
        <is>
          <t>13 November 2025 (published 15 November 2025)</t>
        </is>
      </c>
      <c r="F131" s="66" t="inlineStr">
        <is>
          <t>Supporting (Stage 4)</t>
        </is>
      </c>
      <c r="G131" s="66" t="inlineStr">
        <is>
          <t>Locator: Whole text (fetch tool reported no VTS or TSS mention). Passage: Establecen reubicación de áreas de fondeaderos en la bahía de Puerto del Callao, y dictan otras disposiciones</t>
        </is>
      </c>
      <c r="H131" s="66" t="inlineStr">
        <is>
          <t>2026-09-29</t>
        </is>
      </c>
    </row>
    <row r="132" ht="60" customHeight="1" s="63">
      <c r="A132" s="66" t="inlineStr">
        <is>
          <t>SRC-126</t>
        </is>
      </c>
      <c r="B132" s="66" t="inlineStr">
        <is>
          <t>Japan Association of Marine Safety compilation of IMO NAV 45 documents (Peru TSS proposals)</t>
        </is>
      </c>
      <c r="C132" s="66" t="inlineStr">
        <is>
          <t>Nippon Foundation Library (secondary host)</t>
        </is>
      </c>
      <c r="D132" s="67" t="inlineStr">
        <is>
          <t>https://nippon.zaidan.info/seikabutsu/1999/00484/contents/225.htm</t>
        </is>
      </c>
      <c r="E132" s="66" t="inlineStr">
        <is>
          <t>FY1999 (Heisei 11)</t>
        </is>
      </c>
      <c r="F132" s="66" t="inlineStr">
        <is>
          <t>Lead only</t>
        </is>
      </c>
      <c r="G132" s="66" t="inlineStr">
        <is>
          <t>Locator: Landfall and approaches to Paita Bay; Approaches to Puerto Callao. Passage: The traffic separation scheme for the approaches to Puerto Callao consists of three parts: Part I Northwest approaches</t>
        </is>
      </c>
      <c r="H132" s="66" t="inlineStr">
        <is>
          <t>2026-09-29</t>
        </is>
      </c>
    </row>
    <row r="133" ht="60" customHeight="1" s="63">
      <c r="A133" s="66" t="inlineStr">
        <is>
          <t>SRC-127</t>
        </is>
      </c>
      <c r="B133" s="66" t="inlineStr">
        <is>
          <t>33 CFR Part 169, Ship Reporting Systems (eCFR XML, point-in-time 2026-09-01)</t>
        </is>
      </c>
      <c r="C133" s="66" t="inlineStr">
        <is>
          <t>US Government (Office of the Federal Register / USCG)</t>
        </is>
      </c>
      <c r="D133" s="67" t="inlineStr">
        <is>
          <t>https://www.ecfr.gov/api/versioner/v1/full/2026-09-01/title-33.xml?part=169</t>
        </is>
      </c>
      <c r="E133" s="66" t="inlineStr">
        <is>
          <t>eCFR point-in-time 2026-09-01; s 169.100 [USCG-1999-5525, 64 FR 29234, June 1, 1999, as amended 66 FR 58070, Nov. 20, 2001]</t>
        </is>
      </c>
      <c r="F133" s="66" t="inlineStr">
        <is>
          <t>Primary (Stage 4)</t>
        </is>
      </c>
      <c r="G133" s="66" t="inlineStr">
        <is>
          <t>Locator: ss 169.100, 169.105, 169.110, 169.115, 169.120, 169.125. Passage: Geographical boundaries of the northeastern area include the waters of Cape Cod Bay, Massachusetts Bay, and the Great South Channel east and southeast of Massachusetts.</t>
        </is>
      </c>
      <c r="H133" s="66" t="inlineStr">
        <is>
          <t>2026-09-29</t>
        </is>
      </c>
    </row>
    <row r="134" ht="60" customHeight="1" s="63">
      <c r="A134" s="66" t="inlineStr">
        <is>
          <t>SRC-128</t>
        </is>
      </c>
      <c r="B134" s="66" t="inlineStr">
        <is>
          <t>Vessel Traffic Services Zones Regulations (SOR/89-98), table of contents</t>
        </is>
      </c>
      <c r="C134" s="66" t="inlineStr">
        <is>
          <t>Government of Canada, Justice Laws Website</t>
        </is>
      </c>
      <c r="D134" s="67" t="inlineStr">
        <is>
          <t>https://laws-lois.justice.gc.ca/eng/regulations/SOR-89-98/page-1.html</t>
        </is>
      </c>
      <c r="E134" s="66" t="inlineStr">
        <is>
          <t>Current to 2026-09-21, last amended 2026-03-31</t>
        </is>
      </c>
      <c r="F134" s="66" t="inlineStr">
        <is>
          <t>Primary (Stage 4)</t>
        </is>
      </c>
      <c r="G134" s="66" t="inlineStr">
        <is>
          <t>Locator: Title block. Passage: Vessel Traffic Services Zones Regulations [Repealed, SOR/2025-275, s. 39]</t>
        </is>
      </c>
      <c r="H134" s="66" t="inlineStr">
        <is>
          <t>2026-09-29</t>
        </is>
      </c>
    </row>
    <row r="135" ht="60" customHeight="1" s="63">
      <c r="A135" s="66" t="inlineStr">
        <is>
          <t>SRC-129</t>
        </is>
      </c>
      <c r="B135" s="66" t="inlineStr">
        <is>
          <t>Radio Aids to Marine Navigation 2026: Part 3: Vessel Traffic Services</t>
        </is>
      </c>
      <c r="C135" s="66" t="inlineStr">
        <is>
          <t>Canadian Coast Guard</t>
        </is>
      </c>
      <c r="D135" s="67" t="inlineStr">
        <is>
          <t>https://www.canada.ca/en/canadian-coast-guard/corporate/publications/radio-aids-marine-navigation/vessel-traffic-services.html</t>
        </is>
      </c>
      <c r="E135" s="66" t="inlineStr">
        <is>
          <t>Date modified 2026-09-25</t>
        </is>
      </c>
      <c r="F135" s="66" t="inlineStr">
        <is>
          <t>Primary (Stage 4)</t>
        </is>
      </c>
      <c r="G135" s="66" t="inlineStr">
        <is>
          <t>Locator: 3.6 Eastern VTS Zone; 3.7.3.5 Strait of Canso and Eastern Approaches VTS Zone (Tables 3-22 to 3-24); 3.7.3.7 Bay of Fundy VTS Zone (Tables 3-28 to 3-30). Passage: 1A | 1 | - | Southwest entrance to traffic separation scheme Inward | A point at 44°10’40.3”N 066°48’16”W.</t>
        </is>
      </c>
      <c r="H135" s="66" t="inlineStr">
        <is>
          <t>2026-09-29</t>
        </is>
      </c>
    </row>
    <row r="136" ht="60" customHeight="1" s="63">
      <c r="A136" s="66" t="inlineStr">
        <is>
          <t>SRC-130</t>
        </is>
      </c>
      <c r="B136" s="66" t="inlineStr">
        <is>
          <t>Radio Aids to Marine Navigation 2026: Part 2: Facilities information</t>
        </is>
      </c>
      <c r="C136" s="66" t="inlineStr">
        <is>
          <t>Canadian Coast Guard</t>
        </is>
      </c>
      <c r="D136" s="67" t="inlineStr">
        <is>
          <t>https://www.canada.ca/en/canadian-coast-guard/corporate/publications/radio-aids-marine-navigation/facilities-information.html</t>
        </is>
      </c>
      <c r="E136" s="66" t="inlineStr">
        <is>
          <t>Date modified 2026-07-31</t>
        </is>
      </c>
      <c r="F136" s="66" t="inlineStr">
        <is>
          <t>Primary (Stage 4)</t>
        </is>
      </c>
      <c r="G136" s="66" t="inlineStr">
        <is>
          <t>Locator: 2.1.1 Halifax; 2.1.11 Sydney. Passage: For Vessel Traffic Services, call Halifax Traffic ( Part 3.7.3.4 of this publication) or Fundy Traffic ( Part 3.7.3.7 of this publication).</t>
        </is>
      </c>
      <c r="H136" s="66" t="inlineStr">
        <is>
          <t>2026-09-29</t>
        </is>
      </c>
    </row>
    <row r="137" ht="60" customHeight="1" s="63">
      <c r="A137" s="66" t="inlineStr">
        <is>
          <t>SRC-131</t>
        </is>
      </c>
      <c r="B137" s="66" t="inlineStr">
        <is>
          <t>Notices to Mariners Annual Edition, Section A, Notice 10: Routeing of Ships</t>
        </is>
      </c>
      <c r="C137" s="66" t="inlineStr">
        <is>
          <t>Canadian Coast Guard / Fisheries and Oceans Canada (NOTMAR)</t>
        </is>
      </c>
      <c r="D137" s="67" t="inlineStr">
        <is>
          <t>https://www.notmar.gc.ca/publications/annual/section-a/a10-en</t>
        </is>
      </c>
      <c r="E137" s="66" t="inlineStr">
        <is>
          <t>Date modified 2026-03-26</t>
        </is>
      </c>
      <c r="F137" s="66" t="inlineStr">
        <is>
          <t>Primary (Stage 4)</t>
        </is>
      </c>
      <c r="G137" s="66" t="inlineStr">
        <is>
          <t>Locator: 2.1 Compulsory. Passage: Compulsory Canadian Routeing Systems adopted by IMO. • In the Approaches to Chedabucto Bay</t>
        </is>
      </c>
      <c r="H137" s="66" t="inlineStr">
        <is>
          <t>2026-09-29</t>
        </is>
      </c>
    </row>
    <row r="138" ht="60" customHeight="1" s="63">
      <c r="A138" s="66" t="inlineStr">
        <is>
          <t>SRC-132</t>
        </is>
      </c>
      <c r="B138" s="66" t="inlineStr">
        <is>
          <t>IMO COLREG.2/Circ.65, New Traffic Separation Schemes (copy hosted by Panama Maritime Authority ship registry site)</t>
        </is>
      </c>
      <c r="C138" s="66" t="inlineStr">
        <is>
          <t>IMO (hosted by Panama Ship Registry)</t>
        </is>
      </c>
      <c r="D138" s="67" t="inlineStr">
        <is>
          <t>https://www.panamashipregistry.com/wp-content/uploads/2019/08/COLREG-2-Circ-65.pdf</t>
        </is>
      </c>
      <c r="E138" s="66" t="inlineStr">
        <is>
          <t>23 May 2014</t>
        </is>
      </c>
      <c r="F138" s="66" t="inlineStr">
        <is>
          <t>Primary (Stage 4)</t>
        </is>
      </c>
      <c r="G138" s="66" t="inlineStr">
        <is>
          <t>Locator: para 1-2; Annex 1 (Pacific coast of Panama, Parts 1-4); Annex 2 (Puerto Cristobal). Passage: The new traffic separation schemes listed in subparagraphs .1 and .2 above and detailed in the annexes will be implemented at 0000 hours UTC on 1 December 2014.</t>
        </is>
      </c>
      <c r="H138" s="66" t="inlineStr">
        <is>
          <t>2026-09-29</t>
        </is>
      </c>
    </row>
    <row r="139" ht="60" customHeight="1" s="63">
      <c r="A139" s="66" t="inlineStr">
        <is>
          <t>SRC-133</t>
        </is>
      </c>
      <c r="B139" s="66" t="inlineStr">
        <is>
          <t>Advisory to Shipping No. A-24-2026: Speed Restriction in Traffic Separation Scheme on the Pacific Approach to the Panama Canal</t>
        </is>
      </c>
      <c r="C139" s="66" t="inlineStr">
        <is>
          <t>Panama Canal Authority (ACP)</t>
        </is>
      </c>
      <c r="D139" s="67" t="inlineStr">
        <is>
          <t>https://pancanal.com/wp-content/uploads/2026/04/ADV-24-2026-Speed-Restriction-in-Traffic-Separation-Scheme-on-the-Pacific-Approach-to-the-Panama-Canal.pdf</t>
        </is>
      </c>
      <c r="E139" s="66" t="inlineStr">
        <is>
          <t>July 30, 2026</t>
        </is>
      </c>
      <c r="F139" s="66" t="inlineStr">
        <is>
          <t>Primary (Stage 4)</t>
        </is>
      </c>
      <c r="G139" s="66" t="inlineStr">
        <is>
          <t>Locator: Advisory text and attached chart notice 3719(P)/14. Passage: This recommendation applies to both lanes of the Traffic Separation Scheme in the Gulf of Panama.</t>
        </is>
      </c>
      <c r="H139" s="66" t="inlineStr">
        <is>
          <t>2026-09-29</t>
        </is>
      </c>
    </row>
    <row r="140" ht="60" customHeight="1" s="63">
      <c r="A140" s="66" t="inlineStr">
        <is>
          <t>SRC-134</t>
        </is>
      </c>
      <c r="B140" s="66" t="inlineStr">
        <is>
          <t>OP Notice to Shipping N-2-2026: Harbor Operations</t>
        </is>
      </c>
      <c r="C140" s="66" t="inlineStr">
        <is>
          <t>Panama Canal Authority (ACP)</t>
        </is>
      </c>
      <c r="D140" s="67" t="inlineStr">
        <is>
          <t>https://pancanal.com/wp-content/uploads/2021/08/N02-2026-Harbor-Operations_BMV.pdf</t>
        </is>
      </c>
      <c r="E140" s="66" t="inlineStr">
        <is>
          <t>January 1, 2026</t>
        </is>
      </c>
      <c r="F140" s="66" t="inlineStr">
        <is>
          <t>Primary (Stage 4)</t>
        </is>
      </c>
      <c r="G140" s="66" t="inlineStr">
        <is>
          <t>Locator: Section 1 (Arriving and Departing the Anchorages), 2 (Pacific Entrance), 3 (Atlantic Entrance). Passage: When a vessel reaches a point of eight (8) Nautical Miles from the Atlantic Breakwater, it must notify Cristobal Signal Station on Channel 12 (VHF).</t>
        </is>
      </c>
      <c r="H140" s="66" t="inlineStr">
        <is>
          <t>2026-09-29</t>
        </is>
      </c>
    </row>
    <row r="141" ht="60" customHeight="1" s="63">
      <c r="A141" s="66" t="inlineStr">
        <is>
          <t>SRC-135</t>
        </is>
      </c>
      <c r="B141" s="66" t="inlineStr">
        <is>
          <t>OP Notice to Shipping N-1-2025: Vessel Requirements</t>
        </is>
      </c>
      <c r="C141" s="66" t="inlineStr">
        <is>
          <t>Panama Canal Authority (ACP)</t>
        </is>
      </c>
      <c r="D141" s="67" t="inlineStr">
        <is>
          <t>https://pancanal.com/wp-content/uploads/2021/08/N01-2025-Vessel-Requirements.pdf</t>
        </is>
      </c>
      <c r="E141" s="66" t="inlineStr">
        <is>
          <t>January 1, 2025</t>
        </is>
      </c>
      <c r="F141" s="66" t="inlineStr">
        <is>
          <t>Supporting (Stage 4)</t>
        </is>
      </c>
      <c r="G141" s="66" t="inlineStr">
        <is>
          <t>Locator: Section 27(e) (Canal waters boundary); Section 17 (96-hour dangerous cargo notice). Passage: The outer boundaries of Canal waters are those of the Pacific and Atlantic anchorage areas</t>
        </is>
      </c>
      <c r="H141" s="66" t="inlineStr">
        <is>
          <t>2026-09-29</t>
        </is>
      </c>
    </row>
    <row r="142" ht="60" customHeight="1" s="63">
      <c r="A142" s="66" t="inlineStr">
        <is>
          <t>SRC-136</t>
        </is>
      </c>
      <c r="B142" s="66" t="inlineStr">
        <is>
          <t>Eastern Canada Vessel Traffic Services Zone Regulations (SOR/89-99), table of contents</t>
        </is>
      </c>
      <c r="C142" s="66" t="inlineStr">
        <is>
          <t>Government of Canada, Justice Laws Website</t>
        </is>
      </c>
      <c r="D142" s="67" t="inlineStr">
        <is>
          <t>https://laws-lois.justice.gc.ca/eng/regulations/SOR-89-99/page-1.html</t>
        </is>
      </c>
      <c r="E142" s="66" t="inlineStr">
        <is>
          <t>Current to 2026-09-21, last amended 2026-03-31</t>
        </is>
      </c>
      <c r="F142" s="66" t="inlineStr">
        <is>
          <t>Primary (Stage 4)</t>
        </is>
      </c>
      <c r="G142" s="66" t="inlineStr">
        <is>
          <t>Locator: Title block. Passage: Eastern Canada Vessel Traffic Services Zone Regulations [Repealed, SOR/2025-275, s. 39]</t>
        </is>
      </c>
      <c r="H142" s="66" t="inlineStr">
        <is>
          <t>2026-09-29</t>
        </is>
      </c>
    </row>
  </sheetData>
  <mergeCells count="2">
    <mergeCell ref="A1:H2"/>
    <mergeCell ref="A3:H4"/>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14" customWidth="1" style="63" min="1" max="1"/>
    <col width="12" customWidth="1" style="63" min="2" max="2"/>
    <col width="23" customWidth="1" style="63" min="3" max="3"/>
    <col width="38" customWidth="1" style="63" min="4" max="4"/>
    <col width="15" customWidth="1" style="63" min="5" max="5"/>
    <col width="54" customWidth="1" style="63" min="6" max="6"/>
    <col width="48" customWidth="1" style="63" min="7" max="7"/>
    <col width="27" customWidth="1" style="63" min="8" max="8"/>
  </cols>
  <sheetData>
    <row r="1" ht="23" customHeight="1" s="63">
      <c r="A1" s="47" t="inlineStr">
        <is>
          <t>UNRESOLVED RESEARCH ISSUES</t>
        </is>
      </c>
      <c r="B1" s="1" t="n"/>
      <c r="C1" s="1" t="n"/>
      <c r="D1" s="1" t="n"/>
      <c r="E1" s="1" t="n"/>
      <c r="F1" s="1" t="n"/>
      <c r="G1" s="1" t="n"/>
      <c r="H1" s="1" t="n"/>
    </row>
    <row r="2" ht="23" customHeight="1" s="63">
      <c r="A2" s="1" t="n"/>
      <c r="B2" s="1" t="n"/>
      <c r="C2" s="1" t="n"/>
      <c r="D2" s="1" t="n"/>
      <c r="E2" s="1" t="n"/>
      <c r="F2" s="1" t="n"/>
      <c r="G2" s="1" t="n"/>
      <c r="H2" s="1" t="n"/>
    </row>
    <row r="3" ht="21" customHeight="1" s="63">
      <c r="A3" s="15" t="inlineStr">
        <is>
          <t>Version 0.3 | 29 September 2026 | Issues. Reconciled register; see Audit Findings and Overview for limits.</t>
        </is>
      </c>
      <c r="B3" s="1" t="n"/>
      <c r="C3" s="1" t="n"/>
      <c r="D3" s="1" t="n"/>
      <c r="E3" s="1" t="n"/>
      <c r="F3" s="1" t="n"/>
      <c r="G3" s="1" t="n"/>
      <c r="H3" s="1" t="n"/>
    </row>
    <row r="4" ht="21" customHeight="1" s="63">
      <c r="A4" s="1" t="n"/>
      <c r="B4" s="1" t="n"/>
      <c r="C4" s="1" t="n"/>
      <c r="D4" s="1" t="n"/>
      <c r="E4" s="1" t="n"/>
      <c r="F4" s="1" t="n"/>
      <c r="G4" s="1" t="n"/>
      <c r="H4" s="1" t="n"/>
    </row>
    <row r="6" ht="34" customHeight="1" s="63">
      <c r="A6" s="65" t="inlineStr">
        <is>
          <t>Issue ID</t>
        </is>
      </c>
      <c r="B6" s="65" t="inlineStr">
        <is>
          <t>Priority</t>
        </is>
      </c>
      <c r="C6" s="65" t="inlineStr">
        <is>
          <t>Category</t>
        </is>
      </c>
      <c r="D6" s="65" t="inlineStr">
        <is>
          <t>Affected records</t>
        </is>
      </c>
      <c r="E6" s="65" t="inlineStr">
        <is>
          <t>Status</t>
        </is>
      </c>
      <c r="F6" s="65" t="inlineStr">
        <is>
          <t>Required action</t>
        </is>
      </c>
      <c r="G6" s="65" t="inlineStr">
        <is>
          <t>Counting / research effect</t>
        </is>
      </c>
      <c r="H6" s="65" t="inlineStr">
        <is>
          <t>Source IDs</t>
        </is>
      </c>
    </row>
    <row r="7" ht="60" customHeight="1" s="63">
      <c r="A7" s="66" t="inlineStr">
        <is>
          <t>ISS-001</t>
        </is>
      </c>
      <c r="B7" s="66" t="inlineStr">
        <is>
          <t>High</t>
        </is>
      </c>
      <c r="C7" s="66" t="inlineStr">
        <is>
          <t>Baseline source</t>
        </is>
      </c>
      <c r="D7" s="66" t="inlineStr">
        <is>
          <t>All TSS candidates</t>
        </is>
      </c>
      <c r="E7" s="66" t="inlineStr">
        <is>
          <t>Open</t>
        </is>
      </c>
      <c r="F7" s="66" t="inlineStr">
        <is>
          <t>Obtain primary Ships’ Routeing Part B and reporting-system contents. Reconcile against current UKHO Notice 17.</t>
        </is>
      </c>
      <c r="G7" s="66" t="inlineStr">
        <is>
          <t>170 source entries are not a confirmed worldwide TSS count.</t>
        </is>
      </c>
      <c r="H7" s="66" t="inlineStr">
        <is>
          <t>SRC-001; SRC-002; SRC-003</t>
        </is>
      </c>
    </row>
    <row r="8" ht="60" customHeight="1" s="63">
      <c r="A8" s="70" t="inlineStr">
        <is>
          <t>ISS-002</t>
        </is>
      </c>
      <c r="B8" s="70" t="inlineStr">
        <is>
          <t>High</t>
        </is>
      </c>
      <c r="C8" s="70" t="inlineStr">
        <is>
          <t>Completeness</t>
        </is>
      </c>
      <c r="D8" s="70" t="inlineStr">
        <is>
          <t>Whole inventory</t>
        </is>
      </c>
      <c r="E8" s="70" t="inlineStr">
        <is>
          <t>Open</t>
        </is>
      </c>
      <c r="F8" s="70" t="inlineStr">
        <is>
          <t>Apply adopted and implemented amendments after the baseline publication date, through 29 September 2026.</t>
        </is>
      </c>
      <c r="G8" s="70" t="inlineStr">
        <is>
          <t>The extraction has no established current-to date.</t>
        </is>
      </c>
      <c r="H8" s="70" t="inlineStr">
        <is>
          <t>SRC-003</t>
        </is>
      </c>
    </row>
    <row r="9" ht="60" customHeight="1" s="63">
      <c r="A9" s="66" t="inlineStr">
        <is>
          <t>ISS-003</t>
        </is>
      </c>
      <c r="B9" s="66" t="inlineStr">
        <is>
          <t>High</t>
        </is>
      </c>
      <c r="C9" s="66" t="inlineStr">
        <is>
          <t>Source access</t>
        </is>
      </c>
      <c r="D9" s="66" t="inlineStr">
        <is>
          <t>UKHO Notice 17</t>
        </is>
      </c>
      <c r="E9" s="66" t="inlineStr">
        <is>
          <t>Open</t>
        </is>
      </c>
      <c r="F9" s="66" t="inlineStr">
        <is>
          <t>Retrieve the official PDF; the index was accessible but the download failed.</t>
        </is>
      </c>
      <c r="G9" s="66" t="inlineStr">
        <is>
          <t>A mirror cannot establish the current official inventory.</t>
        </is>
      </c>
      <c r="H9" s="66" t="inlineStr">
        <is>
          <t>SRC-002</t>
        </is>
      </c>
    </row>
    <row r="10" ht="60" customHeight="1" s="63">
      <c r="A10" s="70" t="inlineStr">
        <is>
          <t>ISS-004</t>
        </is>
      </c>
      <c r="B10" s="70" t="inlineStr">
        <is>
          <t>High</t>
        </is>
      </c>
      <c r="C10" s="70" t="inlineStr">
        <is>
          <t>Grouped schemes</t>
        </is>
      </c>
      <c r="D10" s="70" t="inlineStr">
        <is>
          <t>Norway; Åland; Kattegat; Gdansk; Slupska Bank</t>
        </is>
      </c>
      <c r="E10" s="70" t="inlineStr">
        <is>
          <t>Open</t>
        </is>
      </c>
      <c r="F10" s="70" t="inlineStr">
        <is>
          <t>Gdańsk East/West components identified. Decompose the remaining grouped headings against the official baseline.</t>
        </is>
      </c>
      <c r="G10" s="70" t="inlineStr">
        <is>
          <t>Two Gdańsk child records are non-additive. The number of unique TSS remains undetermined.</t>
        </is>
      </c>
      <c r="H10" s="70" t="inlineStr">
        <is>
          <t>SRC-001; SRC-019</t>
        </is>
      </c>
    </row>
    <row r="11" ht="60" customHeight="1" s="63">
      <c r="A11" s="66" t="inlineStr">
        <is>
          <t>ISS-005</t>
        </is>
      </c>
      <c r="B11" s="66" t="inlineStr">
        <is>
          <t>High</t>
        </is>
      </c>
      <c r="C11" s="66" t="inlineStr">
        <is>
          <t>Counting</t>
        </is>
      </c>
      <c r="D11" s="66" t="inlineStr">
        <is>
          <t>Malacca–Singapore</t>
        </is>
      </c>
      <c r="E11" s="66" t="inlineStr">
        <is>
          <t>Open</t>
        </is>
      </c>
      <c r="F11" s="66" t="inlineStr">
        <is>
          <t>Reconcile eight source segments with the routeing system, nine reporting sectors and three VTS authorities.</t>
        </is>
      </c>
      <c r="G11" s="66" t="inlineStr">
        <is>
          <t>Segments, sectors, services and guide entries are different units.</t>
        </is>
      </c>
      <c r="H11" s="66" t="inlineStr">
        <is>
          <t>SRC-006; SRC-007</t>
        </is>
      </c>
    </row>
    <row r="12" ht="60" customHeight="1" s="63">
      <c r="A12" s="70" t="inlineStr">
        <is>
          <t>ISS-006</t>
        </is>
      </c>
      <c r="B12" s="70" t="inlineStr">
        <is>
          <t>High</t>
        </is>
      </c>
      <c r="C12" s="70" t="inlineStr">
        <is>
          <t>Scope gap</t>
        </is>
      </c>
      <c r="D12" s="70" t="inlineStr">
        <is>
          <t>REEFVTS / REEFREP</t>
        </is>
      </c>
      <c r="E12" s="70" t="inlineStr">
        <is>
          <t>Open</t>
        </is>
      </c>
      <c r="F12" s="70" t="inlineStr">
        <is>
          <t>Retain this additional area and run a separate non-TSS coverage search.</t>
        </is>
      </c>
      <c r="G12" s="70" t="inlineStr">
        <is>
          <t>Absence from the extracted TSS list is not absence of VTS or mandatory reporting.</t>
        </is>
      </c>
      <c r="H12" s="70" t="inlineStr">
        <is>
          <t>SRC-018; SRC-013</t>
        </is>
      </c>
    </row>
    <row r="13" ht="60" customHeight="1" s="63">
      <c r="A13" s="66" t="inlineStr">
        <is>
          <t>ISS-007</t>
        </is>
      </c>
      <c r="B13" s="66" t="inlineStr">
        <is>
          <t>Medium</t>
        </is>
      </c>
      <c r="C13" s="66" t="inlineStr">
        <is>
          <t>Temporary service</t>
        </is>
      </c>
      <c r="D13" s="66" t="inlineStr">
        <is>
          <t>VTS Fehmarnbelt</t>
        </is>
      </c>
      <c r="E13" s="66" t="inlineStr">
        <is>
          <t>Open</t>
        </is>
      </c>
      <c r="F13" s="66" t="inlineStr">
        <is>
          <t>Voluntary and temporary status confirmed. Check construction-phase boundaries, applicable reporting instructions and the service end date.</t>
        </is>
      </c>
      <c r="G13" s="66" t="inlineStr">
        <is>
          <t>Do not treat the voluntary service as a mandatory reporting scheme.</t>
        </is>
      </c>
      <c r="H13" s="66" t="inlineStr">
        <is>
          <t>SRC-015; SRC-016</t>
        </is>
      </c>
    </row>
    <row r="14" ht="60" customHeight="1" s="63">
      <c r="A14" s="70" t="inlineStr">
        <is>
          <t>ISS-008</t>
        </is>
      </c>
      <c r="B14" s="70" t="inlineStr">
        <is>
          <t>High</t>
        </is>
      </c>
      <c r="C14" s="70" t="inlineStr">
        <is>
          <t>Effective date</t>
        </is>
      </c>
      <c r="D14" s="70" t="inlineStr">
        <is>
          <t>SOUNDREP / Sweden</t>
        </is>
      </c>
      <c r="E14" s="70" t="inlineStr">
        <is>
          <t>Open</t>
        </is>
      </c>
      <c r="F14" s="70" t="inlineStr">
        <is>
          <t>Check TSFS 2026:60 after its stated commencement on 1 October 2026.</t>
        </is>
      </c>
      <c r="G14" s="70" t="inlineStr">
        <is>
          <t>Published future rules are not in force on this inventory date.</t>
        </is>
      </c>
      <c r="H14" s="70" t="inlineStr">
        <is>
          <t>SRC-010</t>
        </is>
      </c>
    </row>
    <row r="15" ht="60" customHeight="1" s="63">
      <c r="A15" s="66" t="inlineStr">
        <is>
          <t>ISS-009</t>
        </is>
      </c>
      <c r="B15" s="66" t="inlineStr">
        <is>
          <t>High</t>
        </is>
      </c>
      <c r="C15" s="66" t="inlineStr">
        <is>
          <t>Classification</t>
        </is>
      </c>
      <c r="D15" s="66" t="inlineStr">
        <is>
          <t>GOFREP</t>
        </is>
      </c>
      <c r="E15" s="66" t="inlineStr">
        <is>
          <t>Open</t>
        </is>
      </c>
      <c r="F15" s="66" t="inlineStr">
        <is>
          <t>Preserve GOFREP as a reporting system, not three VTS areas. Audit the restored Sommers/Hogland/Rodsher hypotheses separately.</t>
        </is>
      </c>
      <c r="G15" s="66" t="inlineStr">
        <is>
          <t>Reporting coverage outside VTS areas must not be counted as three new VTS areas.</t>
        </is>
      </c>
      <c r="H15" s="66" t="inlineStr">
        <is>
          <t>SRC-011; SRC-012</t>
        </is>
      </c>
    </row>
    <row r="16" ht="60" customHeight="1" s="63">
      <c r="A16" s="70" t="inlineStr">
        <is>
          <t>ISS-010</t>
        </is>
      </c>
      <c r="B16" s="70" t="inlineStr">
        <is>
          <t>Medium</t>
        </is>
      </c>
      <c r="C16" s="70" t="inlineStr">
        <is>
          <t>Geographical labels</t>
        </is>
      </c>
      <c r="D16" s="70" t="inlineStr">
        <is>
          <t>Pacific Panama; Punta Arenas; Iceland; Black Sea entries</t>
        </is>
      </c>
      <c r="E16" s="70" t="inlineStr">
        <is>
          <t>Open</t>
        </is>
      </c>
      <c r="F16" s="70" t="inlineStr">
        <is>
          <t>Preserve source labels, correct regional filing and verify official spellings and current names.</t>
        </is>
      </c>
      <c r="G16" s="70" t="inlineStr">
        <is>
          <t>Aliases and naming changes can create duplicates.</t>
        </is>
      </c>
      <c r="H16" s="70" t="inlineStr">
        <is>
          <t>SRC-001</t>
        </is>
      </c>
    </row>
    <row r="17" ht="60" customHeight="1" s="63">
      <c r="A17" s="66" t="inlineStr">
        <is>
          <t>ISS-011</t>
        </is>
      </c>
      <c r="B17" s="66" t="inlineStr">
        <is>
          <t>High</t>
        </is>
      </c>
      <c r="C17" s="66" t="inlineStr">
        <is>
          <t>Local confirmation</t>
        </is>
      </c>
      <c r="D17" s="66" t="inlineStr">
        <is>
          <t>GDANREP</t>
        </is>
      </c>
      <c r="E17" s="66" t="inlineStr">
        <is>
          <t>Open</t>
        </is>
      </c>
      <c r="F17" s="66" t="inlineStr">
        <is>
          <t>Polish authority and receiving VTS now identified. Complete current boundary, applicability and procedure checks.</t>
        </is>
      </c>
      <c r="G17" s="66" t="inlineStr">
        <is>
          <t>Identity gap resolved; operational verification remains open.</t>
        </is>
      </c>
      <c r="H17" s="66" t="inlineStr">
        <is>
          <t>SRC-019; SRC-010</t>
        </is>
      </c>
    </row>
    <row r="18" ht="60" customHeight="1" s="63">
      <c r="A18" s="70" t="inlineStr">
        <is>
          <t>ISS-012</t>
        </is>
      </c>
      <c r="B18" s="70" t="inlineStr">
        <is>
          <t>High</t>
        </is>
      </c>
      <c r="C18" s="70" t="inlineStr">
        <is>
          <t>Project inputs</t>
        </is>
      </c>
      <c r="D18" s="70" t="inlineStr">
        <is>
          <t>Sarah’s history; Derek’s source PDF</t>
        </is>
      </c>
      <c r="E18" s="70" t="inlineStr">
        <is>
          <t>Open</t>
        </is>
      </c>
      <c r="F18" s="70" t="inlineStr">
        <is>
          <t>Obtain and reconcile the documents named in the brief.</t>
        </is>
      </c>
      <c r="G18" s="70" t="inlineStr">
        <is>
          <t>Neither document was available as a usable research input in this inventory build.</t>
        </is>
      </c>
      <c r="H18" s="70" t="str"/>
    </row>
    <row r="19" ht="60" customHeight="1" s="63">
      <c r="A19" s="66" t="inlineStr">
        <is>
          <t>ISS-013</t>
        </is>
      </c>
      <c r="B19" s="66" t="inlineStr">
        <is>
          <t>High</t>
        </is>
      </c>
      <c r="C19" s="66" t="inlineStr">
        <is>
          <t>Recognition scope</t>
        </is>
      </c>
      <c r="D19" s="66" t="inlineStr">
        <is>
          <t>Nationally established TSS</t>
        </is>
      </c>
      <c r="E19" s="66" t="inlineStr">
        <is>
          <t>Open</t>
        </is>
      </c>
      <c r="F19" s="66" t="inlineStr">
        <is>
          <t>Create a separate national-scheme inventory and decide inclusion criteria.</t>
        </is>
      </c>
      <c r="G19" s="66" t="inlineStr">
        <is>
          <t>The present extraction targets UKHO-labelled IMO-adopted entries, not all national routeing measures.</t>
        </is>
      </c>
      <c r="H19" s="66" t="inlineStr">
        <is>
          <t>SRC-001; SRC-003</t>
        </is>
      </c>
    </row>
    <row r="20" ht="60" customHeight="1" s="63">
      <c r="A20" s="70" t="inlineStr">
        <is>
          <t>ISS-014</t>
        </is>
      </c>
      <c r="B20" s="70" t="inlineStr">
        <is>
          <t>Medium</t>
        </is>
      </c>
      <c r="C20" s="70" t="inlineStr">
        <is>
          <t>Production scope</t>
        </is>
      </c>
      <c r="D20" s="70" t="inlineStr">
        <is>
          <t>Proposed guide entries</t>
        </is>
      </c>
      <c r="E20" s="70" t="inlineStr">
        <is>
          <t>Open</t>
        </is>
      </c>
      <c r="F20" s="70" t="inlineStr">
        <is>
          <t>Define coherent editorial units after service-boundary reconciliation.</t>
        </is>
      </c>
      <c r="G20" s="70" t="inlineStr">
        <is>
          <t>No guide-entry, directional-diagram or page total is assigned in this release.</t>
        </is>
      </c>
      <c r="H20" s="70" t="str"/>
    </row>
    <row r="21" ht="60" customHeight="1" s="63">
      <c r="A21" s="66" t="inlineStr">
        <is>
          <t>ISS-015</t>
        </is>
      </c>
      <c r="B21" s="66" t="inlineStr">
        <is>
          <t>High</t>
        </is>
      </c>
      <c r="C21" s="66" t="inlineStr">
        <is>
          <t>Version control</t>
        </is>
      </c>
      <c r="D21" s="66" t="inlineStr">
        <is>
          <t>Both v0.1 releases</t>
        </is>
      </c>
      <c r="E21" s="66" t="inlineStr">
        <is>
          <t>Closed</t>
        </is>
      </c>
      <c r="F21" s="66" t="inlineStr">
        <is>
          <t>Reconciled into v0.2. Restored dropped services and voluntary scheme. Added ID Crosswalk and Legacy Links.</t>
        </is>
      </c>
      <c r="G21" s="66" t="inlineStr">
        <is>
          <t>v0.2 supersedes both v0.1 workbooks. Earlier candidate labels are retained.</t>
        </is>
      </c>
      <c r="H21" s="66" t="inlineStr">
        <is>
          <t>SRC-017; SRC-019</t>
        </is>
      </c>
    </row>
    <row r="22" ht="60" customHeight="1" s="63">
      <c r="A22" s="70" t="inlineStr">
        <is>
          <t>ISS-016</t>
        </is>
      </c>
      <c r="B22" s="70" t="inlineStr">
        <is>
          <t>High</t>
        </is>
      </c>
      <c r="C22" s="70" t="inlineStr">
        <is>
          <t>Boundary evidence</t>
        </is>
      </c>
      <c r="D22" s="70" t="inlineStr">
        <is>
          <t>Seven US TSS research leads</t>
        </is>
      </c>
      <c r="E22" s="70" t="inlineStr">
        <is>
          <t>Open</t>
        </is>
      </c>
      <c r="F22" s="70" t="inlineStr">
        <is>
          <t>Verify actual overlap, approaches and participating-vessel scope. Add Canadian service areas where evidence supports them.</t>
        </is>
      </c>
      <c r="G22" s="70" t="inlineStr">
        <is>
          <t>Six service identities confirmed, but no whole-TSS coverage inferred from proximity.</t>
        </is>
      </c>
      <c r="H22" s="70" t="inlineStr">
        <is>
          <t>SRC-017</t>
        </is>
      </c>
    </row>
    <row r="23" ht="60" customHeight="1" s="63">
      <c r="A23" s="66" t="inlineStr">
        <is>
          <t>ISS-017</t>
        </is>
      </c>
      <c r="B23" s="66" t="inlineStr">
        <is>
          <t>High</t>
        </is>
      </c>
      <c r="C23" s="66" t="inlineStr">
        <is>
          <t>Unverified legacy hypotheses</t>
        </is>
      </c>
      <c r="D23" s="66" t="inlineStr">
        <is>
          <t>TSS-0021; TSS-0022; TSS-0023</t>
        </is>
      </c>
      <c r="E23" s="66" t="inlineStr">
        <is>
          <t>Open</t>
        </is>
      </c>
      <c r="F23" s="66" t="inlineStr">
        <is>
          <t>Obtain direct authority evidence for each proposed GOFREP connection.</t>
        </is>
      </c>
      <c r="G23" s="66" t="inlineStr">
        <is>
          <t>Restored hypotheses remain excluded from the evidenced-association count.</t>
        </is>
      </c>
      <c r="H23" s="66" t="inlineStr">
        <is>
          <t>SRC-011; SRC-012</t>
        </is>
      </c>
    </row>
    <row r="24" ht="60" customHeight="1" s="63">
      <c r="A24" s="66" t="inlineStr">
        <is>
          <t>ISS-018</t>
        </is>
      </c>
      <c r="B24" s="66" t="inlineStr">
        <is>
          <t>High</t>
        </is>
      </c>
      <c r="C24" s="66" t="inlineStr">
        <is>
          <t>Counting rule</t>
        </is>
      </c>
      <c r="D24" s="66" t="inlineStr">
        <is>
          <t>TSS-0046 to TSS-0049; TSS-0129 to TSS-0133; TSS-0160; TSS-0166; TSS-0169; TSS-0170; TSS-0151; TSS-0161</t>
        </is>
      </c>
      <c r="E24" s="66" t="inlineStr">
        <is>
          <t>Open</t>
        </is>
      </c>
      <c r="F24" s="66" t="inlineStr">
        <is>
          <t>Decide whether reporting duties inside a VTS or port service (US VTS/VMRS participation, Canadian VTS zone reports, Panama Canal approach reports) should ever count as a separate mandatory reporting scheme. v0.3 records them under the service.</t>
        </is>
      </c>
      <c r="G24" s="66" t="inlineStr">
        <is>
          <t>Changes the TSS-with-mandatory-reporting subtotal, not the VTS subtotal.</t>
        </is>
      </c>
      <c r="H24" s="66" t="n"/>
    </row>
    <row r="25" ht="60" customHeight="1" s="63">
      <c r="A25" s="66" t="inlineStr">
        <is>
          <t>ISS-019</t>
        </is>
      </c>
      <c r="B25" s="66" t="inlineStr">
        <is>
          <t>High</t>
        </is>
      </c>
      <c r="C25" s="66" t="inlineStr">
        <is>
          <t>Superseded schemes</t>
        </is>
      </c>
      <c r="D25" s="66" t="inlineStr">
        <is>
          <t>TSS-0085; TSS-0086</t>
        </is>
      </c>
      <c r="E25" s="66" t="inlineStr">
        <is>
          <t>Open</t>
        </is>
      </c>
      <c r="F25" s="66" t="inlineStr">
        <is>
          <t>Read COLREG.2/Circ.78 (implemented 1 June 2023) and confirm that both Odesa/Ilichevsk schemes were replaced by the combined Chornomorsk, Odesa and Pivdennyi scheme. Add the successor as a new record if confirmed.</t>
        </is>
      </c>
      <c r="G25" s="66" t="inlineStr">
        <is>
          <t>Two source rows may become one current scheme.</t>
        </is>
      </c>
      <c r="H25" s="66" t="n"/>
    </row>
    <row r="26" ht="60" customHeight="1" s="63">
      <c r="A26" s="66" t="inlineStr">
        <is>
          <t>ISS-020</t>
        </is>
      </c>
      <c r="B26" s="66" t="inlineStr">
        <is>
          <t>High</t>
        </is>
      </c>
      <c r="C26" s="66" t="inlineStr">
        <is>
          <t>Conflict-affected areas</t>
        </is>
      </c>
      <c r="D26" s="66" t="inlineStr">
        <is>
          <t>TSS-0087; TSS-0088; TSS-0099</t>
        </is>
      </c>
      <c r="E26" s="66" t="inlineStr">
        <is>
          <t>Open</t>
        </is>
      </c>
      <c r="F26" s="66" t="inlineStr">
        <is>
          <t>Record authority statements neutrally. Do not treat IMO adoption as evidence of current safe operation.</t>
        </is>
      </c>
      <c r="G26" s="66" t="inlineStr">
        <is>
          <t>Status remains Not established or Unresolved.</t>
        </is>
      </c>
      <c r="H26" s="66" t="n"/>
    </row>
    <row r="27" ht="60" customHeight="1" s="63">
      <c r="A27" s="66" t="inlineStr">
        <is>
          <t>ISS-021</t>
        </is>
      </c>
      <c r="B27" s="66" t="inlineStr">
        <is>
          <t>High</t>
        </is>
      </c>
      <c r="C27" s="66" t="inlineStr">
        <is>
          <t>Duplicates and grouping</t>
        </is>
      </c>
      <c r="D27" s="66" t="inlineStr">
        <is>
          <t>TSS-0050/TSS-0051; TSS-0055 to TSS-0058</t>
        </is>
      </c>
      <c r="E27" s="66" t="inlineStr">
        <is>
          <t>Open</t>
        </is>
      </c>
      <c r="F27" s="66" t="inlineStr">
        <is>
          <t>Vlieland North and Off Vlieland appear to be one IMO entry. West, North and East Friesland and Off Botney Ground are parts of the single 'Off Friesland' routeing system (COLREG.2/Circ.59 and Circ.66). Reconcile against Ships' Routeing before counting.</t>
        </is>
      </c>
      <c r="G27" s="66" t="inlineStr">
        <is>
          <t>Up to five source rows may collapse into two schemes.</t>
        </is>
      </c>
      <c r="H27" s="66" t="n"/>
    </row>
    <row r="28" ht="60" customHeight="1" s="63">
      <c r="A28" s="66" t="inlineStr">
        <is>
          <t>ISS-022</t>
        </is>
      </c>
      <c r="B28" s="66" t="inlineStr">
        <is>
          <t>Medium</t>
        </is>
      </c>
      <c r="C28" s="66" t="inlineStr">
        <is>
          <t>Source quality</t>
        </is>
      </c>
      <c r="D28" s="66" t="inlineStr">
        <is>
          <t>Records citing IMO circulars from third-party mirrors</t>
        </is>
      </c>
      <c r="E28" s="66" t="inlineStr">
        <is>
          <t>Open</t>
        </is>
      </c>
      <c r="F28" s="66" t="inlineStr">
        <is>
          <t>Some IMO COLREG.2 circulars were read on non-IMO hosts (national administrations, NOAA, document mirrors). Re-check against IMODOCS or Ships' Routeing.</t>
        </is>
      </c>
      <c r="G28" s="66" t="inlineStr">
        <is>
          <t>Identity findings stand but carry a source-host limitation.</t>
        </is>
      </c>
      <c r="H28" s="66" t="n"/>
    </row>
    <row r="29" ht="60" customHeight="1" s="63">
      <c r="A29" s="66" t="inlineStr">
        <is>
          <t>ISS-023</t>
        </is>
      </c>
      <c r="B29" s="66" t="inlineStr">
        <is>
          <t>Medium</t>
        </is>
      </c>
      <c r="C29" s="66" t="inlineStr">
        <is>
          <t>Possible duplicates</t>
        </is>
      </c>
      <c r="D29" s="66" t="inlineStr">
        <is>
          <t>TSS-0121/TSS-0122; TSS-0127/TSS-0128; TSS-0081/TSS-0082</t>
        </is>
      </c>
      <c r="E29" s="66" t="inlineStr">
        <is>
          <t>Open</t>
        </is>
      </c>
      <c r="F29" s="66" t="inlineStr">
        <is>
          <t>Compare geometry and adoption instruments to establish whether these source rows describe the same scheme.</t>
        </is>
      </c>
      <c r="G29" s="66" t="inlineStr">
        <is>
          <t>May reduce the TSS count.</t>
        </is>
      </c>
      <c r="H29" s="66" t="n"/>
    </row>
    <row r="30" ht="60" customHeight="1" s="63">
      <c r="A30" s="66" t="inlineStr">
        <is>
          <t>ISS-024</t>
        </is>
      </c>
      <c r="B30" s="66" t="inlineStr">
        <is>
          <t>Medium</t>
        </is>
      </c>
      <c r="C30" s="66" t="inlineStr">
        <is>
          <t>Naming</t>
        </is>
      </c>
      <c r="D30" s="66" t="inlineStr">
        <is>
          <t>TSS-0140; TSS-0150</t>
        </is>
      </c>
      <c r="E30" s="66" t="inlineStr">
        <is>
          <t>Open</t>
        </is>
      </c>
      <c r="F30" s="66" t="inlineStr">
        <is>
          <t>Pisco was adopted as Puerto San Martin (renamed 2004). Official spelling is Punta Arenas, not Puntas Arenas. Update names without changing IDs.</t>
        </is>
      </c>
      <c r="G30" s="66" t="inlineStr">
        <is>
          <t>Alias control; no count change.</t>
        </is>
      </c>
      <c r="H30" s="66" t="n"/>
    </row>
    <row r="31" ht="60" customHeight="1" s="63">
      <c r="A31" s="66" t="inlineStr">
        <is>
          <t>ISS-025</t>
        </is>
      </c>
      <c r="B31" s="66" t="inlineStr">
        <is>
          <t>High</t>
        </is>
      </c>
      <c r="C31" s="66" t="inlineStr">
        <is>
          <t>Regulatory change</t>
        </is>
      </c>
      <c r="D31" s="66" t="inlineStr">
        <is>
          <t>Canadian VTS zones (TSS-0130; TSS-0131; TSS-0169; TSS-0170)</t>
        </is>
      </c>
      <c r="E31" s="66" t="inlineStr">
        <is>
          <t>Open</t>
        </is>
      </c>
      <c r="F31" s="66" t="inlineStr">
        <is>
          <t>SOR/2025-275 replaced SOR/89-98 and the ECAREG regulations from 31 March 2026. Replace any ECAREG references and read the new text.</t>
        </is>
      </c>
      <c r="G31" s="66" t="inlineStr">
        <is>
          <t>Legacy ECAREG leads must not be counted.</t>
        </is>
      </c>
      <c r="H31" s="66" t="n"/>
    </row>
    <row r="32" ht="60" customHeight="1" s="63">
      <c r="A32" s="66" t="inlineStr">
        <is>
          <t>ISS-026</t>
        </is>
      </c>
      <c r="B32" s="66" t="inlineStr">
        <is>
          <t>High</t>
        </is>
      </c>
      <c r="C32" s="66" t="inlineStr">
        <is>
          <t>Source access</t>
        </is>
      </c>
      <c r="D32" s="66" t="inlineStr">
        <is>
          <t>Cuba (TSS-0152 to TSS-0158); Greece; Spain; Mexico; Russia; Australia</t>
        </is>
      </c>
      <c r="E32" s="66" t="inlineStr">
        <is>
          <t>Open</t>
        </is>
      </c>
      <c r="F32" s="66" t="inlineStr">
        <is>
          <t>Official sites failed or were not found. Use ADMIRALTY List of Radio Signals Vol 6 and national radio-aids publications to close these gaps.</t>
        </is>
      </c>
      <c r="G32" s="66" t="inlineStr">
        <is>
          <t>Largest block of unresolved VTS findings.</t>
        </is>
      </c>
      <c r="H32" s="66" t="n"/>
    </row>
    <row r="33" ht="60" customHeight="1" s="63">
      <c r="A33" s="66" t="inlineStr">
        <is>
          <t>ISS-027</t>
        </is>
      </c>
      <c r="B33" s="66" t="inlineStr">
        <is>
          <t>Medium</t>
        </is>
      </c>
      <c r="C33" s="66" t="inlineStr">
        <is>
          <t>Future change</t>
        </is>
      </c>
      <c r="D33" s="66" t="inlineStr">
        <is>
          <t>ADRIREP (TSS-0073 to TSS-0077)</t>
        </is>
      </c>
      <c r="E33" s="66" t="inlineStr">
        <is>
          <t>Open</t>
        </is>
      </c>
      <c r="F33" s="66" t="inlineStr">
        <is>
          <t>MSC.598(111) amends ADRIREP from 1 December 2026. Record the rules in force on the study cut-off date separately from the amended rules.</t>
        </is>
      </c>
      <c r="G33" s="66" t="inlineStr">
        <is>
          <t>Applicability text will change after the inventory date.</t>
        </is>
      </c>
      <c r="H33" s="66" t="n"/>
    </row>
    <row r="34" ht="60" customHeight="1" s="63">
      <c r="A34" s="66" t="inlineStr">
        <is>
          <t>ISS-028</t>
        </is>
      </c>
      <c r="B34" s="66" t="inlineStr">
        <is>
          <t>Medium</t>
        </is>
      </c>
      <c r="C34" s="66" t="inlineStr">
        <is>
          <t>Derived coverage</t>
        </is>
      </c>
      <c r="D34" s="66" t="inlineStr">
        <is>
          <t>TSS-0075; TSS-0107 to TSS-0114; TSS-0129; TSS-0132; TSS-0133; TSS-0160; TSS-0167</t>
        </is>
      </c>
      <c r="E34" s="66" t="inlineStr">
        <is>
          <t>Open</t>
        </is>
      </c>
      <c r="F34" s="66" t="inlineStr">
        <is>
          <t>Coverage was derived by comparing official coordinates or charts rather than an explicit authority statement. Specialist review before any operational drafting.</t>
        </is>
      </c>
      <c r="G34" s="66" t="inlineStr">
        <is>
          <t>Findings stand as first-pass determinations.</t>
        </is>
      </c>
      <c r="H34" s="66" t="n"/>
    </row>
  </sheetData>
  <mergeCells count="2">
    <mergeCell ref="A1:H2"/>
    <mergeCell ref="A3:H4"/>
  </mergeCells>
  <conditionalFormatting sqref="B7:B20">
    <cfRule type="expression" priority="1" dxfId="0">
      <formula>B7="High"</formula>
    </cfRule>
  </conditionalFormatting>
  <dataValidations count="1">
    <dataValidation sqref="E7:E34" showDropDown="0" showInputMessage="0" showErrorMessage="0" allowBlank="0" type="list">
      <formula1>"Open,Closed"</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1" customWidth="1" style="63" min="1" max="1"/>
    <col width="15" customWidth="1" style="63" min="2" max="2"/>
    <col width="15" customWidth="1" style="63" min="3" max="3"/>
    <col width="15" customWidth="1" style="63" min="4" max="4"/>
    <col width="20" customWidth="1" style="63" min="5" max="5"/>
    <col width="48" customWidth="1" style="63" min="6" max="6"/>
    <col width="25" customWidth="1" style="63" min="7" max="7"/>
    <col width="54" customWidth="1" style="63" min="8" max="8"/>
  </cols>
  <sheetData>
    <row r="1" ht="23" customHeight="1" s="63">
      <c r="A1" s="47" t="inlineStr">
        <is>
          <t>SEQUENTIAL RESEARCH BATCHES</t>
        </is>
      </c>
      <c r="B1" s="1" t="n"/>
      <c r="C1" s="1" t="n"/>
      <c r="D1" s="1" t="n"/>
      <c r="E1" s="1" t="n"/>
      <c r="F1" s="1" t="n"/>
      <c r="G1" s="1" t="n"/>
      <c r="H1" s="1" t="n"/>
    </row>
    <row r="2" ht="23" customHeight="1" s="63">
      <c r="A2" s="1" t="n"/>
      <c r="B2" s="1" t="n"/>
      <c r="C2" s="1" t="n"/>
      <c r="D2" s="1" t="n"/>
      <c r="E2" s="1" t="n"/>
      <c r="F2" s="1" t="n"/>
      <c r="G2" s="1" t="n"/>
      <c r="H2" s="1" t="n"/>
    </row>
    <row r="3" ht="21" customHeight="1" s="63">
      <c r="A3" s="15" t="inlineStr">
        <is>
          <t>Version 0.3 | 29 September 2026 | Batches. Reconciled register; see Audit Findings and Overview for limits.</t>
        </is>
      </c>
      <c r="B3" s="1" t="n"/>
      <c r="C3" s="1" t="n"/>
      <c r="D3" s="1" t="n"/>
      <c r="E3" s="1" t="n"/>
      <c r="F3" s="1" t="n"/>
      <c r="G3" s="1" t="n"/>
      <c r="H3" s="1" t="n"/>
    </row>
    <row r="4" ht="21" customHeight="1" s="63">
      <c r="A4" s="1" t="n"/>
      <c r="B4" s="1" t="n"/>
      <c r="C4" s="1" t="n"/>
      <c r="D4" s="1" t="n"/>
      <c r="E4" s="1" t="n"/>
      <c r="F4" s="1" t="n"/>
      <c r="G4" s="1" t="n"/>
      <c r="H4" s="1" t="n"/>
    </row>
    <row r="6" ht="34" customHeight="1" s="63">
      <c r="A6" s="65" t="inlineStr">
        <is>
          <t>Batch</t>
        </is>
      </c>
      <c r="B6" s="65" t="inlineStr">
        <is>
          <t>First record</t>
        </is>
      </c>
      <c r="C6" s="65" t="inlineStr">
        <is>
          <t>Last record</t>
        </is>
      </c>
      <c r="D6" s="65" t="inlineStr">
        <is>
          <t>Candidate rows</t>
        </is>
      </c>
      <c r="E6" s="65" t="inlineStr">
        <is>
          <t>Identification started</t>
        </is>
      </c>
      <c r="F6" s="65" t="inlineStr">
        <is>
          <t>Areas in batch</t>
        </is>
      </c>
      <c r="G6" s="65" t="inlineStr">
        <is>
          <t>Status</t>
        </is>
      </c>
      <c r="H6" s="65" t="inlineStr">
        <is>
          <t>Next action</t>
        </is>
      </c>
    </row>
    <row r="7" ht="39" customHeight="1" s="63">
      <c r="A7" s="66" t="inlineStr">
        <is>
          <t>B01</t>
        </is>
      </c>
      <c r="B7" s="66" t="inlineStr">
        <is>
          <t>TSS-0001</t>
        </is>
      </c>
      <c r="C7" s="66" t="inlineStr">
        <is>
          <t>TSS-0005</t>
        </is>
      </c>
      <c r="D7" s="66">
        <f>COUNTIF('TSS Candidates'!$Q$7:$Q$176,A7)</f>
        <v/>
      </c>
      <c r="E7" s="66">
        <f>COUNTIFS('TSS Candidates'!$Q$7:$Q$176,A7,'TSS Candidates'!$R$7:$R$176,"&lt;&gt;Candidate recorded")</f>
        <v/>
      </c>
      <c r="F7" s="66" t="inlineStr">
        <is>
          <t>British Isles and southern North Sea</t>
        </is>
      </c>
      <c r="G7" s="66" t="inlineStr">
        <is>
          <t>Not fully reviewed</t>
        </is>
      </c>
      <c r="H7" s="66" t="inlineStr">
        <is>
          <t>Primary baseline check, then VTS/SRS classification and association audit.</t>
        </is>
      </c>
    </row>
    <row r="8" ht="39" customHeight="1" s="63">
      <c r="A8" s="66" t="inlineStr">
        <is>
          <t>B02</t>
        </is>
      </c>
      <c r="B8" s="66" t="inlineStr">
        <is>
          <t>TSS-0006</t>
        </is>
      </c>
      <c r="C8" s="66" t="inlineStr">
        <is>
          <t>TSS-0010</t>
        </is>
      </c>
      <c r="D8" s="66">
        <f>COUNTIF('TSS Candidates'!$Q$7:$Q$176,A8)</f>
        <v/>
      </c>
      <c r="E8" s="66">
        <f>COUNTIFS('TSS Candidates'!$Q$7:$Q$176,A8,'TSS Candidates'!$R$7:$R$176,"&lt;&gt;Candidate recorded")</f>
        <v/>
      </c>
      <c r="F8" s="66" t="inlineStr">
        <is>
          <t>British Isles and southern North Sea</t>
        </is>
      </c>
      <c r="G8" s="66" t="inlineStr">
        <is>
          <t>Not fully reviewed</t>
        </is>
      </c>
      <c r="H8" s="66" t="inlineStr">
        <is>
          <t>Primary baseline check, then VTS/SRS classification and association audit.</t>
        </is>
      </c>
    </row>
    <row r="9" ht="39" customHeight="1" s="63">
      <c r="A9" s="66" t="inlineStr">
        <is>
          <t>B03</t>
        </is>
      </c>
      <c r="B9" s="66" t="inlineStr">
        <is>
          <t>TSS-0011</t>
        </is>
      </c>
      <c r="C9" s="66" t="inlineStr">
        <is>
          <t>TSS-0015</t>
        </is>
      </c>
      <c r="D9" s="66">
        <f>COUNTIF('TSS Candidates'!$Q$7:$Q$176,A9)</f>
        <v/>
      </c>
      <c r="E9" s="66">
        <f>COUNTIFS('TSS Candidates'!$Q$7:$Q$176,A9,'TSS Candidates'!$R$7:$R$176,"&lt;&gt;Candidate recorded")</f>
        <v/>
      </c>
      <c r="F9" s="66" t="inlineStr">
        <is>
          <t>British Isles and southern North Sea</t>
        </is>
      </c>
      <c r="G9" s="66" t="inlineStr">
        <is>
          <t>Not fully reviewed</t>
        </is>
      </c>
      <c r="H9" s="66" t="inlineStr">
        <is>
          <t>Primary baseline check, then VTS/SRS classification and association audit.</t>
        </is>
      </c>
    </row>
    <row r="10" ht="39" customHeight="1" s="63">
      <c r="A10" s="66" t="inlineStr">
        <is>
          <t>B04</t>
        </is>
      </c>
      <c r="B10" s="66" t="inlineStr">
        <is>
          <t>TSS-0016</t>
        </is>
      </c>
      <c r="C10" s="66" t="inlineStr">
        <is>
          <t>TSS-0020</t>
        </is>
      </c>
      <c r="D10" s="66">
        <f>COUNTIF('TSS Candidates'!$Q$7:$Q$176,A10)</f>
        <v/>
      </c>
      <c r="E10" s="66">
        <f>COUNTIFS('TSS Candidates'!$Q$7:$Q$176,A10,'TSS Candidates'!$R$7:$R$176,"&lt;&gt;Candidate recorded")</f>
        <v/>
      </c>
      <c r="F10" s="66" t="inlineStr">
        <is>
          <t>British Isles and southern North Sea; Norway and Iceland; Baltic Sea and approaches</t>
        </is>
      </c>
      <c r="G10" s="66" t="inlineStr">
        <is>
          <t>Not fully reviewed</t>
        </is>
      </c>
      <c r="H10" s="66" t="inlineStr">
        <is>
          <t>Primary baseline check, then VTS/SRS classification and association audit.</t>
        </is>
      </c>
    </row>
    <row r="11" ht="39" customHeight="1" s="63">
      <c r="A11" s="66" t="inlineStr">
        <is>
          <t>B05</t>
        </is>
      </c>
      <c r="B11" s="66" t="inlineStr">
        <is>
          <t>TSS-0021</t>
        </is>
      </c>
      <c r="C11" s="66" t="inlineStr">
        <is>
          <t>TSS-0025</t>
        </is>
      </c>
      <c r="D11" s="66">
        <f>COUNTIF('TSS Candidates'!$Q$7:$Q$176,A11)</f>
        <v/>
      </c>
      <c r="E11" s="66">
        <f>COUNTIFS('TSS Candidates'!$Q$7:$Q$176,A11,'TSS Candidates'!$R$7:$R$176,"&lt;&gt;Candidate recorded")</f>
        <v/>
      </c>
      <c r="F11" s="66" t="inlineStr">
        <is>
          <t>Baltic Sea and approaches</t>
        </is>
      </c>
      <c r="G11" s="66" t="inlineStr">
        <is>
          <t>Not fully reviewed</t>
        </is>
      </c>
      <c r="H11" s="66" t="inlineStr">
        <is>
          <t>Primary baseline check, then VTS/SRS classification and association audit.</t>
        </is>
      </c>
    </row>
    <row r="12" ht="39" customHeight="1" s="63">
      <c r="A12" s="66" t="inlineStr">
        <is>
          <t>B06</t>
        </is>
      </c>
      <c r="B12" s="66" t="inlineStr">
        <is>
          <t>TSS-0026</t>
        </is>
      </c>
      <c r="C12" s="66" t="inlineStr">
        <is>
          <t>TSS-0030</t>
        </is>
      </c>
      <c r="D12" s="66">
        <f>COUNTIF('TSS Candidates'!$Q$7:$Q$176,A12)</f>
        <v/>
      </c>
      <c r="E12" s="66">
        <f>COUNTIFS('TSS Candidates'!$Q$7:$Q$176,A12,'TSS Candidates'!$R$7:$R$176,"&lt;&gt;Candidate recorded")</f>
        <v/>
      </c>
      <c r="F12" s="66" t="inlineStr">
        <is>
          <t>Baltic Sea and approaches</t>
        </is>
      </c>
      <c r="G12" s="66" t="inlineStr">
        <is>
          <t>Not fully reviewed</t>
        </is>
      </c>
      <c r="H12" s="66" t="inlineStr">
        <is>
          <t>Primary baseline check, then VTS/SRS classification and association audit.</t>
        </is>
      </c>
    </row>
    <row r="13" ht="39" customHeight="1" s="63">
      <c r="A13" s="66" t="inlineStr">
        <is>
          <t>B07</t>
        </is>
      </c>
      <c r="B13" s="66" t="inlineStr">
        <is>
          <t>TSS-0031</t>
        </is>
      </c>
      <c r="C13" s="66" t="inlineStr">
        <is>
          <t>TSS-0035</t>
        </is>
      </c>
      <c r="D13" s="66">
        <f>COUNTIF('TSS Candidates'!$Q$7:$Q$176,A13)</f>
        <v/>
      </c>
      <c r="E13" s="66">
        <f>COUNTIFS('TSS Candidates'!$Q$7:$Q$176,A13,'TSS Candidates'!$R$7:$R$176,"&lt;&gt;Candidate recorded")</f>
        <v/>
      </c>
      <c r="F13" s="66" t="inlineStr">
        <is>
          <t>Baltic Sea and approaches</t>
        </is>
      </c>
      <c r="G13" s="66" t="inlineStr">
        <is>
          <t>Not fully reviewed</t>
        </is>
      </c>
      <c r="H13" s="66" t="inlineStr">
        <is>
          <t>Primary baseline check, then VTS/SRS classification and association audit.</t>
        </is>
      </c>
    </row>
    <row r="14" ht="39" customHeight="1" s="63">
      <c r="A14" s="66" t="inlineStr">
        <is>
          <t>B08</t>
        </is>
      </c>
      <c r="B14" s="66" t="inlineStr">
        <is>
          <t>TSS-0036</t>
        </is>
      </c>
      <c r="C14" s="66" t="inlineStr">
        <is>
          <t>TSS-0040</t>
        </is>
      </c>
      <c r="D14" s="66">
        <f>COUNTIF('TSS Candidates'!$Q$7:$Q$176,A14)</f>
        <v/>
      </c>
      <c r="E14" s="66">
        <f>COUNTIFS('TSS Candidates'!$Q$7:$Q$176,A14,'TSS Candidates'!$R$7:$R$176,"&lt;&gt;Candidate recorded")</f>
        <v/>
      </c>
      <c r="F14" s="66" t="inlineStr">
        <is>
          <t>Baltic Sea and approaches</t>
        </is>
      </c>
      <c r="G14" s="66" t="inlineStr">
        <is>
          <t>Not fully reviewed</t>
        </is>
      </c>
      <c r="H14" s="66" t="inlineStr">
        <is>
          <t>Primary baseline check, then VTS/SRS classification and association audit.</t>
        </is>
      </c>
    </row>
    <row r="15" ht="39" customHeight="1" s="63">
      <c r="A15" s="66" t="inlineStr">
        <is>
          <t>B09</t>
        </is>
      </c>
      <c r="B15" s="66" t="inlineStr">
        <is>
          <t>TSS-0041</t>
        </is>
      </c>
      <c r="C15" s="66" t="inlineStr">
        <is>
          <t>TSS-0045</t>
        </is>
      </c>
      <c r="D15" s="66">
        <f>COUNTIF('TSS Candidates'!$Q$7:$Q$176,A15)</f>
        <v/>
      </c>
      <c r="E15" s="66">
        <f>COUNTIFS('TSS Candidates'!$Q$7:$Q$176,A15,'TSS Candidates'!$R$7:$R$176,"&lt;&gt;Candidate recorded")</f>
        <v/>
      </c>
      <c r="F15" s="66" t="inlineStr">
        <is>
          <t>Baltic Sea and approaches</t>
        </is>
      </c>
      <c r="G15" s="66" t="inlineStr">
        <is>
          <t>Not fully reviewed</t>
        </is>
      </c>
      <c r="H15" s="66" t="inlineStr">
        <is>
          <t>Primary baseline check, then VTS/SRS classification and association audit.</t>
        </is>
      </c>
    </row>
    <row r="16" ht="39" customHeight="1" s="63">
      <c r="A16" s="66" t="inlineStr">
        <is>
          <t>B10</t>
        </is>
      </c>
      <c r="B16" s="66" t="inlineStr">
        <is>
          <t>TSS-0046</t>
        </is>
      </c>
      <c r="C16" s="66" t="inlineStr">
        <is>
          <t>TSS-0050</t>
        </is>
      </c>
      <c r="D16" s="66">
        <f>COUNTIF('TSS Candidates'!$Q$7:$Q$176,A16)</f>
        <v/>
      </c>
      <c r="E16" s="66">
        <f>COUNTIFS('TSS Candidates'!$Q$7:$Q$176,A16,'TSS Candidates'!$R$7:$R$176,"&lt;&gt;Candidate recorded")</f>
        <v/>
      </c>
      <c r="F16" s="66" t="inlineStr">
        <is>
          <t>North Sea continental coast</t>
        </is>
      </c>
      <c r="G16" s="66" t="inlineStr">
        <is>
          <t>Stage 4 first pass complete; batch audit closed</t>
        </is>
      </c>
      <c r="H16" s="66" t="inlineStr">
        <is>
          <t>Resolve unresolved items: TSS-0050 VTS and reporting; Dutch part of TSS-0049; exact extent of TSS-0046 west of 007° 10' E; no IMO text for 2024 containership recommendation; no evidence of recent German TSS renaming found.</t>
        </is>
      </c>
    </row>
    <row r="17" ht="39" customHeight="1" s="63">
      <c r="A17" s="66" t="inlineStr">
        <is>
          <t>B11</t>
        </is>
      </c>
      <c r="B17" s="66" t="inlineStr">
        <is>
          <t>TSS-0051</t>
        </is>
      </c>
      <c r="C17" s="66" t="inlineStr">
        <is>
          <t>TSS-0055</t>
        </is>
      </c>
      <c r="D17" s="66">
        <f>COUNTIF('TSS Candidates'!$Q$7:$Q$176,A17)</f>
        <v/>
      </c>
      <c r="E17" s="66">
        <f>COUNTIFS('TSS Candidates'!$Q$7:$Q$176,A17,'TSS Candidates'!$R$7:$R$176,"&lt;&gt;Candidate recorded")</f>
        <v/>
      </c>
      <c r="F17" s="66" t="inlineStr">
        <is>
          <t>North Sea continental coast</t>
        </is>
      </c>
      <c r="G17" s="66" t="inlineStr">
        <is>
          <t>Stage 4 first pass complete; batch audit closed</t>
        </is>
      </c>
      <c r="H17" s="66" t="inlineStr">
        <is>
          <t>Resolve unresolved items: Identity of Off Brown Ridge (TSS-0054) is provisional; COLREG.2/Circ.64 not retrieved; IJmuiden TSS overlap with 12 nm VTS area to be verified on chart.</t>
        </is>
      </c>
    </row>
    <row r="18" ht="39" customHeight="1" s="63">
      <c r="A18" s="66" t="inlineStr">
        <is>
          <t>B12</t>
        </is>
      </c>
      <c r="B18" s="66" t="inlineStr">
        <is>
          <t>TSS-0056</t>
        </is>
      </c>
      <c r="C18" s="66" t="inlineStr">
        <is>
          <t>TSS-0060</t>
        </is>
      </c>
      <c r="D18" s="66">
        <f>COUNTIF('TSS Candidates'!$Q$7:$Q$176,A18)</f>
        <v/>
      </c>
      <c r="E18" s="66">
        <f>COUNTIFS('TSS Candidates'!$Q$7:$Q$176,A18,'TSS Candidates'!$R$7:$R$176,"&lt;&gt;Candidate recorded")</f>
        <v/>
      </c>
      <c r="F18" s="66" t="inlineStr">
        <is>
          <t>North Sea continental coast; France, Iberia and Canary Islands</t>
        </is>
      </c>
      <c r="G18" s="66" t="inlineStr">
        <is>
          <t>Stage 4 first pass complete; batch audit closed</t>
        </is>
      </c>
      <c r="H18" s="66" t="inlineStr">
        <is>
          <t>Resolve unresolved items: Current operator pages for CROSS Corsen and Salvamento Marítimo not retrieved (503/TLS failure for Salvamento Marítimo); Off Botney Ground currency.</t>
        </is>
      </c>
    </row>
    <row r="19" ht="39" customHeight="1" s="63">
      <c r="A19" s="66" t="inlineStr">
        <is>
          <t>B13</t>
        </is>
      </c>
      <c r="B19" s="66" t="inlineStr">
        <is>
          <t>TSS-0061</t>
        </is>
      </c>
      <c r="C19" s="66" t="inlineStr">
        <is>
          <t>TSS-0065</t>
        </is>
      </c>
      <c r="D19" s="66">
        <f>COUNTIF('TSS Candidates'!$Q$7:$Q$176,A19)</f>
        <v/>
      </c>
      <c r="E19" s="66">
        <f>COUNTIFS('TSS Candidates'!$Q$7:$Q$176,A19,'TSS Candidates'!$R$7:$R$176,"&lt;&gt;Candidate recorded")</f>
        <v/>
      </c>
      <c r="F19" s="66" t="inlineStr">
        <is>
          <t>France, Iberia and Canary Islands</t>
        </is>
      </c>
      <c r="G19" s="66" t="inlineStr">
        <is>
          <t>Stage 4 first pass complete; batch audit closed</t>
        </is>
      </c>
      <c r="H19" s="66" t="inlineStr">
        <is>
          <t>Resolve unresolved items: Banco del Hoyo (TSS-0063) location and currency; Canary VTS status; current Portuguese authority (DGRM) not confirmed from its own page.</t>
        </is>
      </c>
    </row>
    <row r="20" ht="39" customHeight="1" s="63">
      <c r="A20" s="66" t="inlineStr">
        <is>
          <t>B14</t>
        </is>
      </c>
      <c r="B20" s="66" t="inlineStr">
        <is>
          <t>TSS-0066</t>
        </is>
      </c>
      <c r="C20" s="66" t="inlineStr">
        <is>
          <t>TSS-0070</t>
        </is>
      </c>
      <c r="D20" s="66">
        <f>COUNTIF('TSS Candidates'!$Q$7:$Q$176,A20)</f>
        <v/>
      </c>
      <c r="E20" s="66">
        <f>COUNTIFS('TSS Candidates'!$Q$7:$Q$176,A20,'TSS Candidates'!$R$7:$R$176,"&lt;&gt;Candidate recorded")</f>
        <v/>
      </c>
      <c r="F20" s="66" t="inlineStr">
        <is>
          <t>Mediterranean and Black Seas</t>
        </is>
      </c>
      <c r="G20" s="66" t="inlineStr">
        <is>
          <t>Stage 4 first pass complete; batch audit closed</t>
        </is>
      </c>
      <c r="H20" s="66" t="inlineStr">
        <is>
          <t>Resolve unresolved items: CCS names for Gata/Palos/Nao; Tarifa-Algeciras transfer; Tunisian VTS.</t>
        </is>
      </c>
    </row>
    <row r="21" ht="39" customHeight="1" s="63">
      <c r="A21" s="66" t="inlineStr">
        <is>
          <t>B15</t>
        </is>
      </c>
      <c r="B21" s="66" t="inlineStr">
        <is>
          <t>TSS-0071</t>
        </is>
      </c>
      <c r="C21" s="66" t="inlineStr">
        <is>
          <t>TSS-0075</t>
        </is>
      </c>
      <c r="D21" s="66">
        <f>COUNTIF('TSS Candidates'!$Q$7:$Q$176,A21)</f>
        <v/>
      </c>
      <c r="E21" s="66">
        <f>COUNTIFS('TSS Candidates'!$Q$7:$Q$176,A21,'TSS Candidates'!$R$7:$R$176,"&lt;&gt;Candidate recorded")</f>
        <v/>
      </c>
      <c r="F21" s="66" t="inlineStr">
        <is>
          <t>Mediterranean and Black Seas</t>
        </is>
      </c>
      <c r="G21" s="66" t="inlineStr">
        <is>
          <t>Stage 4 first pass complete; batch audit closed</t>
        </is>
      </c>
      <c r="H21" s="66" t="inlineStr">
        <is>
          <t>Resolve unresolved items: Corsica Channel VTS/reporting; Tunisian schemes; Croatian coverage geometry.</t>
        </is>
      </c>
    </row>
    <row r="22" ht="39" customHeight="1" s="63">
      <c r="A22" s="66" t="inlineStr">
        <is>
          <t>B16</t>
        </is>
      </c>
      <c r="B22" s="66" t="inlineStr">
        <is>
          <t>TSS-0076</t>
        </is>
      </c>
      <c r="C22" s="66" t="inlineStr">
        <is>
          <t>TSS-0080</t>
        </is>
      </c>
      <c r="D22" s="66">
        <f>COUNTIF('TSS Candidates'!$Q$7:$Q$176,A22)</f>
        <v/>
      </c>
      <c r="E22" s="66">
        <f>COUNTIFS('TSS Candidates'!$Q$7:$Q$176,A22,'TSS Candidates'!$R$7:$R$176,"&lt;&gt;Candidate recorded")</f>
        <v/>
      </c>
      <c r="F22" s="66" t="inlineStr">
        <is>
          <t>Mediterranean and Black Seas</t>
        </is>
      </c>
      <c r="G22" s="66" t="inlineStr">
        <is>
          <t>Stage 4 first pass complete; batch audit closed</t>
        </is>
      </c>
      <c r="H22" s="66" t="inlineStr">
        <is>
          <t>Resolve unresolved items: Greek VTS Piraeus and Thessaloniki; Turkish sector channels.</t>
        </is>
      </c>
    </row>
    <row r="23" ht="39" customHeight="1" s="63">
      <c r="A23" s="66" t="inlineStr">
        <is>
          <t>B17</t>
        </is>
      </c>
      <c r="B23" s="66" t="inlineStr">
        <is>
          <t>TSS-0081</t>
        </is>
      </c>
      <c r="C23" s="66" t="inlineStr">
        <is>
          <t>TSS-0085</t>
        </is>
      </c>
      <c r="D23" s="66">
        <f>COUNTIF('TSS Candidates'!$Q$7:$Q$176,A23)</f>
        <v/>
      </c>
      <c r="E23" s="66">
        <f>COUNTIFS('TSS Candidates'!$Q$7:$Q$176,A23,'TSS Candidates'!$R$7:$R$176,"&lt;&gt;Candidate recorded")</f>
        <v/>
      </c>
      <c r="F23" s="66" t="inlineStr">
        <is>
          <t>Mediterranean and Black Seas</t>
        </is>
      </c>
      <c r="G23" s="66" t="inlineStr">
        <is>
          <t>Stage 4 first pass complete; batch audit closed</t>
        </is>
      </c>
      <c r="H23" s="66" t="inlineStr">
        <is>
          <t>Resolve unresolved items: TSS-0084 VTS and reporting; TSS-0085 VTS and reporting.</t>
        </is>
      </c>
    </row>
    <row r="24" ht="39" customHeight="1" s="63">
      <c r="A24" s="66" t="inlineStr">
        <is>
          <t>B18</t>
        </is>
      </c>
      <c r="B24" s="66" t="inlineStr">
        <is>
          <t>TSS-0086</t>
        </is>
      </c>
      <c r="C24" s="66" t="inlineStr">
        <is>
          <t>TSS-0090</t>
        </is>
      </c>
      <c r="D24" s="66">
        <f>COUNTIF('TSS Candidates'!$Q$7:$Q$176,A24)</f>
        <v/>
      </c>
      <c r="E24" s="66">
        <f>COUNTIFS('TSS Candidates'!$Q$7:$Q$176,A24,'TSS Candidates'!$R$7:$R$176,"&lt;&gt;Candidate recorded")</f>
        <v/>
      </c>
      <c r="F24" s="66" t="inlineStr">
        <is>
          <t>Mediterranean and Black Seas; Southern Africa</t>
        </is>
      </c>
      <c r="G24" s="66" t="inlineStr">
        <is>
          <t>Stage 4 first pass complete; batch audit closed</t>
        </is>
      </c>
      <c r="H24" s="66" t="inlineStr">
        <is>
          <t>Resolve unresolved items: All VTS and reporting findings for TSS-0086 to 0090.</t>
        </is>
      </c>
    </row>
    <row r="25" ht="39" customHeight="1" s="63">
      <c r="A25" s="66" t="inlineStr">
        <is>
          <t>B19</t>
        </is>
      </c>
      <c r="B25" s="66" t="inlineStr">
        <is>
          <t>TSS-0091</t>
        </is>
      </c>
      <c r="C25" s="66" t="inlineStr">
        <is>
          <t>TSS-0095</t>
        </is>
      </c>
      <c r="D25" s="66">
        <f>COUNTIF('TSS Candidates'!$Q$7:$Q$176,A25)</f>
        <v/>
      </c>
      <c r="E25" s="66">
        <f>COUNTIFS('TSS Candidates'!$Q$7:$Q$176,A25,'TSS Candidates'!$R$7:$R$176,"&lt;&gt;Candidate recorded")</f>
        <v/>
      </c>
      <c r="F25" s="66" t="inlineStr">
        <is>
          <t>Southern Africa; Red Sea and Arabian region</t>
        </is>
      </c>
      <c r="G25" s="66" t="inlineStr">
        <is>
          <t>Stage 4 first pass complete; batch audit closed</t>
        </is>
      </c>
      <c r="H25" s="66" t="inlineStr">
        <is>
          <t>Resolve unresolved items: All VTS and reporting findings for TSS-0091 to 0095.</t>
        </is>
      </c>
    </row>
    <row r="26" ht="39" customHeight="1" s="63">
      <c r="A26" s="66" t="inlineStr">
        <is>
          <t>B20</t>
        </is>
      </c>
      <c r="B26" s="66" t="inlineStr">
        <is>
          <t>TSS-0096</t>
        </is>
      </c>
      <c r="C26" s="66" t="inlineStr">
        <is>
          <t>TSS-0100</t>
        </is>
      </c>
      <c r="D26" s="66">
        <f>COUNTIF('TSS Candidates'!$Q$7:$Q$176,A26)</f>
        <v/>
      </c>
      <c r="E26" s="66">
        <f>COUNTIFS('TSS Candidates'!$Q$7:$Q$176,A26,'TSS Candidates'!$R$7:$R$176,"&lt;&gt;Candidate recorded")</f>
        <v/>
      </c>
      <c r="F26" s="66" t="inlineStr">
        <is>
          <t>Red Sea and Arabian region</t>
        </is>
      </c>
      <c r="G26" s="66" t="inlineStr">
        <is>
          <t>Stage 4 first pass complete; batch audit closed</t>
        </is>
      </c>
      <c r="H26" s="66" t="inlineStr">
        <is>
          <t>Resolve unresolved items: VTS for Bab el Mandeb, Ras al Hadd, Ra's al Kuh, Hormuz, Tunb-Farur; current Ships' Routeing status; temporary Hormuz routes (2026).</t>
        </is>
      </c>
    </row>
    <row r="27" ht="39" customHeight="1" s="63">
      <c r="A27" s="66" t="inlineStr">
        <is>
          <t>B21</t>
        </is>
      </c>
      <c r="B27" s="66" t="inlineStr">
        <is>
          <t>TSS-0101</t>
        </is>
      </c>
      <c r="C27" s="66" t="inlineStr">
        <is>
          <t>TSS-0105</t>
        </is>
      </c>
      <c r="D27" s="66">
        <f>COUNTIF('TSS Candidates'!$Q$7:$Q$176,A27)</f>
        <v/>
      </c>
      <c r="E27" s="66">
        <f>COUNTIFS('TSS Candidates'!$Q$7:$Q$176,A27,'TSS Candidates'!$R$7:$R$176,"&lt;&gt;Candidate recorded")</f>
        <v/>
      </c>
      <c r="F27" s="66" t="inlineStr">
        <is>
          <t>Red Sea and Arabian region</t>
        </is>
      </c>
      <c r="G27" s="66" t="inlineStr">
        <is>
          <t>Stage 4 first pass complete; batch audit closed</t>
        </is>
      </c>
      <c r="H27" s="66" t="inlineStr">
        <is>
          <t>Resolve unresolved items: Saudi Aramco VTMS coverage (documents inaccessible); KOC/Kuwait VTS; Khafji port control.</t>
        </is>
      </c>
    </row>
    <row r="28" ht="39" customHeight="1" s="63">
      <c r="A28" s="66" t="inlineStr">
        <is>
          <t>B22</t>
        </is>
      </c>
      <c r="B28" s="66" t="inlineStr">
        <is>
          <t>TSS-0106</t>
        </is>
      </c>
      <c r="C28" s="66" t="inlineStr">
        <is>
          <t>TSS-0110</t>
        </is>
      </c>
      <c r="D28" s="66">
        <f>COUNTIF('TSS Candidates'!$Q$7:$Q$176,A28)</f>
        <v/>
      </c>
      <c r="E28" s="66">
        <f>COUNTIFS('TSS Candidates'!$Q$7:$Q$176,A28,'TSS Candidates'!$R$7:$R$176,"&lt;&gt;Candidate recorded")</f>
        <v/>
      </c>
      <c r="F28" s="66" t="inlineStr">
        <is>
          <t>Indian Ocean and South Asia; Malacca, Singapore and Indonesia</t>
        </is>
      </c>
      <c r="G28" s="66" t="inlineStr">
        <is>
          <t>Stage 4 first pass complete; batch audit closed</t>
        </is>
      </c>
      <c r="H28" s="66" t="inlineStr">
        <is>
          <t>Resolve unresolved items: Exact sector boundaries (chartlet-only); Singapore VTS link for TSS-0110 terminus; Dondra adoption instrument and any Sri Lankan VTS.</t>
        </is>
      </c>
    </row>
    <row r="29" ht="39" customHeight="1" s="63">
      <c r="A29" s="66" t="inlineStr">
        <is>
          <t>B23</t>
        </is>
      </c>
      <c r="B29" s="66" t="inlineStr">
        <is>
          <t>TSS-0111</t>
        </is>
      </c>
      <c r="C29" s="66" t="inlineStr">
        <is>
          <t>TSS-0115</t>
        </is>
      </c>
      <c r="D29" s="66">
        <f>COUNTIF('TSS Candidates'!$Q$7:$Q$176,A29)</f>
        <v/>
      </c>
      <c r="E29" s="66">
        <f>COUNTIFS('TSS Candidates'!$Q$7:$Q$176,A29,'TSS Candidates'!$R$7:$R$176,"&lt;&gt;Candidate recorded")</f>
        <v/>
      </c>
      <c r="F29" s="66" t="inlineStr">
        <is>
          <t>Malacca, Singapore and Indonesia</t>
        </is>
      </c>
      <c r="G29" s="66" t="inlineStr">
        <is>
          <t>Stage 4 first pass complete; batch audit closed</t>
        </is>
      </c>
      <c r="H29" s="66" t="inlineStr">
        <is>
          <t>Resolve unresolved items: Coverage east of 104°23'E at Horsburgh.</t>
        </is>
      </c>
    </row>
    <row r="30" ht="39" customHeight="1" s="63">
      <c r="A30" s="66" t="inlineStr">
        <is>
          <t>B24</t>
        </is>
      </c>
      <c r="B30" s="66" t="inlineStr">
        <is>
          <t>TSS-0116</t>
        </is>
      </c>
      <c r="C30" s="66" t="inlineStr">
        <is>
          <t>TSS-0120</t>
        </is>
      </c>
      <c r="D30" s="66">
        <f>COUNTIF('TSS Candidates'!$Q$7:$Q$176,A30)</f>
        <v/>
      </c>
      <c r="E30" s="66">
        <f>COUNTIFS('TSS Candidates'!$Q$7:$Q$176,A30,'TSS Candidates'!$R$7:$R$176,"&lt;&gt;Candidate recorded")</f>
        <v/>
      </c>
      <c r="F30" s="66" t="inlineStr">
        <is>
          <t>Malacca, Singapore and Indonesia; China Sea and China</t>
        </is>
      </c>
      <c r="G30" s="66" t="inlineStr">
        <is>
          <t>Stage 4 first pass complete; batch audit closed</t>
        </is>
      </c>
      <c r="H30" s="66" t="inlineStr">
        <is>
          <t>Resolve unresolved items: COLREG.2/Circ.71 not retrieved; HK TSS adoption dates.</t>
        </is>
      </c>
    </row>
    <row r="31" ht="39" customHeight="1" s="63">
      <c r="A31" s="66" t="inlineStr">
        <is>
          <t>B25</t>
        </is>
      </c>
      <c r="B31" s="66" t="inlineStr">
        <is>
          <t>TSS-0121</t>
        </is>
      </c>
      <c r="C31" s="66" t="inlineStr">
        <is>
          <t>TSS-0125</t>
        </is>
      </c>
      <c r="D31" s="66">
        <f>COUNTIF('TSS Candidates'!$Q$7:$Q$176,A31)</f>
        <v/>
      </c>
      <c r="E31" s="66">
        <f>COUNTIFS('TSS Candidates'!$Q$7:$Q$176,A31,'TSS Candidates'!$R$7:$R$176,"&lt;&gt;Candidate recorded")</f>
        <v/>
      </c>
      <c r="F31" s="66" t="inlineStr">
        <is>
          <t>North-west Pacific</t>
        </is>
      </c>
      <c r="G31" s="66" t="inlineStr">
        <is>
          <t>Stage 4 first pass complete; batch audit open</t>
        </is>
      </c>
      <c r="H31" s="66" t="inlineStr">
        <is>
          <t>Resolve unresolved items: Current port rules; IMO adoption of Russian schemes; Korsakov VTS coverage.</t>
        </is>
      </c>
    </row>
    <row r="32" ht="39" customHeight="1" s="63">
      <c r="A32" s="66" t="inlineStr">
        <is>
          <t>B26</t>
        </is>
      </c>
      <c r="B32" s="66" t="inlineStr">
        <is>
          <t>TSS-0126</t>
        </is>
      </c>
      <c r="C32" s="66" t="inlineStr">
        <is>
          <t>TSS-0130</t>
        </is>
      </c>
      <c r="D32" s="66">
        <f>COUNTIF('TSS Candidates'!$Q$7:$Q$176,A32)</f>
        <v/>
      </c>
      <c r="E32" s="66">
        <f>COUNTIFS('TSS Candidates'!$Q$7:$Q$176,A32,'TSS Candidates'!$R$7:$R$176,"&lt;&gt;Candidate recorded")</f>
        <v/>
      </c>
      <c r="F32" s="66" t="inlineStr">
        <is>
          <t>Australia; North America Pacific coast</t>
        </is>
      </c>
      <c r="G32" s="66" t="inlineStr">
        <is>
          <t>Stage 4 first pass complete; batch audit open</t>
        </is>
      </c>
      <c r="H32" s="66" t="inlineStr">
        <is>
          <t>Resolve unresolved items: Australian NtM unreachable; TSS-0128 identity.</t>
        </is>
      </c>
    </row>
    <row r="33" ht="39" customHeight="1" s="63">
      <c r="A33" s="66" t="inlineStr">
        <is>
          <t>B27</t>
        </is>
      </c>
      <c r="B33" s="66" t="inlineStr">
        <is>
          <t>TSS-0131</t>
        </is>
      </c>
      <c r="C33" s="66" t="inlineStr">
        <is>
          <t>TSS-0135</t>
        </is>
      </c>
      <c r="D33" s="66">
        <f>COUNTIF('TSS Candidates'!$Q$7:$Q$176,A33)</f>
        <v/>
      </c>
      <c r="E33" s="66">
        <f>COUNTIFS('TSS Candidates'!$Q$7:$Q$176,A33,'TSS Candidates'!$R$7:$R$176,"&lt;&gt;Candidate recorded")</f>
        <v/>
      </c>
      <c r="F33" s="66" t="inlineStr">
        <is>
          <t>North America Pacific coast; Central and South America Pacific coast</t>
        </is>
      </c>
      <c r="G33" s="66" t="inlineStr">
        <is>
          <t>Stage 4 first pass complete; batch audit closed</t>
        </is>
      </c>
      <c r="H33" s="66" t="inlineStr">
        <is>
          <t>Resolve unresolved items: TSS-0134 VTS and reporting; reporting for TSS-0131 to 0133.</t>
        </is>
      </c>
    </row>
    <row r="34" ht="39" customHeight="1" s="63">
      <c r="A34" s="66" t="inlineStr">
        <is>
          <t>B28</t>
        </is>
      </c>
      <c r="B34" s="66" t="inlineStr">
        <is>
          <t>TSS-0136</t>
        </is>
      </c>
      <c r="C34" s="66" t="inlineStr">
        <is>
          <t>TSS-0140</t>
        </is>
      </c>
      <c r="D34" s="66">
        <f>COUNTIF('TSS Candidates'!$Q$7:$Q$176,A34)</f>
        <v/>
      </c>
      <c r="E34" s="66">
        <f>COUNTIFS('TSS Candidates'!$Q$7:$Q$176,A34,'TSS Candidates'!$R$7:$R$176,"&lt;&gt;Candidate recorded")</f>
        <v/>
      </c>
      <c r="F34" s="66" t="inlineStr">
        <is>
          <t>Central and South America Pacific coast</t>
        </is>
      </c>
      <c r="G34" s="66" t="inlineStr">
        <is>
          <t>Stage 4 first pass complete; batch audit closed</t>
        </is>
      </c>
      <c r="H34" s="66" t="inlineStr">
        <is>
          <t>Resolve unresolved items: All VTS and reporting findings for TSS-0136 to 0140.</t>
        </is>
      </c>
    </row>
    <row r="35" ht="39" customHeight="1" s="63">
      <c r="A35" s="66" t="inlineStr">
        <is>
          <t>B29</t>
        </is>
      </c>
      <c r="B35" s="66" t="inlineStr">
        <is>
          <t>TSS-0141</t>
        </is>
      </c>
      <c r="C35" s="66" t="inlineStr">
        <is>
          <t>TSS-0145</t>
        </is>
      </c>
      <c r="D35" s="66">
        <f>COUNTIF('TSS Candidates'!$Q$7:$Q$176,A35)</f>
        <v/>
      </c>
      <c r="E35" s="66">
        <f>COUNTIFS('TSS Candidates'!$Q$7:$Q$176,A35,'TSS Candidates'!$R$7:$R$176,"&lt;&gt;Candidate recorded")</f>
        <v/>
      </c>
      <c r="F35" s="66" t="inlineStr">
        <is>
          <t>Central and South America Pacific coast</t>
        </is>
      </c>
      <c r="G35" s="66" t="inlineStr">
        <is>
          <t>Stage 4 first pass complete; batch audit closed</t>
        </is>
      </c>
      <c r="H35" s="66" t="inlineStr">
        <is>
          <t>Resolve unresolved items: All VTS and mandatory reporting findings for TSS-0141 to 0145.</t>
        </is>
      </c>
    </row>
    <row r="36" ht="39" customHeight="1" s="63">
      <c r="A36" s="66" t="inlineStr">
        <is>
          <t>B30</t>
        </is>
      </c>
      <c r="B36" s="66" t="inlineStr">
        <is>
          <t>TSS-0146</t>
        </is>
      </c>
      <c r="C36" s="66" t="inlineStr">
        <is>
          <t>TSS-0150</t>
        </is>
      </c>
      <c r="D36" s="66">
        <f>COUNTIF('TSS Candidates'!$Q$7:$Q$176,A36)</f>
        <v/>
      </c>
      <c r="E36" s="66">
        <f>COUNTIFS('TSS Candidates'!$Q$7:$Q$176,A36,'TSS Candidates'!$R$7:$R$176,"&lt;&gt;Candidate recorded")</f>
        <v/>
      </c>
      <c r="F36" s="66" t="inlineStr">
        <is>
          <t>Central and South America Pacific coast</t>
        </is>
      </c>
      <c r="G36" s="66" t="inlineStr">
        <is>
          <t>Stage 4 first pass complete; batch audit closed</t>
        </is>
      </c>
      <c r="H36" s="66" t="inlineStr">
        <is>
          <t>Resolve unresolved items: All VTS and mandatory reporting findings for TSS-0146 to 0150.</t>
        </is>
      </c>
    </row>
    <row r="37" ht="39" customHeight="1" s="63">
      <c r="A37" s="66" t="inlineStr">
        <is>
          <t>B31</t>
        </is>
      </c>
      <c r="B37" s="66" t="inlineStr">
        <is>
          <t>TSS-0151</t>
        </is>
      </c>
      <c r="C37" s="66" t="inlineStr">
        <is>
          <t>TSS-0155</t>
        </is>
      </c>
      <c r="D37" s="66">
        <f>COUNTIF('TSS Candidates'!$Q$7:$Q$176,A37)</f>
        <v/>
      </c>
      <c r="E37" s="66">
        <f>COUNTIFS('TSS Candidates'!$Q$7:$Q$176,A37,'TSS Candidates'!$R$7:$R$176,"&lt;&gt;Candidate recorded")</f>
        <v/>
      </c>
      <c r="F37" s="66" t="inlineStr">
        <is>
          <t>Caribbean, Gulf of Mexico and Panama</t>
        </is>
      </c>
      <c r="G37" s="66" t="inlineStr">
        <is>
          <t>Stage 4 first pass complete; batch audit closed</t>
        </is>
      </c>
      <c r="H37" s="66" t="inlineStr">
        <is>
          <t>Resolve unresolved items: Cuban VTS/reporting for 0152-0155; ACP VTS designation.</t>
        </is>
      </c>
    </row>
    <row r="38" ht="39" customHeight="1" s="63">
      <c r="A38" s="66" t="inlineStr">
        <is>
          <t>B32</t>
        </is>
      </c>
      <c r="B38" s="66" t="inlineStr">
        <is>
          <t>TSS-0156</t>
        </is>
      </c>
      <c r="C38" s="66" t="inlineStr">
        <is>
          <t>TSS-0160</t>
        </is>
      </c>
      <c r="D38" s="66">
        <f>COUNTIF('TSS Candidates'!$Q$7:$Q$176,A38)</f>
        <v/>
      </c>
      <c r="E38" s="66">
        <f>COUNTIFS('TSS Candidates'!$Q$7:$Q$176,A38,'TSS Candidates'!$R$7:$R$176,"&lt;&gt;Candidate recorded")</f>
        <v/>
      </c>
      <c r="F38" s="66" t="inlineStr">
        <is>
          <t>Caribbean, Gulf of Mexico and Panama</t>
        </is>
      </c>
      <c r="G38" s="66" t="inlineStr">
        <is>
          <t>Stage 4 first pass complete; batch audit closed</t>
        </is>
      </c>
      <c r="H38" s="66" t="inlineStr">
        <is>
          <t>Resolve unresolved items: Veracruz VTS and reporting; Cuban 0156-0158; Galveston offshore navigable-waters limit.</t>
        </is>
      </c>
    </row>
    <row r="39" ht="39" customHeight="1" s="63">
      <c r="A39" s="66" t="inlineStr">
        <is>
          <t>B33</t>
        </is>
      </c>
      <c r="B39" s="66" t="inlineStr">
        <is>
          <t>TSS-0161</t>
        </is>
      </c>
      <c r="C39" s="66" t="inlineStr">
        <is>
          <t>TSS-0165</t>
        </is>
      </c>
      <c r="D39" s="66">
        <f>COUNTIF('TSS Candidates'!$Q$7:$Q$176,A39)</f>
        <v/>
      </c>
      <c r="E39" s="66">
        <f>COUNTIFS('TSS Candidates'!$Q$7:$Q$176,A39,'TSS Candidates'!$R$7:$R$176,"&lt;&gt;Candidate recorded")</f>
        <v/>
      </c>
      <c r="F39" s="66" t="inlineStr">
        <is>
          <t>Central and South America Pacific coast; North America Atlantic coast</t>
        </is>
      </c>
      <c r="G39" s="66" t="inlineStr">
        <is>
          <t>Stage 4 first pass complete; batch audit closed</t>
        </is>
      </c>
      <c r="H39" s="66" t="inlineStr">
        <is>
          <t>Resolve unresolved items: Delaware Maritime Exchange status (lead); NY precautionary-area edge vs VTS boundary.</t>
        </is>
      </c>
    </row>
    <row r="40" ht="39" customHeight="1" s="63">
      <c r="A40" s="66" t="inlineStr">
        <is>
          <t>B34</t>
        </is>
      </c>
      <c r="B40" s="66" t="inlineStr">
        <is>
          <t>TSS-0166</t>
        </is>
      </c>
      <c r="C40" s="66" t="inlineStr">
        <is>
          <t>TSS-0170</t>
        </is>
      </c>
      <c r="D40" s="66">
        <f>COUNTIF('TSS Candidates'!$Q$7:$Q$176,A40)</f>
        <v/>
      </c>
      <c r="E40" s="66">
        <f>COUNTIFS('TSS Candidates'!$Q$7:$Q$176,A40,'TSS Candidates'!$R$7:$R$176,"&lt;&gt;Candidate recorded")</f>
        <v/>
      </c>
      <c r="F40" s="66" t="inlineStr">
        <is>
          <t>North America Atlantic coast</t>
        </is>
      </c>
      <c r="G40" s="66" t="inlineStr">
        <is>
          <t>Stage 4 first pass complete; batch audit closed</t>
        </is>
      </c>
      <c r="H40" s="66" t="inlineStr">
        <is>
          <t>Resolve unresolved items: Portland reporting/VTS; Narragansett VTS; exact Chedabucto split between local and Eastern zones.</t>
        </is>
      </c>
    </row>
  </sheetData>
  <mergeCells count="2">
    <mergeCell ref="A1:H2"/>
    <mergeCell ref="A3:H4"/>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style="63" min="1" max="1"/>
    <col width="108" customWidth="1" style="63" min="2" max="2"/>
  </cols>
  <sheetData>
    <row r="1" ht="23" customHeight="1" s="63">
      <c r="A1" s="47" t="inlineStr">
        <is>
          <t>COUNTING AND REVIEW RULES</t>
        </is>
      </c>
      <c r="B1" s="1" t="n"/>
    </row>
    <row r="2" ht="23" customHeight="1" s="63">
      <c r="A2" s="1" t="n"/>
      <c r="B2" s="1" t="n"/>
    </row>
    <row r="3" ht="21" customHeight="1" s="63">
      <c r="A3" s="15" t="inlineStr">
        <is>
          <t>Version 0.3 | 29 September 2026 | Definitions. Reconciled register; see Audit Findings and Overview for limits.</t>
        </is>
      </c>
      <c r="B3" s="1" t="n"/>
    </row>
    <row r="4" ht="21" customHeight="1" s="63">
      <c r="A4" s="1" t="n"/>
      <c r="B4" s="1" t="n"/>
    </row>
    <row r="6" ht="34" customHeight="1" s="63">
      <c r="A6" s="65" t="inlineStr">
        <is>
          <t>Rule</t>
        </is>
      </c>
      <c r="B6" s="65" t="inlineStr">
        <is>
          <t>Definition</t>
        </is>
      </c>
    </row>
    <row r="7" ht="36" customHeight="1" s="63">
      <c r="A7" s="66" t="inlineStr">
        <is>
          <t>Unit of record</t>
        </is>
      </c>
      <c r="B7" s="66" t="inlineStr">
        <is>
          <t>A TSS candidate row is a source entry, not a verified unique scheme or VTS area.</t>
        </is>
      </c>
    </row>
    <row r="8" ht="36" customHeight="1" s="63">
      <c r="A8" s="66" t="inlineStr">
        <is>
          <t>Candidate</t>
        </is>
      </c>
      <c r="B8" s="66" t="inlineStr">
        <is>
          <t>Recorded research lead. Naming, adoption, operation or component structure may remain unverified.</t>
        </is>
      </c>
    </row>
    <row r="9" ht="39" customHeight="1" s="63">
      <c r="A9" s="66" t="inlineStr">
        <is>
          <t>Initial association evidenced</t>
        </is>
      </c>
      <c r="B9" s="66" t="inlineStr">
        <is>
          <t>A primary source supports the named relationship. It is not a complete operational or boundary audit.</t>
        </is>
      </c>
    </row>
    <row r="10" ht="39" customHeight="1" s="63">
      <c r="A10" s="66" t="inlineStr">
        <is>
          <t>Association proposed</t>
        </is>
      </c>
      <c r="B10" s="66" t="inlineStr">
        <is>
          <t>A plausible relationship requiring direct authority or boundary evidence; excluded from confirmed association totals.</t>
        </is>
      </c>
    </row>
    <row r="11" ht="39" customHeight="1" s="63">
      <c r="A11" s="66" t="inlineStr">
        <is>
          <t>System-level association only</t>
        </is>
      </c>
      <c r="B11" s="66" t="inlineStr">
        <is>
          <t>The parent routeing/reporting system is evidenced. Component-level allocation remains pending.</t>
        </is>
      </c>
    </row>
    <row r="12" ht="36" customHeight="1" s="63">
      <c r="A12" s="66" t="inlineStr">
        <is>
          <t>Not researched</t>
        </is>
      </c>
      <c r="B12" s="66" t="inlineStr">
        <is>
          <t>No substantive record-level determination has been made. It does not mean absent.</t>
        </is>
      </c>
    </row>
    <row r="13" ht="36" customHeight="1" s="63">
      <c r="A13" s="66" t="inlineStr">
        <is>
          <t>No negative findings</t>
        </is>
      </c>
      <c r="B13" s="66" t="inlineStr">
        <is>
          <t>This release makes no confirmed-absence determinations for VTS or mandatory reporting.</t>
        </is>
      </c>
    </row>
    <row r="14" ht="39" customHeight="1" s="63">
      <c r="A14" s="66" t="inlineStr">
        <is>
          <t>Service records</t>
        </is>
      </c>
      <c r="B14" s="66" t="inlineStr">
        <is>
          <t>Named VTS services are recorded independently. Sector and centre counts do not define the number of areas.</t>
        </is>
      </c>
    </row>
    <row r="15" ht="36" customHeight="1" s="63">
      <c r="A15" s="66" t="inlineStr">
        <is>
          <t>Reporting schemes</t>
        </is>
      </c>
      <c r="B15" s="66" t="inlineStr">
        <is>
          <t>Mandatory reporting systems remain distinct from ordinary reporting duties within a VTS.</t>
        </is>
      </c>
    </row>
    <row r="16" ht="36" customHeight="1" s="63">
      <c r="A16" s="66" t="inlineStr">
        <is>
          <t>Core scope</t>
        </is>
      </c>
      <c r="B16" s="66" t="inlineStr">
        <is>
          <t>TSS-linked services and mandatory reporting are the primary research track.</t>
        </is>
      </c>
    </row>
    <row r="17" ht="39" customHeight="1" s="63">
      <c r="A17" s="66" t="inlineStr">
        <is>
          <t>Additional coverage</t>
        </is>
      </c>
      <c r="B17" s="66" t="inlineStr">
        <is>
          <t>Separate track for relevant services outside the extracted TSS baseline, including temporary or voluntary services.</t>
        </is>
      </c>
    </row>
    <row r="18" ht="39" customHeight="1" s="63">
      <c r="A18" s="66" t="inlineStr">
        <is>
          <t>Source precedence</t>
        </is>
      </c>
      <c r="B18" s="66" t="inlineStr">
        <is>
          <t>Use issuing-authority documents for confirmation. The mirrored candidate list is a lead, not operational evidence.</t>
        </is>
      </c>
    </row>
    <row r="19" ht="36" customHeight="1" s="63">
      <c r="A19" s="66" t="inlineStr">
        <is>
          <t>Currency</t>
        </is>
      </c>
      <c r="B19" s="66" t="inlineStr">
        <is>
          <t>Access date records retrieval, not assurance that every page reflects every current amendment.</t>
        </is>
      </c>
    </row>
    <row r="20" ht="39" customHeight="1" s="63">
      <c r="A20" s="66" t="inlineStr">
        <is>
          <t>Counting gate</t>
        </is>
      </c>
      <c r="B20" s="66" t="inlineStr">
        <is>
          <t>Do not publish final scheme, operational-area or guide-entry totals before resolving groups, duplicates and gaps.</t>
        </is>
      </c>
    </row>
    <row r="21" ht="39" customHeight="1" s="63">
      <c r="A21" s="66" t="inlineStr">
        <is>
          <t>Review sequence</t>
        </is>
      </c>
      <c r="B21" s="66" t="inlineStr">
        <is>
          <t>Check the primary baseline, verify VTS/SRS evidence, reconcile relationships, then audit each batch.</t>
        </is>
      </c>
    </row>
    <row r="22" ht="39" customHeight="1" s="63">
      <c r="A22" s="66" t="inlineStr">
        <is>
          <t>Navigation status</t>
        </is>
      </c>
      <c r="B22" s="66" t="inlineStr">
        <is>
          <t>Research inventory only. It is not for passage planning, pilotage, VHF reporting or operational navigation.</t>
        </is>
      </c>
    </row>
    <row r="23" ht="36" customHeight="1" s="63">
      <c r="A23" s="66" t="inlineStr">
        <is>
          <t>Editing</t>
        </is>
      </c>
      <c r="B23" s="66" t="inlineStr">
        <is>
          <t>Preserve stable IDs. Add replacement names and child records without deleting the evidence trail.</t>
        </is>
      </c>
    </row>
    <row r="24" ht="36" customHeight="1" s="63">
      <c r="A24" s="66" t="inlineStr">
        <is>
          <t>Effective date</t>
        </is>
      </c>
      <c r="B24" s="66" t="inlineStr">
        <is>
          <t>Published measures with future commencement dates remain separate from measures in force.</t>
        </is>
      </c>
    </row>
    <row r="25" ht="39" customHeight="1" s="63">
      <c r="A25" s="66" t="inlineStr">
        <is>
          <t>Release precedence</t>
        </is>
      </c>
      <c r="B25" s="66" t="inlineStr">
        <is>
          <t>Version 0.2 supersedes both conflicting v0.1 releases. Canonical IDs use four-digit TSS numbering and SRS prefixes; mappings are retained.</t>
        </is>
      </c>
    </row>
    <row r="26" ht="39" customHeight="1" s="63">
      <c r="A26" s="66" t="inlineStr">
        <is>
          <t>Last record check</t>
        </is>
      </c>
      <c r="B26" s="66" t="inlineStr">
        <is>
          <t>Date the row was reviewed or edited. It is not a certificate that all current regulations, boundaries or amendments have been checked.</t>
        </is>
      </c>
    </row>
    <row r="27" ht="39" customHeight="1" s="63">
      <c r="A27" s="66" t="inlineStr">
        <is>
          <t>Component counting</t>
        </is>
      </c>
      <c r="B27" s="66" t="inlineStr">
        <is>
          <t>TSS Components are child records. Do not add them to the parent source-row total. A future reconciled scheme inventory must replace or resolve each grouped parent.</t>
        </is>
      </c>
    </row>
    <row r="28" ht="39" customHeight="1" s="63">
      <c r="A28" s="66" t="inlineStr">
        <is>
          <t>Legacy links</t>
        </is>
      </c>
      <c r="B28" s="66" t="inlineStr">
        <is>
          <t>Earlier relationship assertions are preserved with a reconciliation outcome. Archived assertions are not active or confirmed coverage.</t>
        </is>
      </c>
    </row>
    <row r="29" ht="39" customHeight="1" s="63">
      <c r="A29" s="66" t="inlineStr">
        <is>
          <t>Audit scope</t>
        </is>
      </c>
      <c r="B29" s="66" t="inlineStr">
        <is>
          <t>Structure, version differences, identifiers, CSV/ZIP consistency and selected authority evidence were checked. No candidate has passed the full operational multi-pass audit.</t>
        </is>
      </c>
    </row>
    <row r="30" ht="36" customHeight="1" s="63">
      <c r="A30" s="66" t="inlineStr">
        <is>
          <t>Voluntary reporting</t>
        </is>
      </c>
      <c r="B30" s="66" t="inlineStr">
        <is>
          <t>OVMRS is recorded separately and excluded from the mandatory reporting-scheme subtotal.</t>
        </is>
      </c>
    </row>
  </sheetData>
  <mergeCells count="2">
    <mergeCell ref="A1:B2"/>
    <mergeCell ref="A3:B4"/>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4" customWidth="1" style="63" min="1" max="1"/>
    <col width="26" customWidth="1" style="63" min="2" max="2"/>
    <col width="48" customWidth="1" style="63" min="3" max="3"/>
    <col width="48" customWidth="1" style="63" min="4" max="4"/>
    <col width="23" customWidth="1" style="63" min="5" max="5"/>
    <col width="46" customWidth="1" style="63" min="6" max="6"/>
    <col width="48" customWidth="1" style="63" min="7" max="7"/>
  </cols>
  <sheetData>
    <row r="1">
      <c r="A1" s="138" t="inlineStr">
        <is>
          <t>GLOBAL VTS | AUDIT FINDINGS</t>
        </is>
      </c>
      <c r="B1" s="1" t="n"/>
      <c r="C1" s="1" t="n"/>
      <c r="D1" s="1" t="n"/>
      <c r="E1" s="1" t="n"/>
      <c r="F1" s="1" t="n"/>
      <c r="G1" s="1" t="n"/>
    </row>
    <row r="2">
      <c r="A2" s="1" t="n"/>
      <c r="B2" s="1" t="n"/>
      <c r="C2" s="1" t="n"/>
      <c r="D2" s="1" t="n"/>
      <c r="E2" s="1" t="n"/>
      <c r="F2" s="1" t="n"/>
      <c r="G2" s="1" t="n"/>
    </row>
    <row r="3">
      <c r="A3" s="139" t="inlineStr">
        <is>
          <t>v0.3 | Structural and selected source checks. Unresolved evidence gaps remain visible.</t>
        </is>
      </c>
      <c r="B3" s="1" t="n"/>
      <c r="C3" s="1" t="n"/>
      <c r="D3" s="1" t="n"/>
      <c r="E3" s="1" t="n"/>
      <c r="F3" s="1" t="n"/>
      <c r="G3" s="1" t="n"/>
    </row>
    <row r="4">
      <c r="A4" s="1" t="n"/>
      <c r="B4" s="1" t="n"/>
      <c r="C4" s="1" t="n"/>
      <c r="D4" s="1" t="n"/>
      <c r="E4" s="1" t="n"/>
      <c r="F4" s="1" t="n"/>
      <c r="G4" s="1" t="n"/>
    </row>
    <row r="5">
      <c r="A5" s="68" t="n"/>
      <c r="B5" s="68" t="n"/>
      <c r="C5" s="68" t="n"/>
      <c r="D5" s="68" t="n"/>
      <c r="E5" s="68" t="n"/>
      <c r="F5" s="68" t="n"/>
      <c r="G5" s="68" t="n"/>
    </row>
    <row r="6" ht="34" customHeight="1" s="63">
      <c r="A6" s="65" t="inlineStr">
        <is>
          <t>Audit ID</t>
        </is>
      </c>
      <c r="B6" s="65" t="inlineStr">
        <is>
          <t>Check</t>
        </is>
      </c>
      <c r="C6" s="65" t="inlineStr">
        <is>
          <t>Finding</t>
        </is>
      </c>
      <c r="D6" s="65" t="inlineStr">
        <is>
          <t>Action / status</t>
        </is>
      </c>
      <c r="E6" s="65" t="inlineStr">
        <is>
          <t>Source IDs</t>
        </is>
      </c>
      <c r="F6" s="65" t="inlineStr">
        <is>
          <t>Source URLs</t>
        </is>
      </c>
      <c r="G6" s="65" t="inlineStr">
        <is>
          <t>Residual limitation</t>
        </is>
      </c>
    </row>
    <row r="7" ht="60" customHeight="1" s="63">
      <c r="A7" s="66" t="inlineStr">
        <is>
          <t>AUD-001</t>
        </is>
      </c>
      <c r="B7" s="66" t="inlineStr">
        <is>
          <t>Release consistency</t>
        </is>
      </c>
      <c r="C7" s="66" t="inlineStr">
        <is>
          <t>Both files were labelled v0.1 but differed in named services, schemes and screening progress.</t>
        </is>
      </c>
      <c r="D7" s="66" t="inlineStr">
        <is>
          <t>Corrected: v0.2 is the single superseding release.</t>
        </is>
      </c>
      <c r="E7" s="66" t="str"/>
      <c r="F7" s="67" t="str"/>
      <c r="G7" s="66" t="inlineStr">
        <is>
          <t>Earlier files retained unmodified.</t>
        </is>
      </c>
    </row>
    <row r="8" ht="60" customHeight="1" s="63">
      <c r="A8" s="70" t="inlineStr">
        <is>
          <t>AUD-002</t>
        </is>
      </c>
      <c r="B8" s="70" t="inlineStr">
        <is>
          <t>Candidate rows and IDs</t>
        </is>
      </c>
      <c r="C8" s="70" t="inlineStr">
        <is>
          <t>Both workbooks contain the same 170 candidate labels in the same order; no exact duplicate names or IDs.</t>
        </is>
      </c>
      <c r="D8" s="70" t="inlineStr">
        <is>
          <t>Passed structural comparison. Added old-to-canonical ID crosswalk.</t>
        </is>
      </c>
      <c r="E8" s="70" t="str"/>
      <c r="F8" s="71" t="str"/>
      <c r="G8" s="70" t="inlineStr">
        <is>
          <t>Exact-match checks do not prove current completeness, absence of geographic duplicates, or the number of component TSS.</t>
        </is>
      </c>
    </row>
    <row r="9" ht="66" customHeight="1" s="63">
      <c r="A9" s="66" t="inlineStr">
        <is>
          <t>AUD-003</t>
        </is>
      </c>
      <c r="B9" s="66" t="inlineStr">
        <is>
          <t>CSV and ZIP consistency</t>
        </is>
      </c>
      <c r="C9" s="66" t="inlineStr">
        <is>
          <t>Each supplied CSV matched its corresponding workbook. The ZIP workbook matched the underscore-named standalone release byte-for-byte.</t>
        </is>
      </c>
      <c r="D9" s="66" t="inlineStr">
        <is>
          <t>Passed file-content checks.</t>
        </is>
      </c>
      <c r="E9" s="66" t="str"/>
      <c r="F9" s="67" t="str"/>
      <c r="G9" s="66" t="inlineStr">
        <is>
          <t>The two releases disagreed with each other despite internal file consistency.</t>
        </is>
      </c>
    </row>
    <row r="10" ht="60" customHeight="1" s="63">
      <c r="A10" s="70" t="inlineStr">
        <is>
          <t>AUD-004</t>
        </is>
      </c>
      <c r="B10" s="70" t="inlineStr">
        <is>
          <t>Missing US services</t>
        </is>
      </c>
      <c r="C10" s="70" t="inlineStr">
        <is>
          <t>Six named US VTS records were absent from the later workbook.</t>
        </is>
      </c>
      <c r="D10" s="70" t="inlineStr">
        <is>
          <t>Restored VTS-009 to VTS-014 from current USCG service-location evidence.</t>
        </is>
      </c>
      <c r="E10" s="70" t="inlineStr">
        <is>
          <t>SRC-017</t>
        </is>
      </c>
      <c r="F10" s="71" t="inlineStr">
        <is>
          <t>https://www.navcen.uscg.gov/vessel-traffic-services-locations</t>
        </is>
      </c>
      <c r="G10" s="70" t="inlineStr">
        <is>
          <t>Seven associated TSS remain proposed links pending actual boundary/applicability checks.</t>
        </is>
      </c>
    </row>
    <row r="11" ht="60" customHeight="1" s="63">
      <c r="A11" s="66" t="inlineStr">
        <is>
          <t>AUD-005</t>
        </is>
      </c>
      <c r="B11" s="66" t="inlineStr">
        <is>
          <t>Voluntary OVMRS</t>
        </is>
      </c>
      <c r="C11" s="66" t="inlineStr">
        <is>
          <t>The earlier voluntary San Francisco reporting record was omitted from the later workbook.</t>
        </is>
      </c>
      <c r="D11" s="66" t="inlineStr">
        <is>
          <t>Restored as SRS-008; explicitly excluded from the mandatory subtotal.</t>
        </is>
      </c>
      <c r="E11" s="66" t="inlineStr">
        <is>
          <t>SRC-017</t>
        </is>
      </c>
      <c r="F11" s="67" t="inlineStr">
        <is>
          <t>https://www.navcen.uscg.gov/vessel-traffic-services-locations</t>
        </is>
      </c>
      <c r="G11" s="66" t="inlineStr">
        <is>
          <t>Exact offshore TSS coverage is not established.</t>
        </is>
      </c>
    </row>
    <row r="12" ht="60" customHeight="1" s="63">
      <c r="A12" s="70" t="inlineStr">
        <is>
          <t>AUD-006</t>
        </is>
      </c>
      <c r="B12" s="70" t="inlineStr">
        <is>
          <t>Gdańsk receiving VTS</t>
        </is>
      </c>
      <c r="C12" s="70" t="inlineStr">
        <is>
          <t>The Polish authority identifies VTS Zatoka Gdańska and links it to GDANREP.</t>
        </is>
      </c>
      <c r="D12" s="70" t="inlineStr">
        <is>
          <t>Added VTS-015 and authority-supported relationships.</t>
        </is>
      </c>
      <c r="E12" s="70" t="inlineStr">
        <is>
          <t>SRC-019</t>
        </is>
      </c>
      <c r="F12" s="71" t="inlineStr">
        <is>
          <t>https://www.umgdy.gov.pl/en/marine-safety/vts-zatoka-gdanska-en/</t>
        </is>
      </c>
      <c r="G12" s="70" t="inlineStr">
        <is>
          <t>Full current reporting instructions and geographical audit remain pending.</t>
        </is>
      </c>
    </row>
    <row r="13" ht="60" customHeight="1" s="63">
      <c r="A13" s="66" t="inlineStr">
        <is>
          <t>AUD-007</t>
        </is>
      </c>
      <c r="B13" s="66" t="inlineStr">
        <is>
          <t>Grouped Gdańsk source heading</t>
        </is>
      </c>
      <c r="C13" s="66" t="inlineStr">
        <is>
          <t>The authority names TSS East and TSS West within the VTS area.</t>
        </is>
      </c>
      <c r="D13" s="66" t="inlineStr">
        <is>
          <t>Added two non-additive child records. The parent candidate remains unchanged.</t>
        </is>
      </c>
      <c r="E13" s="66" t="inlineStr">
        <is>
          <t>SRC-019</t>
        </is>
      </c>
      <c r="F13" s="67" t="inlineStr">
        <is>
          <t>https://www.umgdy.gov.pl/en/marine-safety/vts-zatoka-gdanska-en/</t>
        </is>
      </c>
      <c r="G13" s="66" t="inlineStr">
        <is>
          <t>Do not add child rows to the 170 parent-row total.</t>
        </is>
      </c>
    </row>
    <row r="14" ht="60" customHeight="1" s="63">
      <c r="A14" s="70" t="inlineStr">
        <is>
          <t>AUD-008</t>
        </is>
      </c>
      <c r="B14" s="70" t="inlineStr">
        <is>
          <t>REEFVTS centre and sector information</t>
        </is>
      </c>
      <c r="C14" s="70" t="inlineStr">
        <is>
          <t>The later workbook omitted the operational structure.</t>
        </is>
      </c>
      <c r="D14" s="70" t="inlineStr">
        <is>
          <t>Recorded Reef North/Reef South and Townsville/Gladstone; either centre can manage either sector.</t>
        </is>
      </c>
      <c r="E14" s="70" t="inlineStr">
        <is>
          <t>SRC-018</t>
        </is>
      </c>
      <c r="F14" s="71" t="inlineStr">
        <is>
          <t>https://www.msq.qld.gov.au/shipping/reefvts</t>
        </is>
      </c>
      <c r="G14" s="70" t="inlineStr">
        <is>
          <t>Two sectors or centres do not establish two distinct VTS services or guide entries.</t>
        </is>
      </c>
    </row>
    <row r="15" ht="79.5" customHeight="1" s="63">
      <c r="A15" s="66" t="inlineStr">
        <is>
          <t>AUD-009</t>
        </is>
      </c>
      <c r="B15" s="66" t="inlineStr">
        <is>
          <t>STRAITREP allocation</t>
        </is>
      </c>
      <c r="C15" s="66" t="inlineStr">
        <is>
          <t>The earlier workbook proposed every one of eight TSS rows against all three VTS authorities.</t>
        </is>
      </c>
      <c r="D15" s="66" t="inlineStr">
        <is>
          <t>Archived 24 unverified component-to-VTS links. Retained system-level and sector/service evidence.</t>
        </is>
      </c>
      <c r="E15" s="66" t="inlineStr">
        <is>
          <t>SRC-006; SRC-007</t>
        </is>
      </c>
      <c r="F15" s="67" t="inlineStr">
        <is>
          <t>https://www.mpa.gov.sg/port-marine-ops/operations/vessel-traffic-information-system
https://www.mpa.gov.sg/port-marine-ops/operations/vessel-traffic-information-system/operational-areas</t>
        </is>
      </c>
      <c r="G15" s="66" t="inlineStr">
        <is>
          <t>One reporting system, nine sectors and three service identities remain different counting units.</t>
        </is>
      </c>
    </row>
    <row r="16" ht="79.5" customHeight="1" s="63">
      <c r="A16" s="70" t="inlineStr">
        <is>
          <t>AUD-010</t>
        </is>
      </c>
      <c r="B16" s="70" t="inlineStr">
        <is>
          <t>Great Belt links</t>
        </is>
      </c>
      <c r="C16" s="70" t="inlineStr">
        <is>
          <t>IMO MSC.332(90) explicitly names Hatter Barn and Korsoer–Sprogoe TSS within BELTREP provisions.</t>
        </is>
      </c>
      <c r="D16" s="70" t="inlineStr">
        <is>
          <t>Upgraded two named associations and completed matching VTS links.</t>
        </is>
      </c>
      <c r="E16" s="70" t="inlineStr">
        <is>
          <t>SRC-008; SRC-020</t>
        </is>
      </c>
      <c r="F16" s="71" t="inlineStr">
        <is>
          <t>https://www.forsvaret.dk/da/organisation/soevaernet/civile-opgaver/beltrep/
https://wwwcdn.imo.org/localresources/en/KnowledgeCentre/IndexofIMOResolutions/MSCResolutions/MSC.332(90).pdf</t>
        </is>
      </c>
      <c r="G16" s="70" t="inlineStr">
        <is>
          <t>Historical adopted text plus current authority description is not a completed current-rule or chart audit.</t>
        </is>
      </c>
    </row>
    <row r="17" ht="106.5" customHeight="1" s="63">
      <c r="A17" s="66" t="inlineStr">
        <is>
          <t>AUD-011</t>
        </is>
      </c>
      <c r="B17" s="66" t="inlineStr">
        <is>
          <t>Sound and Falsterbo links</t>
        </is>
      </c>
      <c r="C17" s="66" t="inlineStr">
        <is>
          <t>MSC.314(88) names In the Sound and Off Falsterbo. The Falsterbo lead had disappeared from the later release.</t>
        </is>
      </c>
      <c r="D17" s="66" t="inlineStr">
        <is>
          <t>Restored Falsterbo and strengthened named associations for both entries.</t>
        </is>
      </c>
      <c r="E17" s="66" t="inlineStr">
        <is>
          <t>SRC-009; SRC-015; SRC-021</t>
        </is>
      </c>
      <c r="F17" s="67" t="inlineStr">
        <is>
          <t>https://www.sjofartsverket.se/en/services/maritime-traffic-information/soundrep/soundrep-information/about-soundrep/
https://www.forsvaret.dk/da/organisation/soevaernet/nationalt-maritimt-operationscenter/vts/
https://www.sjofartsverket.se/globalassets/tjanster/sjotrafiktjanster/msc.31488.pdf</t>
        </is>
      </c>
      <c r="G17" s="66" t="inlineStr">
        <is>
          <t>Preserved source labels; alias, geometry and amended requirements remain to be reconciled.</t>
        </is>
      </c>
    </row>
    <row r="18" ht="60" customHeight="1" s="63">
      <c r="A18" s="70" t="inlineStr">
        <is>
          <t>AUD-012</t>
        </is>
      </c>
      <c r="B18" s="70" t="inlineStr">
        <is>
          <t>GOFREP legacy leads</t>
        </is>
      </c>
      <c r="C18" s="70" t="inlineStr">
        <is>
          <t>Sommers, Hogland and Rodsher hypotheses were dropped. The checked Fintraffic text does not substantiate these three named links.</t>
        </is>
      </c>
      <c r="D18" s="70" t="inlineStr">
        <is>
          <t>Restored only as unverified hypotheses, excluded from evidenced totals.</t>
        </is>
      </c>
      <c r="E18" s="70" t="inlineStr">
        <is>
          <t>SRC-011; SRC-012</t>
        </is>
      </c>
      <c r="F18" s="71" t="inlineStr">
        <is>
          <t>https://mastersguide.fintraffic.fi/en/gofrep-area
https://www.fintraffic.fi/sv/node/254</t>
        </is>
      </c>
      <c r="G18" s="70" t="inlineStr">
        <is>
          <t>The four named central-report-line TSS remain the stronger Fintraffic-supported associations.</t>
        </is>
      </c>
    </row>
    <row r="19" ht="79.5" customHeight="1" s="63">
      <c r="A19" s="66" t="inlineStr">
        <is>
          <t>AUD-013</t>
        </is>
      </c>
      <c r="B19" s="66" t="inlineStr">
        <is>
          <t>Fehmarnbelt classification</t>
        </is>
      </c>
      <c r="C19" s="66" t="inlineStr">
        <is>
          <t>The competent authority describes a temporary, voluntary service.</t>
        </is>
      </c>
      <c r="D19" s="66" t="inlineStr">
        <is>
          <t>Retained as an additional VTS record, not a mandatory reporting scheme.</t>
        </is>
      </c>
      <c r="E19" s="66" t="inlineStr">
        <is>
          <t>SRC-015; SRC-016</t>
        </is>
      </c>
      <c r="F19" s="67" t="inlineStr">
        <is>
          <t>https://www.forsvaret.dk/da/organisation/soevaernet/nationalt-maritimt-operationscenter/vts/
https://www.brs.dk/da/om-os/organisation/sikre-farvande/obligatoriske-skibsmeldesystemer-msrs-og-skibstrafiktjenester-vts/</t>
        </is>
      </c>
      <c r="G19" s="66" t="inlineStr">
        <is>
          <t>Construction-phase limits, applicable instructions and service end date remain to be checked.</t>
        </is>
      </c>
    </row>
    <row r="20" ht="160.5" customHeight="1" s="63">
      <c r="A20" s="70" t="inlineStr">
        <is>
          <t>AUD-014</t>
        </is>
      </c>
      <c r="B20" s="70" t="inlineStr">
        <is>
          <t>Sources and dates</t>
        </is>
      </c>
      <c r="C20" s="70" t="inlineStr">
        <is>
          <t>MPA pages show 6 August 2026; the AMSA data policy shows 21 January 2021; the GOFREP source had a legacy-language URL.</t>
        </is>
      </c>
      <c r="D20" s="70" t="inlineStr">
        <is>
          <t>Corrected dates, replaced the GOFREP link with the canonical English guide and added current MSQ evidence.</t>
        </is>
      </c>
      <c r="E20" s="70" t="inlineStr">
        <is>
          <t>SRC-006; SRC-007; SRC-011; SRC-014; SRC-018</t>
        </is>
      </c>
      <c r="F20" s="71" t="inlineStr">
        <is>
          <t>https://www.mpa.gov.sg/port-marine-ops/operations/vessel-traffic-information-system
https://www.mpa.gov.sg/port-marine-ops/operations/vessel-traffic-information-system/operational-areas
https://mastersguide.fintraffic.fi/en/gofrep-area
https://www.amsa.gov.au/safety-navigation/spatial-data/vessel-track-data-disclosure-and-dissemination-policy
https://www.msq.qld.gov.au/shipping/reefvts</t>
        </is>
      </c>
      <c r="G20" s="70" t="inlineStr">
        <is>
          <t>Access and publication dates do not guarantee complete amendment coverage.</t>
        </is>
      </c>
    </row>
    <row r="21" ht="106.5" customHeight="1" s="63">
      <c r="A21" s="66" t="inlineStr">
        <is>
          <t>AUD-015</t>
        </is>
      </c>
      <c r="B21" s="66" t="inlineStr">
        <is>
          <t>Primary baseline verification</t>
        </is>
      </c>
      <c r="C21" s="66" t="inlineStr">
        <is>
          <t>The official 2026 UKHO index was available; the Notice 17 PDF download was not retrieved.</t>
        </is>
      </c>
      <c r="D21" s="66" t="inlineStr">
        <is>
          <t>Unresolved: retain the 170 labels as an unverified source inventory.</t>
        </is>
      </c>
      <c r="E21" s="66" t="inlineStr">
        <is>
          <t>SRC-001; SRC-002; SRC-003</t>
        </is>
      </c>
      <c r="F21" s="67" t="inlineStr">
        <is>
          <t>https://www.scribd.com/document/1014775753/1-1-IMO-Adopted-Traffic-Separation-Schemes-on-the-ADMIRALTY-Chart-Series
https://msi.admiralty.co.uk/NoticesToMariners/Annual
https://imo-epublications.org/content/books/9789280118353</t>
        </is>
      </c>
      <c r="G21" s="66" t="inlineStr">
        <is>
          <t>No claim that 170 is the current worldwide TSS total. IMO contents and post-baseline amendments also remain outstanding.</t>
        </is>
      </c>
    </row>
    <row r="22" ht="60" customHeight="1" s="63">
      <c r="A22" s="70" t="inlineStr">
        <is>
          <t>AUD-016</t>
        </is>
      </c>
      <c r="B22" s="70" t="inlineStr">
        <is>
          <t>Scope of completion</t>
        </is>
      </c>
      <c r="C22" s="70" t="inlineStr">
        <is>
          <t>Structural/source-identity audit is narrower than the planned full multi-pass operational review.</t>
        </is>
      </c>
      <c r="D22" s="70" t="inlineStr">
        <is>
          <t>No candidate or batch marked fully audited. Revised dashboard totals are formula-driven.</t>
        </is>
      </c>
      <c r="E22" s="70" t="str"/>
      <c r="F22" s="71" t="str"/>
      <c r="G22" s="70" t="inlineStr">
        <is>
          <t>VTS area, guide-entry and page totals remain undetermined.</t>
        </is>
      </c>
    </row>
    <row r="23" ht="60" customHeight="1" s="63">
      <c r="A23" s="66" t="inlineStr">
        <is>
          <t>AUD-017</t>
        </is>
      </c>
      <c r="B23" s="66" t="inlineStr">
        <is>
          <t>Geographical filing</t>
        </is>
      </c>
      <c r="C23" s="66" t="inlineStr">
        <is>
          <t>The newer workbook corrected Pacific Panama into the Pacific regional group.</t>
        </is>
      </c>
      <c r="D23" s="66" t="inlineStr">
        <is>
          <t>Retained that correction while preserving source labels.</t>
        </is>
      </c>
      <c r="E23" s="66" t="inlineStr">
        <is>
          <t>SRC-001</t>
        </is>
      </c>
      <c r="F23" s="67" t="inlineStr">
        <is>
          <t>https://www.scribd.com/document/1014775753/1-1-IMO-Adopted-Traffic-Separation-Schemes-on-the-ADMIRALTY-Chart-Series</t>
        </is>
      </c>
      <c r="G23" s="66" t="inlineStr">
        <is>
          <t>Other labels and grouped headings still require baseline reconciliation.</t>
        </is>
      </c>
    </row>
    <row r="24">
      <c r="A24" s="68" t="n"/>
      <c r="B24" s="68" t="n"/>
      <c r="C24" s="68" t="n"/>
      <c r="D24" s="68" t="n"/>
      <c r="E24" s="68" t="n"/>
      <c r="F24" s="68" t="n"/>
      <c r="G24" s="68" t="n"/>
    </row>
  </sheetData>
  <mergeCells count="2">
    <mergeCell ref="A3:G4"/>
    <mergeCell ref="A1:G2"/>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cols>
    <col width="18" customWidth="1" style="63" min="1" max="1"/>
    <col width="18" customWidth="1" style="63" min="2" max="2"/>
    <col width="24" customWidth="1" style="63" min="3" max="3"/>
    <col width="20" customWidth="1" style="63" min="4" max="4"/>
    <col width="24" customWidth="1" style="63" min="5" max="5"/>
    <col width="34" customWidth="1" style="63" min="6" max="6"/>
    <col width="45" customWidth="1" style="63" min="7" max="7"/>
    <col width="18" customWidth="1" style="63" min="8" max="8"/>
    <col width="46" customWidth="1" style="63" min="9" max="9"/>
    <col width="48" customWidth="1" style="63" min="10" max="10"/>
  </cols>
  <sheetData>
    <row r="1">
      <c r="A1" s="138" t="inlineStr">
        <is>
          <t>GLOBAL VTS | TSS COMPONENTS</t>
        </is>
      </c>
      <c r="B1" s="1" t="n"/>
      <c r="C1" s="1" t="n"/>
      <c r="D1" s="1" t="n"/>
      <c r="E1" s="1" t="n"/>
      <c r="F1" s="1" t="n"/>
      <c r="G1" s="1" t="n"/>
      <c r="H1" s="1" t="n"/>
      <c r="I1" s="68" t="n"/>
      <c r="J1" s="68" t="n"/>
    </row>
    <row r="2">
      <c r="A2" s="1" t="n"/>
      <c r="B2" s="1" t="n"/>
      <c r="C2" s="1" t="n"/>
      <c r="D2" s="1" t="n"/>
      <c r="E2" s="1" t="n"/>
      <c r="F2" s="1" t="n"/>
      <c r="G2" s="1" t="n"/>
      <c r="H2" s="1" t="n"/>
      <c r="I2" s="68" t="n"/>
      <c r="J2" s="68" t="n"/>
    </row>
    <row r="3">
      <c r="A3" s="139" t="inlineStr">
        <is>
          <t>v0.3 | Child records only. Do not add these rows to the parent-source total.</t>
        </is>
      </c>
      <c r="B3" s="1" t="n"/>
      <c r="C3" s="1" t="n"/>
      <c r="D3" s="1" t="n"/>
      <c r="E3" s="1" t="n"/>
      <c r="F3" s="1" t="n"/>
      <c r="G3" s="1" t="n"/>
      <c r="H3" s="1" t="n"/>
      <c r="I3" s="68" t="n"/>
      <c r="J3" s="68" t="n"/>
    </row>
    <row r="4">
      <c r="A4" s="1" t="n"/>
      <c r="B4" s="1" t="n"/>
      <c r="C4" s="1" t="n"/>
      <c r="D4" s="1" t="n"/>
      <c r="E4" s="1" t="n"/>
      <c r="F4" s="1" t="n"/>
      <c r="G4" s="1" t="n"/>
      <c r="H4" s="1" t="n"/>
      <c r="I4" s="68" t="n"/>
      <c r="J4" s="68" t="n"/>
    </row>
    <row r="5">
      <c r="A5" s="68" t="n"/>
      <c r="B5" s="68" t="n"/>
      <c r="C5" s="68" t="n"/>
      <c r="D5" s="68" t="n"/>
      <c r="E5" s="68" t="n"/>
      <c r="F5" s="68" t="n"/>
      <c r="G5" s="68" t="n"/>
      <c r="H5" s="68" t="n"/>
      <c r="I5" s="68" t="n"/>
      <c r="J5" s="68" t="n"/>
    </row>
    <row r="6" ht="34" customHeight="1" s="63">
      <c r="A6" s="65" t="inlineStr">
        <is>
          <t>Component ID</t>
        </is>
      </c>
      <c r="B6" s="65" t="inlineStr">
        <is>
          <t>Parent record ID</t>
        </is>
      </c>
      <c r="C6" s="65" t="inlineStr">
        <is>
          <t>Authority label</t>
        </is>
      </c>
      <c r="D6" s="65" t="inlineStr">
        <is>
          <t>Associated VTS</t>
        </is>
      </c>
      <c r="E6" s="65" t="inlineStr">
        <is>
          <t>Associated reporting scheme</t>
        </is>
      </c>
      <c r="F6" s="65" t="inlineStr">
        <is>
          <t>Evidence status</t>
        </is>
      </c>
      <c r="G6" s="65" t="inlineStr">
        <is>
          <t>Counting treatment</t>
        </is>
      </c>
      <c r="H6" s="65" t="inlineStr">
        <is>
          <t>Source IDs</t>
        </is>
      </c>
      <c r="I6" s="65" t="inlineStr">
        <is>
          <t>Source URLs</t>
        </is>
      </c>
      <c r="J6" s="65" t="inlineStr">
        <is>
          <t>Remaining checks</t>
        </is>
      </c>
    </row>
    <row r="7" ht="60" customHeight="1" s="63">
      <c r="A7" s="66" t="inlineStr">
        <is>
          <t>TSS-0043-E</t>
        </is>
      </c>
      <c r="B7" s="66" t="inlineStr">
        <is>
          <t>TSS-0043</t>
        </is>
      </c>
      <c r="C7" s="66" t="inlineStr">
        <is>
          <t>TSS East</t>
        </is>
      </c>
      <c r="D7" s="66" t="inlineStr">
        <is>
          <t>VTS-015</t>
        </is>
      </c>
      <c r="E7" s="66" t="inlineStr">
        <is>
          <t>SRS-007</t>
        </is>
      </c>
      <c r="F7" s="66" t="inlineStr">
        <is>
          <t>Component named by authority</t>
        </is>
      </c>
      <c r="G7" s="66" t="inlineStr">
        <is>
          <t>Non-additive child; parent remains in the 170-row candidate inventory</t>
        </is>
      </c>
      <c r="H7" s="66" t="inlineStr">
        <is>
          <t>SRC-019</t>
        </is>
      </c>
      <c r="I7" s="67" t="inlineStr">
        <is>
          <t>https://www.umgdy.gov.pl/en/marine-safety/vts-zatoka-gdanska-en/</t>
        </is>
      </c>
      <c r="J7" s="66" t="inlineStr">
        <is>
          <t>Current formal scheme identifiers, adoption records, limits and chart geometry not reconciled.</t>
        </is>
      </c>
    </row>
    <row r="8" ht="60" customHeight="1" s="63">
      <c r="A8" s="66" t="inlineStr">
        <is>
          <t>TSS-0043-W</t>
        </is>
      </c>
      <c r="B8" s="66" t="inlineStr">
        <is>
          <t>TSS-0043</t>
        </is>
      </c>
      <c r="C8" s="66" t="inlineStr">
        <is>
          <t>TSS West</t>
        </is>
      </c>
      <c r="D8" s="66" t="inlineStr">
        <is>
          <t>VTS-015</t>
        </is>
      </c>
      <c r="E8" s="66" t="inlineStr">
        <is>
          <t>SRS-007</t>
        </is>
      </c>
      <c r="F8" s="66" t="inlineStr">
        <is>
          <t>Component named by authority</t>
        </is>
      </c>
      <c r="G8" s="66" t="inlineStr">
        <is>
          <t>Non-additive child; parent remains in the 170-row candidate inventory</t>
        </is>
      </c>
      <c r="H8" s="66" t="inlineStr">
        <is>
          <t>SRC-019</t>
        </is>
      </c>
      <c r="I8" s="67" t="inlineStr">
        <is>
          <t>https://www.umgdy.gov.pl/en/marine-safety/vts-zatoka-gdanska-en/</t>
        </is>
      </c>
      <c r="J8" s="66" t="inlineStr">
        <is>
          <t>Current formal scheme identifiers, adoption records, limits and chart geometry not reconciled.</t>
        </is>
      </c>
    </row>
    <row r="9" ht="60" customHeight="1" s="63">
      <c r="A9" s="66" t="inlineStr">
        <is>
          <t>TSS-0050-C1</t>
        </is>
      </c>
      <c r="B9" s="66" t="inlineStr">
        <is>
          <t>TSS-0050</t>
        </is>
      </c>
      <c r="C9" s="66" t="inlineStr">
        <is>
          <t>Off Vlieland</t>
        </is>
      </c>
      <c r="D9" s="66" t="n"/>
      <c r="E9" s="66" t="n"/>
      <c r="F9" s="66" t="inlineStr">
        <is>
          <t>Part named in adoption or authority source (first pass)</t>
        </is>
      </c>
      <c r="G9" s="66" t="inlineStr">
        <is>
          <t>Non-additive structural part (lane, approach, precautionary area or sub-scheme). Not a separate TSS in any count until confirmed as a distinct scheme.</t>
        </is>
      </c>
      <c r="H9" s="66" t="inlineStr">
        <is>
          <t>SRC-024; SRC-027; SRC-036; SRC-037; SRC-038; SRC-050</t>
        </is>
      </c>
      <c r="I9" s="67" t="inlineStr">
        <is>
          <t>https://cimrc.shmtu.edu.cn/_upload/article/files/63/dc/35c66be74d12873254dc88a2ef00/465d5392-0ba5-4f33-8e61-a48e3499b1b3.pdf
https://transportstyrelsen.se/globalassets/global/sjofart/dokument/sjotrafik_dok/ruttsystem.pdf
https://kustwacht.nl/en/merchant-shipping/advice-for-container-ships-near-west-frisian-islands/
https://kustwacht.nl/hulpverlening/vtm/
https://kustwacht.nl/maritieme-organisaties/verkeerscentrales/
https://www.fpp.uni-lj.si/mma_bin.php?id=2011032217361737</t>
        </is>
      </c>
      <c r="J9" s="66" t="inlineStr">
        <is>
          <t>Component-level VTS and reporting allocation not checked separately.</t>
        </is>
      </c>
    </row>
    <row r="10" ht="60" customHeight="1" s="63">
      <c r="A10" s="66" t="inlineStr">
        <is>
          <t>TSS-0050-C2</t>
        </is>
      </c>
      <c r="B10" s="66" t="inlineStr">
        <is>
          <t>TSS-0050</t>
        </is>
      </c>
      <c r="C10" s="66" t="inlineStr">
        <is>
          <t>Vlieland North</t>
        </is>
      </c>
      <c r="D10" s="66" t="n"/>
      <c r="E10" s="66" t="n"/>
      <c r="F10" s="66" t="inlineStr">
        <is>
          <t>Part named in adoption or authority source (first pass)</t>
        </is>
      </c>
      <c r="G10" s="66" t="inlineStr">
        <is>
          <t>Non-additive structural part (lane, approach, precautionary area or sub-scheme). Not a separate TSS in any count until confirmed as a distinct scheme.</t>
        </is>
      </c>
      <c r="H10" s="66" t="inlineStr">
        <is>
          <t>SRC-024; SRC-027; SRC-036; SRC-037; SRC-038; SRC-050</t>
        </is>
      </c>
      <c r="I10" s="67" t="inlineStr">
        <is>
          <t>https://cimrc.shmtu.edu.cn/_upload/article/files/63/dc/35c66be74d12873254dc88a2ef00/465d5392-0ba5-4f33-8e61-a48e3499b1b3.pdf
https://transportstyrelsen.se/globalassets/global/sjofart/dokument/sjotrafik_dok/ruttsystem.pdf
https://kustwacht.nl/en/merchant-shipping/advice-for-container-ships-near-west-frisian-islands/
https://kustwacht.nl/hulpverlening/vtm/
https://kustwacht.nl/maritieme-organisaties/verkeerscentrales/
https://www.fpp.uni-lj.si/mma_bin.php?id=2011032217361737</t>
        </is>
      </c>
      <c r="J10" s="66" t="inlineStr">
        <is>
          <t>Component-level VTS and reporting allocation not checked separately.</t>
        </is>
      </c>
    </row>
    <row r="11" ht="60" customHeight="1" s="63">
      <c r="A11" s="66" t="inlineStr">
        <is>
          <t>TSS-0050-C3</t>
        </is>
      </c>
      <c r="B11" s="66" t="inlineStr">
        <is>
          <t>TSS-0050</t>
        </is>
      </c>
      <c r="C11" s="66" t="inlineStr">
        <is>
          <t>Vlieland Junction</t>
        </is>
      </c>
      <c r="D11" s="66" t="n"/>
      <c r="E11" s="66" t="n"/>
      <c r="F11" s="66" t="inlineStr">
        <is>
          <t>Part named in adoption or authority source (first pass)</t>
        </is>
      </c>
      <c r="G11" s="66" t="inlineStr">
        <is>
          <t>Non-additive structural part (lane, approach, precautionary area or sub-scheme). Not a separate TSS in any count until confirmed as a distinct scheme.</t>
        </is>
      </c>
      <c r="H11" s="66" t="inlineStr">
        <is>
          <t>SRC-024; SRC-027; SRC-036; SRC-037; SRC-038; SRC-050</t>
        </is>
      </c>
      <c r="I11" s="67" t="inlineStr">
        <is>
          <t>https://cimrc.shmtu.edu.cn/_upload/article/files/63/dc/35c66be74d12873254dc88a2ef00/465d5392-0ba5-4f33-8e61-a48e3499b1b3.pdf
https://transportstyrelsen.se/globalassets/global/sjofart/dokument/sjotrafik_dok/ruttsystem.pdf
https://kustwacht.nl/en/merchant-shipping/advice-for-container-ships-near-west-frisian-islands/
https://kustwacht.nl/hulpverlening/vtm/
https://kustwacht.nl/maritieme-organisaties/verkeerscentrales/
https://www.fpp.uni-lj.si/mma_bin.php?id=2011032217361737</t>
        </is>
      </c>
      <c r="J11" s="66" t="inlineStr">
        <is>
          <t>Component-level VTS and reporting allocation not checked separately.</t>
        </is>
      </c>
    </row>
    <row r="12" ht="60" customHeight="1" s="63">
      <c r="A12" s="66" t="inlineStr">
        <is>
          <t>TSS-0051-C1</t>
        </is>
      </c>
      <c r="B12" s="66" t="inlineStr">
        <is>
          <t>TSS-0051</t>
        </is>
      </c>
      <c r="C12" s="66" t="inlineStr">
        <is>
          <t>Off Vlieland</t>
        </is>
      </c>
      <c r="D12" s="66" t="n"/>
      <c r="E12" s="66" t="n"/>
      <c r="F12" s="66" t="inlineStr">
        <is>
          <t>Part named in adoption or authority source (first pass)</t>
        </is>
      </c>
      <c r="G12" s="66" t="inlineStr">
        <is>
          <t>Non-additive structural part (lane, approach, precautionary area or sub-scheme). Not a separate TSS in any count until confirmed as a distinct scheme.</t>
        </is>
      </c>
      <c r="H12" s="66" t="inlineStr">
        <is>
          <t>SRC-024; SRC-027; SRC-028; SRC-036; SRC-037; SRC-038; SRC-050</t>
        </is>
      </c>
      <c r="I12" s="67"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https://kustwacht.nl/en/merchant-shipping/advice-for-container-ships-near-west-frisian-islands/
https://kustwacht.nl/hulpverlening/vtm/
https://kustwacht.nl/maritieme-organisaties/verkeerscentrales/
https://www.fpp.uni-lj.si/mma_bin.php?id=2011032217361737</t>
        </is>
      </c>
      <c r="J12" s="66" t="inlineStr">
        <is>
          <t>Component-level VTS and reporting allocation not checked separately.</t>
        </is>
      </c>
    </row>
    <row r="13" ht="60" customHeight="1" s="63">
      <c r="A13" s="66" t="inlineStr">
        <is>
          <t>TSS-0051-C2</t>
        </is>
      </c>
      <c r="B13" s="66" t="inlineStr">
        <is>
          <t>TSS-0051</t>
        </is>
      </c>
      <c r="C13" s="66" t="inlineStr">
        <is>
          <t>Vlieland North</t>
        </is>
      </c>
      <c r="D13" s="66" t="n"/>
      <c r="E13" s="66" t="n"/>
      <c r="F13" s="66" t="inlineStr">
        <is>
          <t>Part named in adoption or authority source (first pass)</t>
        </is>
      </c>
      <c r="G13" s="66" t="inlineStr">
        <is>
          <t>Non-additive structural part (lane, approach, precautionary area or sub-scheme). Not a separate TSS in any count until confirmed as a distinct scheme.</t>
        </is>
      </c>
      <c r="H13" s="66" t="inlineStr">
        <is>
          <t>SRC-024; SRC-027; SRC-028; SRC-036; SRC-037; SRC-038; SRC-050</t>
        </is>
      </c>
      <c r="I13" s="67"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https://kustwacht.nl/en/merchant-shipping/advice-for-container-ships-near-west-frisian-islands/
https://kustwacht.nl/hulpverlening/vtm/
https://kustwacht.nl/maritieme-organisaties/verkeerscentrales/
https://www.fpp.uni-lj.si/mma_bin.php?id=2011032217361737</t>
        </is>
      </c>
      <c r="J13" s="66" t="inlineStr">
        <is>
          <t>Component-level VTS and reporting allocation not checked separately.</t>
        </is>
      </c>
    </row>
    <row r="14" ht="60" customHeight="1" s="63">
      <c r="A14" s="66" t="inlineStr">
        <is>
          <t>TSS-0051-C3</t>
        </is>
      </c>
      <c r="B14" s="66" t="inlineStr">
        <is>
          <t>TSS-0051</t>
        </is>
      </c>
      <c r="C14" s="66" t="inlineStr">
        <is>
          <t>Vlieland Junction</t>
        </is>
      </c>
      <c r="D14" s="66" t="n"/>
      <c r="E14" s="66" t="n"/>
      <c r="F14" s="66" t="inlineStr">
        <is>
          <t>Part named in adoption or authority source (first pass)</t>
        </is>
      </c>
      <c r="G14" s="66" t="inlineStr">
        <is>
          <t>Non-additive structural part (lane, approach, precautionary area or sub-scheme). Not a separate TSS in any count until confirmed as a distinct scheme.</t>
        </is>
      </c>
      <c r="H14" s="66" t="inlineStr">
        <is>
          <t>SRC-024; SRC-027; SRC-028; SRC-036; SRC-037; SRC-038; SRC-050</t>
        </is>
      </c>
      <c r="I14" s="67" t="inlineStr">
        <is>
          <t>https://cimrc.shmtu.edu.cn/_upload/article/files/63/dc/35c66be74d12873254dc88a2ef00/465d5392-0ba5-4f33-8e61-a48e3499b1b3.pdf
https://transportstyrelsen.se/globalassets/global/sjofart/dokument/sjotrafik_dok/ruttsystem.pdf
https://www.isesassociation.com/wp-content/uploads/2024/12/MSC_109_Summary_Report.pdf
https://kustwacht.nl/en/merchant-shipping/advice-for-container-ships-near-west-frisian-islands/
https://kustwacht.nl/hulpverlening/vtm/
https://kustwacht.nl/maritieme-organisaties/verkeerscentrales/
https://www.fpp.uni-lj.si/mma_bin.php?id=2011032217361737</t>
        </is>
      </c>
      <c r="J14" s="66" t="inlineStr">
        <is>
          <t>Component-level VTS and reporting allocation not checked separately.</t>
        </is>
      </c>
    </row>
    <row r="15" ht="60" customHeight="1" s="63">
      <c r="A15" s="66" t="inlineStr">
        <is>
          <t>TSS-0055-C1</t>
        </is>
      </c>
      <c r="B15" s="66" t="inlineStr">
        <is>
          <t>TSS-0055</t>
        </is>
      </c>
      <c r="C15" s="66" t="inlineStr">
        <is>
          <t>West Friesland</t>
        </is>
      </c>
      <c r="D15" s="66" t="n"/>
      <c r="E15" s="66" t="n"/>
      <c r="F15" s="66" t="inlineStr">
        <is>
          <t>Part named in adoption or authority source (first pass)</t>
        </is>
      </c>
      <c r="G15" s="66" t="inlineStr">
        <is>
          <t>Non-additive structural part (lane, approach, precautionary area or sub-scheme). Not a separate TSS in any count until confirmed as a distinct scheme.</t>
        </is>
      </c>
      <c r="H15" s="66" t="inlineStr">
        <is>
          <t>SRC-024; SRC-025; SRC-026; SRC-028; SRC-037; SRC-038</t>
        </is>
      </c>
      <c r="I15" s="67" t="inlineStr">
        <is>
          <t>https://cimrc.shmtu.edu.cn/_upload/article/files/63/dc/35c66be74d12873254dc88a2ef00/465d5392-0ba5-4f33-8e61-a48e3499b1b3.pdf
https://www.vimawa.gov.vn/f/Circ%2066.pdf
https://mindev.gov.ua/storage/app/sites/1/uploaded-files/colreg2-circ66-corr1-corrigendum-secretariat.pdf
https://www.isesassociation.com/wp-content/uploads/2024/12/MSC_109_Summary_Report.pdf
https://kustwacht.nl/hulpverlening/vtm/
https://kustwacht.nl/maritieme-organisaties/verkeerscentrales/</t>
        </is>
      </c>
      <c r="J15" s="66" t="inlineStr">
        <is>
          <t>Component-level VTS and reporting allocation not checked separately.</t>
        </is>
      </c>
    </row>
    <row r="16" ht="60" customHeight="1" s="63">
      <c r="A16" s="66" t="inlineStr">
        <is>
          <t>TSS-0055-C2</t>
        </is>
      </c>
      <c r="B16" s="66" t="inlineStr">
        <is>
          <t>TSS-0055</t>
        </is>
      </c>
      <c r="C16" s="66" t="inlineStr">
        <is>
          <t>North Friesland</t>
        </is>
      </c>
      <c r="D16" s="66" t="n"/>
      <c r="E16" s="66" t="n"/>
      <c r="F16" s="66" t="inlineStr">
        <is>
          <t>Part named in adoption or authority source (first pass)</t>
        </is>
      </c>
      <c r="G16" s="66" t="inlineStr">
        <is>
          <t>Non-additive structural part (lane, approach, precautionary area or sub-scheme). Not a separate TSS in any count until confirmed as a distinct scheme.</t>
        </is>
      </c>
      <c r="H16" s="66" t="inlineStr">
        <is>
          <t>SRC-024; SRC-025; SRC-026; SRC-028; SRC-037; SRC-038</t>
        </is>
      </c>
      <c r="I16" s="67" t="inlineStr">
        <is>
          <t>https://cimrc.shmtu.edu.cn/_upload/article/files/63/dc/35c66be74d12873254dc88a2ef00/465d5392-0ba5-4f33-8e61-a48e3499b1b3.pdf
https://www.vimawa.gov.vn/f/Circ%2066.pdf
https://mindev.gov.ua/storage/app/sites/1/uploaded-files/colreg2-circ66-corr1-corrigendum-secretariat.pdf
https://www.isesassociation.com/wp-content/uploads/2024/12/MSC_109_Summary_Report.pdf
https://kustwacht.nl/hulpverlening/vtm/
https://kustwacht.nl/maritieme-organisaties/verkeerscentrales/</t>
        </is>
      </c>
      <c r="J16" s="66" t="inlineStr">
        <is>
          <t>Component-level VTS and reporting allocation not checked separately.</t>
        </is>
      </c>
    </row>
    <row r="17" ht="60" customHeight="1" s="63">
      <c r="A17" s="66" t="inlineStr">
        <is>
          <t>TSS-0055-C3</t>
        </is>
      </c>
      <c r="B17" s="66" t="inlineStr">
        <is>
          <t>TSS-0055</t>
        </is>
      </c>
      <c r="C17" s="66" t="inlineStr">
        <is>
          <t>East Friesland</t>
        </is>
      </c>
      <c r="D17" s="66" t="n"/>
      <c r="E17" s="66" t="n"/>
      <c r="F17" s="66" t="inlineStr">
        <is>
          <t>Part named in adoption or authority source (first pass)</t>
        </is>
      </c>
      <c r="G17" s="66" t="inlineStr">
        <is>
          <t>Non-additive structural part (lane, approach, precautionary area or sub-scheme). Not a separate TSS in any count until confirmed as a distinct scheme.</t>
        </is>
      </c>
      <c r="H17" s="66" t="inlineStr">
        <is>
          <t>SRC-024; SRC-025; SRC-026; SRC-028; SRC-037; SRC-038</t>
        </is>
      </c>
      <c r="I17" s="67" t="inlineStr">
        <is>
          <t>https://cimrc.shmtu.edu.cn/_upload/article/files/63/dc/35c66be74d12873254dc88a2ef00/465d5392-0ba5-4f33-8e61-a48e3499b1b3.pdf
https://www.vimawa.gov.vn/f/Circ%2066.pdf
https://mindev.gov.ua/storage/app/sites/1/uploaded-files/colreg2-circ66-corr1-corrigendum-secretariat.pdf
https://www.isesassociation.com/wp-content/uploads/2024/12/MSC_109_Summary_Report.pdf
https://kustwacht.nl/hulpverlening/vtm/
https://kustwacht.nl/maritieme-organisaties/verkeerscentrales/</t>
        </is>
      </c>
      <c r="J17" s="66" t="inlineStr">
        <is>
          <t>Component-level VTS and reporting allocation not checked separately.</t>
        </is>
      </c>
    </row>
    <row r="18" ht="60" customHeight="1" s="63">
      <c r="A18" s="66" t="inlineStr">
        <is>
          <t>TSS-0055-C4</t>
        </is>
      </c>
      <c r="B18" s="66" t="inlineStr">
        <is>
          <t>TSS-0055</t>
        </is>
      </c>
      <c r="C18" s="66" t="inlineStr">
        <is>
          <t>Off Botney Ground (per S1)</t>
        </is>
      </c>
      <c r="D18" s="66" t="n"/>
      <c r="E18" s="66" t="n"/>
      <c r="F18" s="66" t="inlineStr">
        <is>
          <t>Part named in adoption or authority source (first pass)</t>
        </is>
      </c>
      <c r="G18" s="66" t="inlineStr">
        <is>
          <t>Non-additive structural part (lane, approach, precautionary area or sub-scheme). Not a separate TSS in any count until confirmed as a distinct scheme.</t>
        </is>
      </c>
      <c r="H18" s="66" t="inlineStr">
        <is>
          <t>SRC-024; SRC-025; SRC-026; SRC-028; SRC-037; SRC-038</t>
        </is>
      </c>
      <c r="I18" s="67" t="inlineStr">
        <is>
          <t>https://cimrc.shmtu.edu.cn/_upload/article/files/63/dc/35c66be74d12873254dc88a2ef00/465d5392-0ba5-4f33-8e61-a48e3499b1b3.pdf
https://www.vimawa.gov.vn/f/Circ%2066.pdf
https://mindev.gov.ua/storage/app/sites/1/uploaded-files/colreg2-circ66-corr1-corrigendum-secretariat.pdf
https://www.isesassociation.com/wp-content/uploads/2024/12/MSC_109_Summary_Report.pdf
https://kustwacht.nl/hulpverlening/vtm/
https://kustwacht.nl/maritieme-organisaties/verkeerscentrales/</t>
        </is>
      </c>
      <c r="J18" s="66" t="inlineStr">
        <is>
          <t>Component-level VTS and reporting allocation not checked separately.</t>
        </is>
      </c>
    </row>
    <row r="19" ht="60" customHeight="1" s="63">
      <c r="A19" s="66" t="inlineStr">
        <is>
          <t>TSS-0055-C5</t>
        </is>
      </c>
      <c r="B19" s="66" t="inlineStr">
        <is>
          <t>TSS-0055</t>
        </is>
      </c>
      <c r="C19" s="66" t="inlineStr">
        <is>
          <t>deep-water routes of 'Off Friesland'</t>
        </is>
      </c>
      <c r="D19" s="66" t="n"/>
      <c r="E19" s="66" t="n"/>
      <c r="F19" s="66" t="inlineStr">
        <is>
          <t>Part named in adoption or authority source (first pass)</t>
        </is>
      </c>
      <c r="G19" s="66" t="inlineStr">
        <is>
          <t>Non-additive structural part (lane, approach, precautionary area or sub-scheme). Not a separate TSS in any count until confirmed as a distinct scheme.</t>
        </is>
      </c>
      <c r="H19" s="66" t="inlineStr">
        <is>
          <t>SRC-024; SRC-025; SRC-026; SRC-028; SRC-037; SRC-038</t>
        </is>
      </c>
      <c r="I19" s="67" t="inlineStr">
        <is>
          <t>https://cimrc.shmtu.edu.cn/_upload/article/files/63/dc/35c66be74d12873254dc88a2ef00/465d5392-0ba5-4f33-8e61-a48e3499b1b3.pdf
https://www.vimawa.gov.vn/f/Circ%2066.pdf
https://mindev.gov.ua/storage/app/sites/1/uploaded-files/colreg2-circ66-corr1-corrigendum-secretariat.pdf
https://www.isesassociation.com/wp-content/uploads/2024/12/MSC_109_Summary_Report.pdf
https://kustwacht.nl/hulpverlening/vtm/
https://kustwacht.nl/maritieme-organisaties/verkeerscentrales/</t>
        </is>
      </c>
      <c r="J19" s="66" t="inlineStr">
        <is>
          <t>Component-level VTS and reporting allocation not checked separately.</t>
        </is>
      </c>
    </row>
    <row r="20" ht="60" customHeight="1" s="63">
      <c r="A20" s="66" t="inlineStr">
        <is>
          <t>TSS-0056-C1</t>
        </is>
      </c>
      <c r="B20" s="66" t="inlineStr">
        <is>
          <t>TSS-0056</t>
        </is>
      </c>
      <c r="C20" s="66" t="inlineStr">
        <is>
          <t>West Friesland</t>
        </is>
      </c>
      <c r="D20" s="66" t="n"/>
      <c r="E20" s="66" t="n"/>
      <c r="F20" s="66" t="inlineStr">
        <is>
          <t>Part named in adoption or authority source (first pass)</t>
        </is>
      </c>
      <c r="G20" s="66" t="inlineStr">
        <is>
          <t>Non-additive structural part (lane, approach, precautionary area or sub-scheme). Not a separate TSS in any count until confirmed as a distinct scheme.</t>
        </is>
      </c>
      <c r="H20" s="66" t="inlineStr">
        <is>
          <t>SRC-025; SRC-026; SRC-037; SRC-038</t>
        </is>
      </c>
      <c r="I20" s="67" t="inlineStr">
        <is>
          <t>https://www.vimawa.gov.vn/f/Circ%2066.pdf
https://mindev.gov.ua/storage/app/sites/1/uploaded-files/colreg2-circ66-corr1-corrigendum-secretariat.pdf
https://kustwacht.nl/hulpverlening/vtm/
https://kustwacht.nl/maritieme-organisaties/verkeerscentrales/</t>
        </is>
      </c>
      <c r="J20" s="66" t="inlineStr">
        <is>
          <t>Component-level VTS and reporting allocation not checked separately.</t>
        </is>
      </c>
    </row>
    <row r="21" ht="60" customHeight="1" s="63">
      <c r="A21" s="66" t="inlineStr">
        <is>
          <t>TSS-0056-C2</t>
        </is>
      </c>
      <c r="B21" s="66" t="inlineStr">
        <is>
          <t>TSS-0056</t>
        </is>
      </c>
      <c r="C21" s="66" t="inlineStr">
        <is>
          <t>North Friesland</t>
        </is>
      </c>
      <c r="D21" s="66" t="n"/>
      <c r="E21" s="66" t="n"/>
      <c r="F21" s="66" t="inlineStr">
        <is>
          <t>Part named in adoption or authority source (first pass)</t>
        </is>
      </c>
      <c r="G21" s="66" t="inlineStr">
        <is>
          <t>Non-additive structural part (lane, approach, precautionary area or sub-scheme). Not a separate TSS in any count until confirmed as a distinct scheme.</t>
        </is>
      </c>
      <c r="H21" s="66" t="inlineStr">
        <is>
          <t>SRC-025; SRC-026; SRC-037; SRC-038</t>
        </is>
      </c>
      <c r="I21" s="67" t="inlineStr">
        <is>
          <t>https://www.vimawa.gov.vn/f/Circ%2066.pdf
https://mindev.gov.ua/storage/app/sites/1/uploaded-files/colreg2-circ66-corr1-corrigendum-secretariat.pdf
https://kustwacht.nl/hulpverlening/vtm/
https://kustwacht.nl/maritieme-organisaties/verkeerscentrales/</t>
        </is>
      </c>
      <c r="J21" s="66" t="inlineStr">
        <is>
          <t>Component-level VTS and reporting allocation not checked separately.</t>
        </is>
      </c>
    </row>
    <row r="22" ht="60" customHeight="1" s="63">
      <c r="A22" s="66" t="inlineStr">
        <is>
          <t>TSS-0056-C3</t>
        </is>
      </c>
      <c r="B22" s="66" t="inlineStr">
        <is>
          <t>TSS-0056</t>
        </is>
      </c>
      <c r="C22" s="66" t="inlineStr">
        <is>
          <t>East Friesland</t>
        </is>
      </c>
      <c r="D22" s="66" t="n"/>
      <c r="E22" s="66" t="n"/>
      <c r="F22" s="66" t="inlineStr">
        <is>
          <t>Part named in adoption or authority source (first pass)</t>
        </is>
      </c>
      <c r="G22" s="66" t="inlineStr">
        <is>
          <t>Non-additive structural part (lane, approach, precautionary area or sub-scheme). Not a separate TSS in any count until confirmed as a distinct scheme.</t>
        </is>
      </c>
      <c r="H22" s="66" t="inlineStr">
        <is>
          <t>SRC-025; SRC-026; SRC-037; SRC-038</t>
        </is>
      </c>
      <c r="I22" s="67" t="inlineStr">
        <is>
          <t>https://www.vimawa.gov.vn/f/Circ%2066.pdf
https://mindev.gov.ua/storage/app/sites/1/uploaded-files/colreg2-circ66-corr1-corrigendum-secretariat.pdf
https://kustwacht.nl/hulpverlening/vtm/
https://kustwacht.nl/maritieme-organisaties/verkeerscentrales/</t>
        </is>
      </c>
      <c r="J22" s="66" t="inlineStr">
        <is>
          <t>Component-level VTS and reporting allocation not checked separately.</t>
        </is>
      </c>
    </row>
    <row r="23" ht="60" customHeight="1" s="63">
      <c r="A23" s="66" t="inlineStr">
        <is>
          <t>TSS-0057-C1</t>
        </is>
      </c>
      <c r="B23" s="66" t="inlineStr">
        <is>
          <t>TSS-0057</t>
        </is>
      </c>
      <c r="C23" s="66" t="inlineStr">
        <is>
          <t>West Friesland</t>
        </is>
      </c>
      <c r="D23" s="66" t="n"/>
      <c r="E23" s="66" t="n"/>
      <c r="F23" s="66" t="inlineStr">
        <is>
          <t>Part named in adoption or authority source (first pass)</t>
        </is>
      </c>
      <c r="G23" s="66" t="inlineStr">
        <is>
          <t>Non-additive structural part (lane, approach, precautionary area or sub-scheme). Not a separate TSS in any count until confirmed as a distinct scheme.</t>
        </is>
      </c>
      <c r="H23" s="66" t="inlineStr">
        <is>
          <t>SRC-025; SRC-026; SRC-037; SRC-038</t>
        </is>
      </c>
      <c r="I23" s="67" t="inlineStr">
        <is>
          <t>https://www.vimawa.gov.vn/f/Circ%2066.pdf
https://mindev.gov.ua/storage/app/sites/1/uploaded-files/colreg2-circ66-corr1-corrigendum-secretariat.pdf
https://kustwacht.nl/hulpverlening/vtm/
https://kustwacht.nl/maritieme-organisaties/verkeerscentrales/</t>
        </is>
      </c>
      <c r="J23" s="66" t="inlineStr">
        <is>
          <t>Component-level VTS and reporting allocation not checked separately.</t>
        </is>
      </c>
    </row>
    <row r="24" ht="60" customHeight="1" s="63">
      <c r="A24" s="66" t="inlineStr">
        <is>
          <t>TSS-0057-C2</t>
        </is>
      </c>
      <c r="B24" s="66" t="inlineStr">
        <is>
          <t>TSS-0057</t>
        </is>
      </c>
      <c r="C24" s="66" t="inlineStr">
        <is>
          <t>North Friesland</t>
        </is>
      </c>
      <c r="D24" s="66" t="n"/>
      <c r="E24" s="66" t="n"/>
      <c r="F24" s="66" t="inlineStr">
        <is>
          <t>Part named in adoption or authority source (first pass)</t>
        </is>
      </c>
      <c r="G24" s="66" t="inlineStr">
        <is>
          <t>Non-additive structural part (lane, approach, precautionary area or sub-scheme). Not a separate TSS in any count until confirmed as a distinct scheme.</t>
        </is>
      </c>
      <c r="H24" s="66" t="inlineStr">
        <is>
          <t>SRC-025; SRC-026; SRC-037; SRC-038</t>
        </is>
      </c>
      <c r="I24" s="67" t="inlineStr">
        <is>
          <t>https://www.vimawa.gov.vn/f/Circ%2066.pdf
https://mindev.gov.ua/storage/app/sites/1/uploaded-files/colreg2-circ66-corr1-corrigendum-secretariat.pdf
https://kustwacht.nl/hulpverlening/vtm/
https://kustwacht.nl/maritieme-organisaties/verkeerscentrales/</t>
        </is>
      </c>
      <c r="J24" s="66" t="inlineStr">
        <is>
          <t>Component-level VTS and reporting allocation not checked separately.</t>
        </is>
      </c>
    </row>
    <row r="25" ht="60" customHeight="1" s="63">
      <c r="A25" s="66" t="inlineStr">
        <is>
          <t>TSS-0057-C3</t>
        </is>
      </c>
      <c r="B25" s="66" t="inlineStr">
        <is>
          <t>TSS-0057</t>
        </is>
      </c>
      <c r="C25" s="66" t="inlineStr">
        <is>
          <t>East Friesland</t>
        </is>
      </c>
      <c r="D25" s="66" t="n"/>
      <c r="E25" s="66" t="n"/>
      <c r="F25" s="66" t="inlineStr">
        <is>
          <t>Part named in adoption or authority source (first pass)</t>
        </is>
      </c>
      <c r="G25" s="66" t="inlineStr">
        <is>
          <t>Non-additive structural part (lane, approach, precautionary area or sub-scheme). Not a separate TSS in any count until confirmed as a distinct scheme.</t>
        </is>
      </c>
      <c r="H25" s="66" t="inlineStr">
        <is>
          <t>SRC-025; SRC-026; SRC-037; SRC-038</t>
        </is>
      </c>
      <c r="I25" s="67" t="inlineStr">
        <is>
          <t>https://www.vimawa.gov.vn/f/Circ%2066.pdf
https://mindev.gov.ua/storage/app/sites/1/uploaded-files/colreg2-circ66-corr1-corrigendum-secretariat.pdf
https://kustwacht.nl/hulpverlening/vtm/
https://kustwacht.nl/maritieme-organisaties/verkeerscentrales/</t>
        </is>
      </c>
      <c r="J25" s="66" t="inlineStr">
        <is>
          <t>Component-level VTS and reporting allocation not checked separately.</t>
        </is>
      </c>
    </row>
    <row r="26" ht="60" customHeight="1" s="63">
      <c r="A26" s="66" t="inlineStr">
        <is>
          <t>TSS-0073-C1</t>
        </is>
      </c>
      <c r="B26" s="66" t="inlineStr">
        <is>
          <t>TSS-0073</t>
        </is>
      </c>
      <c r="C26" s="66" t="inlineStr">
        <is>
          <t>In the North Adriatic Sea - Eastern part</t>
        </is>
      </c>
      <c r="D26" s="66" t="n"/>
      <c r="E26" s="66" t="inlineStr">
        <is>
          <t>SRS-016</t>
        </is>
      </c>
      <c r="F26" s="66" t="inlineStr">
        <is>
          <t>Part named in adoption or authority source (first pass)</t>
        </is>
      </c>
      <c r="G26" s="66" t="inlineStr">
        <is>
          <t>Non-additive structural part (lane, approach, precautionary area or sub-scheme). Not a separate TSS in any count until confirmed as a distinct scheme.</t>
        </is>
      </c>
      <c r="H26" s="66" t="inlineStr">
        <is>
          <t>SRC-054; SRC-058; SRC-065</t>
        </is>
      </c>
      <c r="I26" s="67"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J26" s="66" t="inlineStr">
        <is>
          <t>Component-level VTS and reporting allocation not checked separately.</t>
        </is>
      </c>
    </row>
    <row r="27" ht="60" customHeight="1" s="63">
      <c r="A27" s="66" t="inlineStr">
        <is>
          <t>TSS-0073-C2</t>
        </is>
      </c>
      <c r="B27" s="66" t="inlineStr">
        <is>
          <t>TSS-0073</t>
        </is>
      </c>
      <c r="C27" s="66" t="inlineStr">
        <is>
          <t>In the North Adriatic Sea - Western part</t>
        </is>
      </c>
      <c r="D27" s="66" t="n"/>
      <c r="E27" s="66" t="inlineStr">
        <is>
          <t>SRS-016</t>
        </is>
      </c>
      <c r="F27" s="66" t="inlineStr">
        <is>
          <t>Part named in adoption or authority source (first pass)</t>
        </is>
      </c>
      <c r="G27" s="66" t="inlineStr">
        <is>
          <t>Non-additive structural part (lane, approach, precautionary area or sub-scheme). Not a separate TSS in any count until confirmed as a distinct scheme.</t>
        </is>
      </c>
      <c r="H27" s="66" t="inlineStr">
        <is>
          <t>SRC-054; SRC-058; SRC-065</t>
        </is>
      </c>
      <c r="I27" s="67"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J27" s="66" t="inlineStr">
        <is>
          <t>Component-level VTS and reporting allocation not checked separately.</t>
        </is>
      </c>
    </row>
    <row r="28" ht="60" customHeight="1" s="63">
      <c r="A28" s="66" t="inlineStr">
        <is>
          <t>TSS-0073-C3</t>
        </is>
      </c>
      <c r="B28" s="66" t="inlineStr">
        <is>
          <t>TSS-0073</t>
        </is>
      </c>
      <c r="C28" s="66" t="inlineStr">
        <is>
          <t>Precautionary area at the southern limits</t>
        </is>
      </c>
      <c r="D28" s="66" t="n"/>
      <c r="E28" s="66" t="inlineStr">
        <is>
          <t>SRS-016</t>
        </is>
      </c>
      <c r="F28" s="66" t="inlineStr">
        <is>
          <t>Part named in adoption or authority source (first pass)</t>
        </is>
      </c>
      <c r="G28" s="66" t="inlineStr">
        <is>
          <t>Non-additive structural part (lane, approach, precautionary area or sub-scheme). Not a separate TSS in any count until confirmed as a distinct scheme.</t>
        </is>
      </c>
      <c r="H28" s="66" t="inlineStr">
        <is>
          <t>SRC-054; SRC-058; SRC-065</t>
        </is>
      </c>
      <c r="I28" s="67" t="inlineStr">
        <is>
          <t>https://www.transportstyrelsen.se/globalassets/global/sjofart/dokument/sjotrafik_dok/imo_colreg.2_cirkular.pdf?id=58526
https://wwwcdn.imo.org/localresources/en/KnowledgeCentre/IndexofIMOResolutions/MSCResolutions/MSC.598(111).pdf
https://www.hhi.hr/Portals/0/adam/HHI/a14_Qn4yJECeVbpwF_KLag/CouponFiles/VTS_RS_2015.pdf</t>
        </is>
      </c>
      <c r="J28" s="66" t="inlineStr">
        <is>
          <t>Component-level VTS and reporting allocation not checked separately.</t>
        </is>
      </c>
    </row>
    <row r="29" ht="60" customHeight="1" s="63">
      <c r="A29" s="66" t="inlineStr">
        <is>
          <t>TSS-0076-C1</t>
        </is>
      </c>
      <c r="B29" s="66" t="inlineStr">
        <is>
          <t>TSS-0076</t>
        </is>
      </c>
      <c r="C29" s="66" t="inlineStr">
        <is>
          <t>In the Gulf of Trieste</t>
        </is>
      </c>
      <c r="D29" s="66" t="inlineStr">
        <is>
          <t>VTS-030; VTS-031</t>
        </is>
      </c>
      <c r="E29" s="66" t="inlineStr">
        <is>
          <t>SRS-016</t>
        </is>
      </c>
      <c r="F29" s="66" t="inlineStr">
        <is>
          <t>Part named in adoption or authority source (first pass)</t>
        </is>
      </c>
      <c r="G29" s="66" t="inlineStr">
        <is>
          <t>Non-additive structural part (lane, approach, precautionary area or sub-scheme). Not a separate TSS in any count until confirmed as a distinct scheme.</t>
        </is>
      </c>
      <c r="H29" s="66" t="inlineStr">
        <is>
          <t>SRC-054; SRC-058; SRC-060; SRC-061</t>
        </is>
      </c>
      <c r="I29" s="67" t="inlineStr">
        <is>
          <t>https://www.transportstyrelsen.se/globalassets/global/sjofart/dokument/sjotrafik_dok/imo_colreg.2_cirkular.pdf?id=58526
https://wwwcdn.imo.org/localresources/en/KnowledgeCentre/IndexofIMOResolutions/MSCResolutions/MSC.598(111).pdf
https://www.gov.si/assets/organi-v-sestavi/URSP/Dokumenti/VTS/Koper-VTS-Users-Manual.pdf
https://www.guardiacostiera.gov.it/portale/documents/d/guest/it_trieste_manuale_utentevts</t>
        </is>
      </c>
      <c r="J29" s="66" t="inlineStr">
        <is>
          <t>Component-level VTS and reporting allocation not checked separately.</t>
        </is>
      </c>
    </row>
    <row r="30" ht="60" customHeight="1" s="63">
      <c r="A30" s="66" t="inlineStr">
        <is>
          <t>TSS-0076-C2</t>
        </is>
      </c>
      <c r="B30" s="66" t="inlineStr">
        <is>
          <t>TSS-0076</t>
        </is>
      </c>
      <c r="C30" s="66" t="inlineStr">
        <is>
          <t>Approaches to/from Koper</t>
        </is>
      </c>
      <c r="D30" s="66" t="inlineStr">
        <is>
          <t>VTS-030; VTS-031</t>
        </is>
      </c>
      <c r="E30" s="66" t="inlineStr">
        <is>
          <t>SRS-016</t>
        </is>
      </c>
      <c r="F30" s="66" t="inlineStr">
        <is>
          <t>Part named in adoption or authority source (first pass)</t>
        </is>
      </c>
      <c r="G30" s="66" t="inlineStr">
        <is>
          <t>Non-additive structural part (lane, approach, precautionary area or sub-scheme). Not a separate TSS in any count until confirmed as a distinct scheme.</t>
        </is>
      </c>
      <c r="H30" s="66" t="inlineStr">
        <is>
          <t>SRC-054; SRC-058; SRC-060; SRC-061</t>
        </is>
      </c>
      <c r="I30" s="67" t="inlineStr">
        <is>
          <t>https://www.transportstyrelsen.se/globalassets/global/sjofart/dokument/sjotrafik_dok/imo_colreg.2_cirkular.pdf?id=58526
https://wwwcdn.imo.org/localresources/en/KnowledgeCentre/IndexofIMOResolutions/MSCResolutions/MSC.598(111).pdf
https://www.gov.si/assets/organi-v-sestavi/URSP/Dokumenti/VTS/Koper-VTS-Users-Manual.pdf
https://www.guardiacostiera.gov.it/portale/documents/d/guest/it_trieste_manuale_utentevts</t>
        </is>
      </c>
      <c r="J30" s="66" t="inlineStr">
        <is>
          <t>Component-level VTS and reporting allocation not checked separately.</t>
        </is>
      </c>
    </row>
    <row r="31" ht="60" customHeight="1" s="63">
      <c r="A31" s="66" t="inlineStr">
        <is>
          <t>TSS-0076-C3</t>
        </is>
      </c>
      <c r="B31" s="66" t="inlineStr">
        <is>
          <t>TSS-0076</t>
        </is>
      </c>
      <c r="C31" s="66" t="inlineStr">
        <is>
          <t>Precautionary area in the Gulf of Trieste</t>
        </is>
      </c>
      <c r="D31" s="66" t="inlineStr">
        <is>
          <t>VTS-030; VTS-031</t>
        </is>
      </c>
      <c r="E31" s="66" t="inlineStr">
        <is>
          <t>SRS-016</t>
        </is>
      </c>
      <c r="F31" s="66" t="inlineStr">
        <is>
          <t>Part named in adoption or authority source (first pass)</t>
        </is>
      </c>
      <c r="G31" s="66" t="inlineStr">
        <is>
          <t>Non-additive structural part (lane, approach, precautionary area or sub-scheme). Not a separate TSS in any count until confirmed as a distinct scheme.</t>
        </is>
      </c>
      <c r="H31" s="66" t="inlineStr">
        <is>
          <t>SRC-054; SRC-058; SRC-060; SRC-061</t>
        </is>
      </c>
      <c r="I31" s="67" t="inlineStr">
        <is>
          <t>https://www.transportstyrelsen.se/globalassets/global/sjofart/dokument/sjotrafik_dok/imo_colreg.2_cirkular.pdf?id=58526
https://wwwcdn.imo.org/localresources/en/KnowledgeCentre/IndexofIMOResolutions/MSCResolutions/MSC.598(111).pdf
https://www.gov.si/assets/organi-v-sestavi/URSP/Dokumenti/VTS/Koper-VTS-Users-Manual.pdf
https://www.guardiacostiera.gov.it/portale/documents/d/guest/it_trieste_manuale_utentevts</t>
        </is>
      </c>
      <c r="J31" s="66" t="inlineStr">
        <is>
          <t>Component-level VTS and reporting allocation not checked separately.</t>
        </is>
      </c>
    </row>
    <row r="32" ht="60" customHeight="1" s="63">
      <c r="A32" s="66" t="inlineStr">
        <is>
          <t>TSS-0081-C1</t>
        </is>
      </c>
      <c r="B32" s="66" t="inlineStr">
        <is>
          <t>TSS-0081</t>
        </is>
      </c>
      <c r="C32" s="66" t="inlineStr">
        <is>
          <t>Strait of Istanbul (COLREG.2/Circ.40 item .3)</t>
        </is>
      </c>
      <c r="D32" s="66" t="inlineStr">
        <is>
          <t>VTS-034</t>
        </is>
      </c>
      <c r="E32" s="66" t="inlineStr">
        <is>
          <t>SRS-017</t>
        </is>
      </c>
      <c r="F32" s="66" t="inlineStr">
        <is>
          <t>Part named in adoption or authority source (first pass)</t>
        </is>
      </c>
      <c r="G32" s="66" t="inlineStr">
        <is>
          <t>Non-additive structural part (lane, approach, precautionary area or sub-scheme). Not a separate TSS in any count until confirmed as a distinct scheme.</t>
        </is>
      </c>
      <c r="H32" s="66" t="inlineStr">
        <is>
          <t>SRC-066; SRC-070; SRC-071; SRC-072; SRC-073; SRC-054</t>
        </is>
      </c>
      <c r="I32" s="67"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J32" s="66" t="inlineStr">
        <is>
          <t>Component-level VTS and reporting allocation not checked separately.</t>
        </is>
      </c>
    </row>
    <row r="33" ht="60" customHeight="1" s="63">
      <c r="A33" s="66" t="inlineStr">
        <is>
          <t>TSS-0081-C2</t>
        </is>
      </c>
      <c r="B33" s="66" t="inlineStr">
        <is>
          <t>TSS-0081</t>
        </is>
      </c>
      <c r="C33" s="66" t="inlineStr">
        <is>
          <t>Possible overlap with Strait of Istanbul - North Approach (item .2), not listed separately in this group</t>
        </is>
      </c>
      <c r="D33" s="66" t="inlineStr">
        <is>
          <t>VTS-034</t>
        </is>
      </c>
      <c r="E33" s="66" t="inlineStr">
        <is>
          <t>SRS-017</t>
        </is>
      </c>
      <c r="F33" s="66" t="inlineStr">
        <is>
          <t>Part named in adoption or authority source (first pass)</t>
        </is>
      </c>
      <c r="G33" s="66" t="inlineStr">
        <is>
          <t>Non-additive structural part (lane, approach, precautionary area or sub-scheme). Not a separate TSS in any count until confirmed as a distinct scheme.</t>
        </is>
      </c>
      <c r="H33" s="66" t="inlineStr">
        <is>
          <t>SRC-066; SRC-070; SRC-071; SRC-072; SRC-073; SRC-054</t>
        </is>
      </c>
      <c r="I33" s="67"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J33" s="66" t="inlineStr">
        <is>
          <t>Component-level VTS and reporting allocation not checked separately.</t>
        </is>
      </c>
    </row>
    <row r="34" ht="60" customHeight="1" s="63">
      <c r="A34" s="66" t="inlineStr">
        <is>
          <t>TSS-0082-C1</t>
        </is>
      </c>
      <c r="B34" s="66" t="inlineStr">
        <is>
          <t>TSS-0082</t>
        </is>
      </c>
      <c r="C34" s="66" t="inlineStr">
        <is>
          <t>Istanbul Strait southern approach</t>
        </is>
      </c>
      <c r="D34" s="66" t="inlineStr">
        <is>
          <t>VTS-034</t>
        </is>
      </c>
      <c r="E34" s="66" t="inlineStr">
        <is>
          <t>SRS-017</t>
        </is>
      </c>
      <c r="F34" s="66" t="inlineStr">
        <is>
          <t>Part named in adoption or authority source (first pass)</t>
        </is>
      </c>
      <c r="G34" s="66" t="inlineStr">
        <is>
          <t>Non-additive structural part (lane, approach, precautionary area or sub-scheme). Not a separate TSS in any count until confirmed as a distinct scheme.</t>
        </is>
      </c>
      <c r="H34" s="66" t="inlineStr">
        <is>
          <t>SRC-066; SRC-070; SRC-071; SRC-072; SRC-073; SRC-054</t>
        </is>
      </c>
      <c r="I34" s="67"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J34" s="66" t="inlineStr">
        <is>
          <t>Component-level VTS and reporting allocation not checked separately.</t>
        </is>
      </c>
    </row>
    <row r="35" ht="60" customHeight="1" s="63">
      <c r="A35" s="66" t="inlineStr">
        <is>
          <t>TSS-0082-C2</t>
        </is>
      </c>
      <c r="B35" s="66" t="inlineStr">
        <is>
          <t>TSS-0082</t>
        </is>
      </c>
      <c r="C35" s="66" t="inlineStr">
        <is>
          <t>Marmara Sea TSS</t>
        </is>
      </c>
      <c r="D35" s="66" t="inlineStr">
        <is>
          <t>VTS-034</t>
        </is>
      </c>
      <c r="E35" s="66" t="inlineStr">
        <is>
          <t>SRS-017</t>
        </is>
      </c>
      <c r="F35" s="66" t="inlineStr">
        <is>
          <t>Part named in adoption or authority source (first pass)</t>
        </is>
      </c>
      <c r="G35" s="66" t="inlineStr">
        <is>
          <t>Non-additive structural part (lane, approach, precautionary area or sub-scheme). Not a separate TSS in any count until confirmed as a distinct scheme.</t>
        </is>
      </c>
      <c r="H35" s="66" t="inlineStr">
        <is>
          <t>SRC-066; SRC-070; SRC-071; SRC-072; SRC-073; SRC-054</t>
        </is>
      </c>
      <c r="I35" s="67" t="inlineStr">
        <is>
          <t>https://kiyiemniyeti.gov.tr/vessel_traffic_and_pilotage_services
https://www.kiyiemniyeti.gov.tr/gemi_trafik_ve_kilavuzluk_hizmeti
https://denizcilik.uab.gov.tr/uploads/pages/yonerge-talimat/tbdtduy.pdf
https://wwwcdn.imo.org/localresources/en/KnowledgeCentre/IndexofIMOResolutions/AssemblyDocuments/A.827(19).pdf
https://media.ellinikahoaxes.gr/uploads/2021/03/TURK-BOGAZLARI-DENIZ-TRAFIK-DUZENI-YONETMELIGI-INGILIZCE-2019.pdf
https://www.transportstyrelsen.se/globalassets/global/sjofart/dokument/sjotrafik_dok/imo_colreg.2_cirkular.pdf?id=58526</t>
        </is>
      </c>
      <c r="J35" s="66" t="inlineStr">
        <is>
          <t>Component-level VTS and reporting allocation not checked separately.</t>
        </is>
      </c>
    </row>
    <row r="36" ht="60" customHeight="1" s="63">
      <c r="A36" s="66" t="inlineStr">
        <is>
          <t>TSS-0087-C1</t>
        </is>
      </c>
      <c r="B36" s="66" t="inlineStr">
        <is>
          <t>TSS-0087</t>
        </is>
      </c>
      <c r="C36" s="66" t="inlineStr">
        <is>
          <t>Sevastopol Harbour Approach (Routeing System No.9)</t>
        </is>
      </c>
      <c r="D36" s="66" t="n"/>
      <c r="E36" s="66" t="n"/>
      <c r="F36" s="66" t="inlineStr">
        <is>
          <t>Part named in adoption or authority source (first pass)</t>
        </is>
      </c>
      <c r="G36" s="66" t="inlineStr">
        <is>
          <t>Non-additive structural part (lane, approach, precautionary area or sub-scheme). Not a separate TSS in any count until confirmed as a distinct scheme.</t>
        </is>
      </c>
      <c r="H36" s="66" t="inlineStr">
        <is>
          <t>SRC-049; SRC-078; SRC-079</t>
        </is>
      </c>
      <c r="I36" s="67" t="inlineStr">
        <is>
          <t>https://cimrc.shmtu.edu.cn/_upload/article/files/63/dc/35c66be74d12873254dc88a2ef00/25e2ceb4-d2d9-4cf2-b55b-cdb3d56001b5.pdf
https://iho.int/uploads/user/Inter-Regional%20Coordination/RHC/MBSHC/BASWG/BASWG15/StatementOnMSI_Ukraine.pdf
https://marina.gov.ph/wp-content/uploads/2022/03/Circular-Letter-No.4508-Communication-From-The-Government-Of-Ukraine-Secretariat1.pdf</t>
        </is>
      </c>
      <c r="J36" s="66" t="inlineStr">
        <is>
          <t>Component-level VTS and reporting allocation not checked separately.</t>
        </is>
      </c>
    </row>
    <row r="37" ht="60" customHeight="1" s="63">
      <c r="A37" s="66" t="inlineStr">
        <is>
          <t>TSS-0087-C2</t>
        </is>
      </c>
      <c r="B37" s="66" t="inlineStr">
        <is>
          <t>TSS-0087</t>
        </is>
      </c>
      <c r="C37" s="66" t="inlineStr">
        <is>
          <t>From Cape Khersones to Cape Aitodor (Routeing System No.3)</t>
        </is>
      </c>
      <c r="D37" s="66" t="n"/>
      <c r="E37" s="66" t="n"/>
      <c r="F37" s="66" t="inlineStr">
        <is>
          <t>Part named in adoption or authority source (first pass)</t>
        </is>
      </c>
      <c r="G37" s="66" t="inlineStr">
        <is>
          <t>Non-additive structural part (lane, approach, precautionary area or sub-scheme). Not a separate TSS in any count until confirmed as a distinct scheme.</t>
        </is>
      </c>
      <c r="H37" s="66" t="inlineStr">
        <is>
          <t>SRC-049; SRC-078; SRC-079</t>
        </is>
      </c>
      <c r="I37" s="67" t="inlineStr">
        <is>
          <t>https://cimrc.shmtu.edu.cn/_upload/article/files/63/dc/35c66be74d12873254dc88a2ef00/25e2ceb4-d2d9-4cf2-b55b-cdb3d56001b5.pdf
https://iho.int/uploads/user/Inter-Regional%20Coordination/RHC/MBSHC/BASWG/BASWG15/StatementOnMSI_Ukraine.pdf
https://marina.gov.ph/wp-content/uploads/2022/03/Circular-Letter-No.4508-Communication-From-The-Government-Of-Ukraine-Secretariat1.pdf</t>
        </is>
      </c>
      <c r="J37" s="66" t="inlineStr">
        <is>
          <t>Component-level VTS and reporting allocation not checked separately.</t>
        </is>
      </c>
    </row>
    <row r="38" ht="60" customHeight="1" s="63">
      <c r="A38" s="66" t="inlineStr">
        <is>
          <t>TSS-0089-C1</t>
        </is>
      </c>
      <c r="B38" s="66" t="inlineStr">
        <is>
          <t>TSS-0089</t>
        </is>
      </c>
      <c r="C38" s="66" t="inlineStr">
        <is>
          <t>Western Approach to Mina Dumyat</t>
        </is>
      </c>
      <c r="D38" s="66" t="n"/>
      <c r="E38" s="66" t="n"/>
      <c r="F38" s="66" t="inlineStr">
        <is>
          <t>Part named in adoption or authority source (first pass)</t>
        </is>
      </c>
      <c r="G38" s="66" t="inlineStr">
        <is>
          <t>Non-additive structural part (lane, approach, precautionary area or sub-scheme). Not a separate TSS in any count until confirmed as a distinct scheme.</t>
        </is>
      </c>
      <c r="H38" s="66" t="inlineStr">
        <is>
          <t>SRC-041</t>
        </is>
      </c>
      <c r="I38" s="67" t="inlineStr">
        <is>
          <t>https://cimrc.shmtu.edu.cn/_upload/article/files/63/dc/35c66be74d12873254dc88a2ef00/a4f3f58b-c400-41cb-858b-89dccee63151.pdf</t>
        </is>
      </c>
      <c r="J38" s="66" t="inlineStr">
        <is>
          <t>Component-level VTS and reporting allocation not checked separately.</t>
        </is>
      </c>
    </row>
    <row r="39" ht="60" customHeight="1" s="63">
      <c r="A39" s="66" t="inlineStr">
        <is>
          <t>TSS-0089-C2</t>
        </is>
      </c>
      <c r="B39" s="66" t="inlineStr">
        <is>
          <t>TSS-0089</t>
        </is>
      </c>
      <c r="C39" s="66" t="inlineStr">
        <is>
          <t>Precautionary area north Dumyat</t>
        </is>
      </c>
      <c r="D39" s="66" t="n"/>
      <c r="E39" s="66" t="n"/>
      <c r="F39" s="66" t="inlineStr">
        <is>
          <t>Part named in adoption or authority source (first pass)</t>
        </is>
      </c>
      <c r="G39" s="66" t="inlineStr">
        <is>
          <t>Non-additive structural part (lane, approach, precautionary area or sub-scheme). Not a separate TSS in any count until confirmed as a distinct scheme.</t>
        </is>
      </c>
      <c r="H39" s="66" t="inlineStr">
        <is>
          <t>SRC-041</t>
        </is>
      </c>
      <c r="I39" s="67" t="inlineStr">
        <is>
          <t>https://cimrc.shmtu.edu.cn/_upload/article/files/63/dc/35c66be74d12873254dc88a2ef00/a4f3f58b-c400-41cb-858b-89dccee63151.pdf</t>
        </is>
      </c>
      <c r="J39" s="66" t="inlineStr">
        <is>
          <t>Component-level VTS and reporting allocation not checked separately.</t>
        </is>
      </c>
    </row>
    <row r="40" ht="60" customHeight="1" s="63">
      <c r="A40" s="66" t="inlineStr">
        <is>
          <t>TSS-0089-C3</t>
        </is>
      </c>
      <c r="B40" s="66" t="inlineStr">
        <is>
          <t>TSS-0089</t>
        </is>
      </c>
      <c r="C40" s="66" t="inlineStr">
        <is>
          <t>Eastern Approaches to Mina Dumyat</t>
        </is>
      </c>
      <c r="D40" s="66" t="n"/>
      <c r="E40" s="66" t="n"/>
      <c r="F40" s="66" t="inlineStr">
        <is>
          <t>Part named in adoption or authority source (first pass)</t>
        </is>
      </c>
      <c r="G40" s="66" t="inlineStr">
        <is>
          <t>Non-additive structural part (lane, approach, precautionary area or sub-scheme). Not a separate TSS in any count until confirmed as a distinct scheme.</t>
        </is>
      </c>
      <c r="H40" s="66" t="inlineStr">
        <is>
          <t>SRC-041</t>
        </is>
      </c>
      <c r="I40" s="67" t="inlineStr">
        <is>
          <t>https://cimrc.shmtu.edu.cn/_upload/article/files/63/dc/35c66be74d12873254dc88a2ef00/a4f3f58b-c400-41cb-858b-89dccee63151.pdf</t>
        </is>
      </c>
      <c r="J40" s="66" t="inlineStr">
        <is>
          <t>Component-level VTS and reporting allocation not checked separately.</t>
        </is>
      </c>
    </row>
    <row r="41" ht="60" customHeight="1" s="63">
      <c r="A41" s="66" t="inlineStr">
        <is>
          <t>TSS-0089-C4</t>
        </is>
      </c>
      <c r="B41" s="66" t="inlineStr">
        <is>
          <t>TSS-0089</t>
        </is>
      </c>
      <c r="C41" s="66" t="inlineStr">
        <is>
          <t>Western Approaches to Bur Said</t>
        </is>
      </c>
      <c r="D41" s="66" t="n"/>
      <c r="E41" s="66" t="n"/>
      <c r="F41" s="66" t="inlineStr">
        <is>
          <t>Part named in adoption or authority source (first pass)</t>
        </is>
      </c>
      <c r="G41" s="66" t="inlineStr">
        <is>
          <t>Non-additive structural part (lane, approach, precautionary area or sub-scheme). Not a separate TSS in any count until confirmed as a distinct scheme.</t>
        </is>
      </c>
      <c r="H41" s="66" t="inlineStr">
        <is>
          <t>SRC-041</t>
        </is>
      </c>
      <c r="I41" s="67" t="inlineStr">
        <is>
          <t>https://cimrc.shmtu.edu.cn/_upload/article/files/63/dc/35c66be74d12873254dc88a2ef00/a4f3f58b-c400-41cb-858b-89dccee63151.pdf</t>
        </is>
      </c>
      <c r="J41" s="66" t="inlineStr">
        <is>
          <t>Component-level VTS and reporting allocation not checked separately.</t>
        </is>
      </c>
    </row>
    <row r="42" ht="60" customHeight="1" s="63">
      <c r="A42" s="66" t="inlineStr">
        <is>
          <t>TSS-0089-C5</t>
        </is>
      </c>
      <c r="B42" s="66" t="inlineStr">
        <is>
          <t>TSS-0089</t>
        </is>
      </c>
      <c r="C42" s="66" t="inlineStr">
        <is>
          <t>Eastern Approach to Bur Said</t>
        </is>
      </c>
      <c r="D42" s="66" t="n"/>
      <c r="E42" s="66" t="n"/>
      <c r="F42" s="66" t="inlineStr">
        <is>
          <t>Part named in adoption or authority source (first pass)</t>
        </is>
      </c>
      <c r="G42" s="66" t="inlineStr">
        <is>
          <t>Non-additive structural part (lane, approach, precautionary area or sub-scheme). Not a separate TSS in any count until confirmed as a distinct scheme.</t>
        </is>
      </c>
      <c r="H42" s="66" t="inlineStr">
        <is>
          <t>SRC-041</t>
        </is>
      </c>
      <c r="I42" s="67" t="inlineStr">
        <is>
          <t>https://cimrc.shmtu.edu.cn/_upload/article/files/63/dc/35c66be74d12873254dc88a2ef00/a4f3f58b-c400-41cb-858b-89dccee63151.pdf</t>
        </is>
      </c>
      <c r="J42" s="66" t="inlineStr">
        <is>
          <t>Component-level VTS and reporting allocation not checked separately.</t>
        </is>
      </c>
    </row>
    <row r="43" ht="60" customHeight="1" s="63">
      <c r="A43" s="66" t="inlineStr">
        <is>
          <t>TSS-0089-C6</t>
        </is>
      </c>
      <c r="B43" s="66" t="inlineStr">
        <is>
          <t>TSS-0089</t>
        </is>
      </c>
      <c r="C43" s="66" t="inlineStr">
        <is>
          <t>Precautionary area north west Bur Said</t>
        </is>
      </c>
      <c r="D43" s="66" t="n"/>
      <c r="E43" s="66" t="n"/>
      <c r="F43" s="66" t="inlineStr">
        <is>
          <t>Part named in adoption or authority source (first pass)</t>
        </is>
      </c>
      <c r="G43" s="66" t="inlineStr">
        <is>
          <t>Non-additive structural part (lane, approach, precautionary area or sub-scheme). Not a separate TSS in any count until confirmed as a distinct scheme.</t>
        </is>
      </c>
      <c r="H43" s="66" t="inlineStr">
        <is>
          <t>SRC-041</t>
        </is>
      </c>
      <c r="I43" s="67" t="inlineStr">
        <is>
          <t>https://cimrc.shmtu.edu.cn/_upload/article/files/63/dc/35c66be74d12873254dc88a2ef00/a4f3f58b-c400-41cb-858b-89dccee63151.pdf</t>
        </is>
      </c>
      <c r="J43" s="66" t="inlineStr">
        <is>
          <t>Component-level VTS and reporting allocation not checked separately.</t>
        </is>
      </c>
    </row>
    <row r="44" ht="60" customHeight="1" s="63">
      <c r="A44" s="66" t="inlineStr">
        <is>
          <t>TSS-0100-C1</t>
        </is>
      </c>
      <c r="B44" s="66" t="inlineStr">
        <is>
          <t>TSS-0100</t>
        </is>
      </c>
      <c r="C44" s="66" t="inlineStr">
        <is>
          <t>Westbound traffic lane (north of Jaz-Tunb/Jaz-Farur)</t>
        </is>
      </c>
      <c r="D44" s="66" t="n"/>
      <c r="E44" s="66" t="n"/>
      <c r="F44" s="66" t="inlineStr">
        <is>
          <t>Part named in adoption or authority source (first pass)</t>
        </is>
      </c>
      <c r="G44" s="66" t="inlineStr">
        <is>
          <t>Non-additive structural part (lane, approach, precautionary area or sub-scheme). Not a separate TSS in any count until confirmed as a distinct scheme.</t>
        </is>
      </c>
      <c r="H44" s="66" t="inlineStr">
        <is>
          <t>SRC-086; SRC-091</t>
        </is>
      </c>
      <c r="I44" s="67" t="inlineStr">
        <is>
          <t>https://wwwcdn.imo.org/localresources/en/KnowledgeCentre/IndexofIMOResolutions/AssemblyDocuments/A.284(8).pdf
https://www.liscr.com/marketing/liscr/media/liscr/online%20library/maritime/msb-14_2026.pdf</t>
        </is>
      </c>
      <c r="J44" s="66" t="inlineStr">
        <is>
          <t>Component-level VTS and reporting allocation not checked separately.</t>
        </is>
      </c>
    </row>
    <row r="45" ht="60" customHeight="1" s="63">
      <c r="A45" s="66" t="inlineStr">
        <is>
          <t>TSS-0100-C2</t>
        </is>
      </c>
      <c r="B45" s="66" t="inlineStr">
        <is>
          <t>TSS-0100</t>
        </is>
      </c>
      <c r="C45" s="66" t="inlineStr">
        <is>
          <t>Eastbound traffic lane (south of the islands)</t>
        </is>
      </c>
      <c r="D45" s="66" t="n"/>
      <c r="E45" s="66" t="n"/>
      <c r="F45" s="66" t="inlineStr">
        <is>
          <t>Part named in adoption or authority source (first pass)</t>
        </is>
      </c>
      <c r="G45" s="66" t="inlineStr">
        <is>
          <t>Non-additive structural part (lane, approach, precautionary area or sub-scheme). Not a separate TSS in any count until confirmed as a distinct scheme.</t>
        </is>
      </c>
      <c r="H45" s="66" t="inlineStr">
        <is>
          <t>SRC-086; SRC-091</t>
        </is>
      </c>
      <c r="I45" s="67" t="inlineStr">
        <is>
          <t>https://wwwcdn.imo.org/localresources/en/KnowledgeCentre/IndexofIMOResolutions/AssemblyDocuments/A.284(8).pdf
https://www.liscr.com/marketing/liscr/media/liscr/online%20library/maritime/msb-14_2026.pdf</t>
        </is>
      </c>
      <c r="J45" s="66" t="inlineStr">
        <is>
          <t>Component-level VTS and reporting allocation not checked separately.</t>
        </is>
      </c>
    </row>
    <row r="46" ht="60" customHeight="1" s="63">
      <c r="A46" s="66" t="inlineStr">
        <is>
          <t>TSS-0102-C1</t>
        </is>
      </c>
      <c r="B46" s="66" t="inlineStr">
        <is>
          <t>TSS-0102</t>
        </is>
      </c>
      <c r="C46" s="66" t="inlineStr">
        <is>
          <t>Part I: Ras Tanura Approach</t>
        </is>
      </c>
      <c r="D46" s="66" t="n"/>
      <c r="E46" s="66" t="n"/>
      <c r="F46" s="66" t="inlineStr">
        <is>
          <t>Part named in adoption or authority source (first pass)</t>
        </is>
      </c>
      <c r="G46" s="66" t="inlineStr">
        <is>
          <t>Non-additive structural part (lane, approach, precautionary area or sub-scheme). Not a separate TSS in any count until confirmed as a distinct scheme.</t>
        </is>
      </c>
      <c r="H46" s="66" t="inlineStr">
        <is>
          <t>SRC-086; SRC-087; SRC-091</t>
        </is>
      </c>
      <c r="I46" s="67" t="inlineStr">
        <is>
          <t>https://wwwcdn.imo.org/localresources/en/KnowledgeCentre/IndexofIMOResolutions/AssemblyDocuments/A.284(8).pdf
https://wwwcdn.imo.org/localresources/en/KnowledgeCentre/IndexofIMOResolutions/AssemblyDocuments/A.338%289%29.pdf
https://www.liscr.com/marketing/liscr/media/liscr/online%20library/maritime/msb-14_2026.pdf</t>
        </is>
      </c>
      <c r="J46" s="66" t="inlineStr">
        <is>
          <t>Component-level VTS and reporting allocation not checked separately.</t>
        </is>
      </c>
    </row>
    <row r="47" ht="60" customHeight="1" s="63">
      <c r="A47" s="66" t="inlineStr">
        <is>
          <t>TSS-0102-C2</t>
        </is>
      </c>
      <c r="B47" s="66" t="inlineStr">
        <is>
          <t>TSS-0102</t>
        </is>
      </c>
      <c r="C47" s="66" t="inlineStr">
        <is>
          <t>Part II: Ju'aymah Approach</t>
        </is>
      </c>
      <c r="D47" s="66" t="n"/>
      <c r="E47" s="66" t="n"/>
      <c r="F47" s="66" t="inlineStr">
        <is>
          <t>Part named in adoption or authority source (first pass)</t>
        </is>
      </c>
      <c r="G47" s="66" t="inlineStr">
        <is>
          <t>Non-additive structural part (lane, approach, precautionary area or sub-scheme). Not a separate TSS in any count until confirmed as a distinct scheme.</t>
        </is>
      </c>
      <c r="H47" s="66" t="inlineStr">
        <is>
          <t>SRC-086; SRC-087; SRC-091</t>
        </is>
      </c>
      <c r="I47" s="67" t="inlineStr">
        <is>
          <t>https://wwwcdn.imo.org/localresources/en/KnowledgeCentre/IndexofIMOResolutions/AssemblyDocuments/A.284(8).pdf
https://wwwcdn.imo.org/localresources/en/KnowledgeCentre/IndexofIMOResolutions/AssemblyDocuments/A.338%289%29.pdf
https://www.liscr.com/marketing/liscr/media/liscr/online%20library/maritime/msb-14_2026.pdf</t>
        </is>
      </c>
      <c r="J47" s="66" t="inlineStr">
        <is>
          <t>Component-level VTS and reporting allocation not checked separately.</t>
        </is>
      </c>
    </row>
    <row r="48" ht="60" customHeight="1" s="63">
      <c r="A48" s="66" t="inlineStr">
        <is>
          <t>TSS-0102-C3</t>
        </is>
      </c>
      <c r="B48" s="66" t="inlineStr">
        <is>
          <t>TSS-0102</t>
        </is>
      </c>
      <c r="C48" s="66" t="inlineStr">
        <is>
          <t>Part III: Ju'aymah Departure</t>
        </is>
      </c>
      <c r="D48" s="66" t="n"/>
      <c r="E48" s="66" t="n"/>
      <c r="F48" s="66" t="inlineStr">
        <is>
          <t>Part named in adoption or authority source (first pass)</t>
        </is>
      </c>
      <c r="G48" s="66" t="inlineStr">
        <is>
          <t>Non-additive structural part (lane, approach, precautionary area or sub-scheme). Not a separate TSS in any count until confirmed as a distinct scheme.</t>
        </is>
      </c>
      <c r="H48" s="66" t="inlineStr">
        <is>
          <t>SRC-086; SRC-087; SRC-091</t>
        </is>
      </c>
      <c r="I48" s="67" t="inlineStr">
        <is>
          <t>https://wwwcdn.imo.org/localresources/en/KnowledgeCentre/IndexofIMOResolutions/AssemblyDocuments/A.284(8).pdf
https://wwwcdn.imo.org/localresources/en/KnowledgeCentre/IndexofIMOResolutions/AssemblyDocuments/A.338%289%29.pdf
https://www.liscr.com/marketing/liscr/media/liscr/online%20library/maritime/msb-14_2026.pdf</t>
        </is>
      </c>
      <c r="J48" s="66" t="inlineStr">
        <is>
          <t>Component-level VTS and reporting allocation not checked separately.</t>
        </is>
      </c>
    </row>
    <row r="49" ht="60" customHeight="1" s="63">
      <c r="A49" s="66" t="inlineStr">
        <is>
          <t>TSS-0105-C1</t>
        </is>
      </c>
      <c r="B49" s="66" t="inlineStr">
        <is>
          <t>TSS-0105</t>
        </is>
      </c>
      <c r="C49" s="66" t="inlineStr">
        <is>
          <t>North Scheme I</t>
        </is>
      </c>
      <c r="D49" s="66" t="n"/>
      <c r="E49" s="66" t="n"/>
      <c r="F49" s="66" t="inlineStr">
        <is>
          <t>Part named in adoption or authority source (first pass)</t>
        </is>
      </c>
      <c r="G49" s="66" t="inlineStr">
        <is>
          <t>Non-additive structural part (lane, approach, precautionary area or sub-scheme). Not a separate TSS in any count until confirmed as a distinct scheme.</t>
        </is>
      </c>
      <c r="H49" s="66" t="inlineStr">
        <is>
          <t>SRC-054; SRC-091</t>
        </is>
      </c>
      <c r="I49" s="67" t="inlineStr">
        <is>
          <t>https://www.transportstyrelsen.se/globalassets/global/sjofart/dokument/sjotrafik_dok/imo_colreg.2_cirkular.pdf?id=58526
https://www.liscr.com/marketing/liscr/media/liscr/online%20library/maritime/msb-14_2026.pdf</t>
        </is>
      </c>
      <c r="J49" s="66" t="inlineStr">
        <is>
          <t>Component-level VTS and reporting allocation not checked separately.</t>
        </is>
      </c>
    </row>
    <row r="50" ht="60" customHeight="1" s="63">
      <c r="A50" s="66" t="inlineStr">
        <is>
          <t>TSS-0105-C2</t>
        </is>
      </c>
      <c r="B50" s="66" t="inlineStr">
        <is>
          <t>TSS-0105</t>
        </is>
      </c>
      <c r="C50" s="66" t="inlineStr">
        <is>
          <t>North Scheme II</t>
        </is>
      </c>
      <c r="D50" s="66" t="n"/>
      <c r="E50" s="66" t="n"/>
      <c r="F50" s="66" t="inlineStr">
        <is>
          <t>Part named in adoption or authority source (first pass)</t>
        </is>
      </c>
      <c r="G50" s="66" t="inlineStr">
        <is>
          <t>Non-additive structural part (lane, approach, precautionary area or sub-scheme). Not a separate TSS in any count until confirmed as a distinct scheme.</t>
        </is>
      </c>
      <c r="H50" s="66" t="inlineStr">
        <is>
          <t>SRC-054; SRC-091</t>
        </is>
      </c>
      <c r="I50" s="67" t="inlineStr">
        <is>
          <t>https://www.transportstyrelsen.se/globalassets/global/sjofart/dokument/sjotrafik_dok/imo_colreg.2_cirkular.pdf?id=58526
https://www.liscr.com/marketing/liscr/media/liscr/online%20library/maritime/msb-14_2026.pdf</t>
        </is>
      </c>
      <c r="J50" s="66" t="inlineStr">
        <is>
          <t>Component-level VTS and reporting allocation not checked separately.</t>
        </is>
      </c>
    </row>
    <row r="51" ht="60" customHeight="1" s="63">
      <c r="A51" s="66" t="inlineStr">
        <is>
          <t>TSS-0105-C3</t>
        </is>
      </c>
      <c r="B51" s="66" t="inlineStr">
        <is>
          <t>TSS-0105</t>
        </is>
      </c>
      <c r="C51" s="66" t="inlineStr">
        <is>
          <t>The South Scheme</t>
        </is>
      </c>
      <c r="D51" s="66" t="n"/>
      <c r="E51" s="66" t="n"/>
      <c r="F51" s="66" t="inlineStr">
        <is>
          <t>Part named in adoption or authority source (first pass)</t>
        </is>
      </c>
      <c r="G51" s="66" t="inlineStr">
        <is>
          <t>Non-additive structural part (lane, approach, precautionary area or sub-scheme). Not a separate TSS in any count until confirmed as a distinct scheme.</t>
        </is>
      </c>
      <c r="H51" s="66" t="inlineStr">
        <is>
          <t>SRC-054; SRC-091</t>
        </is>
      </c>
      <c r="I51" s="67" t="inlineStr">
        <is>
          <t>https://www.transportstyrelsen.se/globalassets/global/sjofart/dokument/sjotrafik_dok/imo_colreg.2_cirkular.pdf?id=58526
https://www.liscr.com/marketing/liscr/media/liscr/online%20library/maritime/msb-14_2026.pdf</t>
        </is>
      </c>
      <c r="J51" s="66" t="inlineStr">
        <is>
          <t>Component-level VTS and reporting allocation not checked separately.</t>
        </is>
      </c>
    </row>
    <row r="52" ht="60" customHeight="1" s="63">
      <c r="A52" s="66" t="inlineStr">
        <is>
          <t>TSS-0126-C1</t>
        </is>
      </c>
      <c r="B52" s="66" t="inlineStr">
        <is>
          <t>TSS-0126</t>
        </is>
      </c>
      <c r="C52" s="66" t="inlineStr">
        <is>
          <t>Off Cape Leeuwin</t>
        </is>
      </c>
      <c r="D52" s="66" t="n"/>
      <c r="E52" s="66" t="inlineStr">
        <is>
          <t>SRS-023</t>
        </is>
      </c>
      <c r="F52" s="66" t="inlineStr">
        <is>
          <t>Part named in adoption or authority source (first pass)</t>
        </is>
      </c>
      <c r="G52" s="66" t="inlineStr">
        <is>
          <t>Non-additive structural part (lane, approach, precautionary area or sub-scheme). Not a separate TSS in any count until confirmed as a distinct scheme.</t>
        </is>
      </c>
      <c r="H52" s="66" t="inlineStr">
        <is>
          <t>SRC-109; SRC-110</t>
        </is>
      </c>
      <c r="I52" s="67" t="inlineStr">
        <is>
          <t>https://www.amsa.gov.au/safety-navigation/navigating-coastal-waters/offshore-oil-and-gas-exploration
https://www.amsa.gov.au/safety-navigation/navigation-systems/modernised-australian-ship-tracking-and-reporting-system</t>
        </is>
      </c>
      <c r="J52" s="66" t="inlineStr">
        <is>
          <t>Component-level VTS and reporting allocation not checked separately.</t>
        </is>
      </c>
    </row>
    <row r="53" ht="60" customHeight="1" s="63">
      <c r="A53" s="66" t="inlineStr">
        <is>
          <t>TSS-0126-C2</t>
        </is>
      </c>
      <c r="B53" s="66" t="inlineStr">
        <is>
          <t>TSS-0126</t>
        </is>
      </c>
      <c r="C53" s="66" t="inlineStr">
        <is>
          <t>Off Chatham Island</t>
        </is>
      </c>
      <c r="D53" s="66" t="n"/>
      <c r="E53" s="66" t="inlineStr">
        <is>
          <t>SRS-023</t>
        </is>
      </c>
      <c r="F53" s="66" t="inlineStr">
        <is>
          <t>Part named in adoption or authority source (first pass)</t>
        </is>
      </c>
      <c r="G53" s="66" t="inlineStr">
        <is>
          <t>Non-additive structural part (lane, approach, precautionary area or sub-scheme). Not a separate TSS in any count until confirmed as a distinct scheme.</t>
        </is>
      </c>
      <c r="H53" s="66" t="inlineStr">
        <is>
          <t>SRC-109; SRC-110</t>
        </is>
      </c>
      <c r="I53" s="67" t="inlineStr">
        <is>
          <t>https://www.amsa.gov.au/safety-navigation/navigating-coastal-waters/offshore-oil-and-gas-exploration
https://www.amsa.gov.au/safety-navigation/navigation-systems/modernised-australian-ship-tracking-and-reporting-system</t>
        </is>
      </c>
      <c r="J53" s="66" t="inlineStr">
        <is>
          <t>Component-level VTS and reporting allocation not checked separately.</t>
        </is>
      </c>
    </row>
    <row r="54" ht="60" customHeight="1" s="63">
      <c r="A54" s="66" t="inlineStr">
        <is>
          <t>TSS-0129-C1</t>
        </is>
      </c>
      <c r="B54" s="66" t="inlineStr">
        <is>
          <t>TSS-0129</t>
        </is>
      </c>
      <c r="C54" s="66" t="inlineStr">
        <is>
          <t>Prince William Sound TSS</t>
        </is>
      </c>
      <c r="D54" s="66" t="inlineStr">
        <is>
          <t>VTS-009</t>
        </is>
      </c>
      <c r="E54" s="66" t="n"/>
      <c r="F54" s="66" t="inlineStr">
        <is>
          <t>Part named in adoption or authority source (first pass)</t>
        </is>
      </c>
      <c r="G54" s="66" t="inlineStr">
        <is>
          <t>Non-additive structural part (lane, approach, precautionary area or sub-scheme). Not a separate TSS in any count until confirmed as a distinct scheme.</t>
        </is>
      </c>
      <c r="H54" s="66" t="inlineStr">
        <is>
          <t>SRC-111; SRC-112; SRC-113</t>
        </is>
      </c>
      <c r="I54" s="67" t="inlineStr">
        <is>
          <t>https://www.ecfr.gov/current/title-33/part-161/section-161.60
https://www.ecfr.gov/current/title-33/part-167/section-167.1700
https://www.ecfr.gov/current/title-33/part-161/section-161.12</t>
        </is>
      </c>
      <c r="J54" s="66" t="inlineStr">
        <is>
          <t>Component-level VTS and reporting allocation not checked separately.</t>
        </is>
      </c>
    </row>
    <row r="55" ht="60" customHeight="1" s="63">
      <c r="A55" s="66" t="inlineStr">
        <is>
          <t>TSS-0129-C2</t>
        </is>
      </c>
      <c r="B55" s="66" t="inlineStr">
        <is>
          <t>TSS-0129</t>
        </is>
      </c>
      <c r="C55" s="66" t="inlineStr">
        <is>
          <t>Valdez Arm TSS</t>
        </is>
      </c>
      <c r="D55" s="66" t="inlineStr">
        <is>
          <t>VTS-009</t>
        </is>
      </c>
      <c r="E55" s="66" t="n"/>
      <c r="F55" s="66" t="inlineStr">
        <is>
          <t>Part named in adoption or authority source (first pass)</t>
        </is>
      </c>
      <c r="G55" s="66" t="inlineStr">
        <is>
          <t>Non-additive structural part (lane, approach, precautionary area or sub-scheme). Not a separate TSS in any count until confirmed as a distinct scheme.</t>
        </is>
      </c>
      <c r="H55" s="66" t="inlineStr">
        <is>
          <t>SRC-111; SRC-112; SRC-113</t>
        </is>
      </c>
      <c r="I55" s="67" t="inlineStr">
        <is>
          <t>https://www.ecfr.gov/current/title-33/part-161/section-161.60
https://www.ecfr.gov/current/title-33/part-167/section-167.1700
https://www.ecfr.gov/current/title-33/part-161/section-161.12</t>
        </is>
      </c>
      <c r="J55" s="66" t="inlineStr">
        <is>
          <t>Component-level VTS and reporting allocation not checked separately.</t>
        </is>
      </c>
    </row>
    <row r="56" ht="60" customHeight="1" s="63">
      <c r="A56" s="66" t="inlineStr">
        <is>
          <t>TSS-0129-C3</t>
        </is>
      </c>
      <c r="B56" s="66" t="inlineStr">
        <is>
          <t>TSS-0129</t>
        </is>
      </c>
      <c r="C56" s="66" t="inlineStr">
        <is>
          <t>Cape Hinchinbrook precautionary area</t>
        </is>
      </c>
      <c r="D56" s="66" t="inlineStr">
        <is>
          <t>VTS-009</t>
        </is>
      </c>
      <c r="E56" s="66" t="n"/>
      <c r="F56" s="66" t="inlineStr">
        <is>
          <t>Part named in adoption or authority source (first pass)</t>
        </is>
      </c>
      <c r="G56" s="66" t="inlineStr">
        <is>
          <t>Non-additive structural part (lane, approach, precautionary area or sub-scheme). Not a separate TSS in any count until confirmed as a distinct scheme.</t>
        </is>
      </c>
      <c r="H56" s="66" t="inlineStr">
        <is>
          <t>SRC-111; SRC-112; SRC-113</t>
        </is>
      </c>
      <c r="I56" s="67" t="inlineStr">
        <is>
          <t>https://www.ecfr.gov/current/title-33/part-161/section-161.60
https://www.ecfr.gov/current/title-33/part-167/section-167.1700
https://www.ecfr.gov/current/title-33/part-161/section-161.12</t>
        </is>
      </c>
      <c r="J56" s="66" t="inlineStr">
        <is>
          <t>Component-level VTS and reporting allocation not checked separately.</t>
        </is>
      </c>
    </row>
    <row r="57" ht="60" customHeight="1" s="63">
      <c r="A57" s="66" t="inlineStr">
        <is>
          <t>TSS-0129-C4</t>
        </is>
      </c>
      <c r="B57" s="66" t="inlineStr">
        <is>
          <t>TSS-0129</t>
        </is>
      </c>
      <c r="C57" s="66" t="inlineStr">
        <is>
          <t>Bligh Reef precautionary area</t>
        </is>
      </c>
      <c r="D57" s="66" t="inlineStr">
        <is>
          <t>VTS-009</t>
        </is>
      </c>
      <c r="E57" s="66" t="n"/>
      <c r="F57" s="66" t="inlineStr">
        <is>
          <t>Part named in adoption or authority source (first pass)</t>
        </is>
      </c>
      <c r="G57" s="66" t="inlineStr">
        <is>
          <t>Non-additive structural part (lane, approach, precautionary area or sub-scheme). Not a separate TSS in any count until confirmed as a distinct scheme.</t>
        </is>
      </c>
      <c r="H57" s="66" t="inlineStr">
        <is>
          <t>SRC-111; SRC-112; SRC-113</t>
        </is>
      </c>
      <c r="I57" s="67" t="inlineStr">
        <is>
          <t>https://www.ecfr.gov/current/title-33/part-161/section-161.60
https://www.ecfr.gov/current/title-33/part-167/section-167.1700
https://www.ecfr.gov/current/title-33/part-161/section-161.12</t>
        </is>
      </c>
      <c r="J57" s="66" t="inlineStr">
        <is>
          <t>Component-level VTS and reporting allocation not checked separately.</t>
        </is>
      </c>
    </row>
    <row r="58" ht="60" customHeight="1" s="63">
      <c r="A58" s="66" t="inlineStr">
        <is>
          <t>TSS-0130-C1</t>
        </is>
      </c>
      <c r="B58" s="66" t="inlineStr">
        <is>
          <t>TSS-0130</t>
        </is>
      </c>
      <c r="C58" s="66" t="inlineStr">
        <is>
          <t>Approaches to the Strait of Juan de Fuca (western approach, southwestern approach, precautionary area JF)</t>
        </is>
      </c>
      <c r="D58" s="66" t="inlineStr">
        <is>
          <t>VTS-010; VTS-048</t>
        </is>
      </c>
      <c r="E58" s="66" t="n"/>
      <c r="F58" s="66" t="inlineStr">
        <is>
          <t>Part named in adoption or authority source (first pass)</t>
        </is>
      </c>
      <c r="G58" s="66" t="inlineStr">
        <is>
          <t>Non-additive structural part (lane, approach, precautionary area or sub-scheme). Not a separate TSS in any count until confirmed as a distinct scheme.</t>
        </is>
      </c>
      <c r="H58" s="66" t="inlineStr">
        <is>
          <t>SRC-113; SRC-114; SRC-115; SRC-116</t>
        </is>
      </c>
      <c r="I58" s="67" t="inlineStr">
        <is>
          <t>https://www.ecfr.gov/current/title-33/part-161/section-161.12
https://www.ecfr.gov/current/title-33/part-161/section-161.55
https://www.ecfr.gov/current/title-33/part-167/section-167.1300
https://laws-lois.justice.gc.ca/eng/regulations/SOR-2025-275/FullText.html</t>
        </is>
      </c>
      <c r="J58" s="66" t="inlineStr">
        <is>
          <t>Component-level VTS and reporting allocation not checked separately.</t>
        </is>
      </c>
    </row>
    <row r="59" ht="60" customHeight="1" s="63">
      <c r="A59" s="66" t="inlineStr">
        <is>
          <t>TSS-0130-C2</t>
        </is>
      </c>
      <c r="B59" s="66" t="inlineStr">
        <is>
          <t>TSS-0130</t>
        </is>
      </c>
      <c r="C59" s="66" t="inlineStr">
        <is>
          <t>Strait of Juan de Fuca (western, southern, northern, eastern lanes, precautionary area PA)</t>
        </is>
      </c>
      <c r="D59" s="66" t="inlineStr">
        <is>
          <t>VTS-010; VTS-048</t>
        </is>
      </c>
      <c r="E59" s="66" t="n"/>
      <c r="F59" s="66" t="inlineStr">
        <is>
          <t>Part named in adoption or authority source (first pass)</t>
        </is>
      </c>
      <c r="G59" s="66" t="inlineStr">
        <is>
          <t>Non-additive structural part (lane, approach, precautionary area or sub-scheme). Not a separate TSS in any count until confirmed as a distinct scheme.</t>
        </is>
      </c>
      <c r="H59" s="66" t="inlineStr">
        <is>
          <t>SRC-113; SRC-114; SRC-115; SRC-116</t>
        </is>
      </c>
      <c r="I59" s="67" t="inlineStr">
        <is>
          <t>https://www.ecfr.gov/current/title-33/part-161/section-161.12
https://www.ecfr.gov/current/title-33/part-161/section-161.55
https://www.ecfr.gov/current/title-33/part-167/section-167.1300
https://laws-lois.justice.gc.ca/eng/regulations/SOR-2025-275/FullText.html</t>
        </is>
      </c>
      <c r="J59" s="66" t="inlineStr">
        <is>
          <t>Component-level VTS and reporting allocation not checked separately.</t>
        </is>
      </c>
    </row>
    <row r="60" ht="60" customHeight="1" s="63">
      <c r="A60" s="66" t="inlineStr">
        <is>
          <t>TSS-0131-C1</t>
        </is>
      </c>
      <c r="B60" s="66" t="inlineStr">
        <is>
          <t>TSS-0131</t>
        </is>
      </c>
      <c r="C60" s="66" t="inlineStr">
        <is>
          <t>Rosario Strait</t>
        </is>
      </c>
      <c r="D60" s="66" t="inlineStr">
        <is>
          <t>VTS-010; VTS-048</t>
        </is>
      </c>
      <c r="E60" s="66" t="n"/>
      <c r="F60" s="66" t="inlineStr">
        <is>
          <t>Part named in adoption or authority source (first pass)</t>
        </is>
      </c>
      <c r="G60" s="66" t="inlineStr">
        <is>
          <t>Non-additive structural part (lane, approach, precautionary area or sub-scheme). Not a separate TSS in any count until confirmed as a distinct scheme.</t>
        </is>
      </c>
      <c r="H60" s="66" t="inlineStr">
        <is>
          <t>SRC-117; SRC-118; SRC-119; SRC-054; SRC-017; SRC-123</t>
        </is>
      </c>
      <c r="I60" s="67" t="inlineStr">
        <is>
          <t>https://www.ecfr.gov/api/versioner/v1/full/2026-09-01/title-33.xml?part=161
https://www.ecfr.gov/api/versioner/v1/full/2026-09-01/title-33.xml?part=167
https://www.canada.ca/content/dam/ccg-gcc/documents/publications/mcts-sctm/ramn-arnm-2026-eng.pdf
https://www.transportstyrelsen.se/globalassets/global/sjofart/dokument/sjotrafik_dok/imo_colreg.2_cirkular.pdf?id=58526
https://www.navcen.uscg.gov/vessel-traffic-services-locations
https://laws-lois.justice.gc.ca/eng/regulations/SOR-89-98/FullText.html</t>
        </is>
      </c>
      <c r="J60" s="66" t="inlineStr">
        <is>
          <t>Component-level VTS and reporting allocation not checked separately.</t>
        </is>
      </c>
    </row>
    <row r="61" ht="60" customHeight="1" s="63">
      <c r="A61" s="66" t="inlineStr">
        <is>
          <t>TSS-0131-C2</t>
        </is>
      </c>
      <c r="B61" s="66" t="inlineStr">
        <is>
          <t>TSS-0131</t>
        </is>
      </c>
      <c r="C61" s="66" t="inlineStr">
        <is>
          <t>Approaches to Puget Sound other than Rosario Strait</t>
        </is>
      </c>
      <c r="D61" s="66" t="inlineStr">
        <is>
          <t>VTS-010; VTS-048</t>
        </is>
      </c>
      <c r="E61" s="66" t="n"/>
      <c r="F61" s="66" t="inlineStr">
        <is>
          <t>Part named in adoption or authority source (first pass)</t>
        </is>
      </c>
      <c r="G61" s="66" t="inlineStr">
        <is>
          <t>Non-additive structural part (lane, approach, precautionary area or sub-scheme). Not a separate TSS in any count until confirmed as a distinct scheme.</t>
        </is>
      </c>
      <c r="H61" s="66" t="inlineStr">
        <is>
          <t>SRC-117; SRC-118; SRC-119; SRC-054; SRC-017; SRC-123</t>
        </is>
      </c>
      <c r="I61" s="67" t="inlineStr">
        <is>
          <t>https://www.ecfr.gov/api/versioner/v1/full/2026-09-01/title-33.xml?part=161
https://www.ecfr.gov/api/versioner/v1/full/2026-09-01/title-33.xml?part=167
https://www.canada.ca/content/dam/ccg-gcc/documents/publications/mcts-sctm/ramn-arnm-2026-eng.pdf
https://www.transportstyrelsen.se/globalassets/global/sjofart/dokument/sjotrafik_dok/imo_colreg.2_cirkular.pdf?id=58526
https://www.navcen.uscg.gov/vessel-traffic-services-locations
https://laws-lois.justice.gc.ca/eng/regulations/SOR-89-98/FullText.html</t>
        </is>
      </c>
      <c r="J61" s="66" t="inlineStr">
        <is>
          <t>Component-level VTS and reporting allocation not checked separately.</t>
        </is>
      </c>
    </row>
    <row r="62" ht="60" customHeight="1" s="63">
      <c r="A62" s="66" t="inlineStr">
        <is>
          <t>TSS-0131-C3</t>
        </is>
      </c>
      <c r="B62" s="66" t="inlineStr">
        <is>
          <t>TSS-0131</t>
        </is>
      </c>
      <c r="C62" s="66" t="inlineStr">
        <is>
          <t>Puget Sound</t>
        </is>
      </c>
      <c r="D62" s="66" t="inlineStr">
        <is>
          <t>VTS-010; VTS-048</t>
        </is>
      </c>
      <c r="E62" s="66" t="n"/>
      <c r="F62" s="66" t="inlineStr">
        <is>
          <t>Part named in adoption or authority source (first pass)</t>
        </is>
      </c>
      <c r="G62" s="66" t="inlineStr">
        <is>
          <t>Non-additive structural part (lane, approach, precautionary area or sub-scheme). Not a separate TSS in any count until confirmed as a distinct scheme.</t>
        </is>
      </c>
      <c r="H62" s="66" t="inlineStr">
        <is>
          <t>SRC-117; SRC-118; SRC-119; SRC-054; SRC-017; SRC-123</t>
        </is>
      </c>
      <c r="I62" s="67" t="inlineStr">
        <is>
          <t>https://www.ecfr.gov/api/versioner/v1/full/2026-09-01/title-33.xml?part=161
https://www.ecfr.gov/api/versioner/v1/full/2026-09-01/title-33.xml?part=167
https://www.canada.ca/content/dam/ccg-gcc/documents/publications/mcts-sctm/ramn-arnm-2026-eng.pdf
https://www.transportstyrelsen.se/globalassets/global/sjofart/dokument/sjotrafik_dok/imo_colreg.2_cirkular.pdf?id=58526
https://www.navcen.uscg.gov/vessel-traffic-services-locations
https://laws-lois.justice.gc.ca/eng/regulations/SOR-89-98/FullText.html</t>
        </is>
      </c>
      <c r="J62" s="66" t="inlineStr">
        <is>
          <t>Component-level VTS and reporting allocation not checked separately.</t>
        </is>
      </c>
    </row>
    <row r="63" ht="60" customHeight="1" s="63">
      <c r="A63" s="66" t="inlineStr">
        <is>
          <t>TSS-0131-C4</t>
        </is>
      </c>
      <c r="B63" s="66" t="inlineStr">
        <is>
          <t>TSS-0131</t>
        </is>
      </c>
      <c r="C63" s="66" t="inlineStr">
        <is>
          <t>Haro Strait and Boundary Pass</t>
        </is>
      </c>
      <c r="D63" s="66" t="inlineStr">
        <is>
          <t>VTS-010; VTS-048</t>
        </is>
      </c>
      <c r="E63" s="66" t="n"/>
      <c r="F63" s="66" t="inlineStr">
        <is>
          <t>Part named in adoption or authority source (first pass)</t>
        </is>
      </c>
      <c r="G63" s="66" t="inlineStr">
        <is>
          <t>Non-additive structural part (lane, approach, precautionary area or sub-scheme). Not a separate TSS in any count until confirmed as a distinct scheme.</t>
        </is>
      </c>
      <c r="H63" s="66" t="inlineStr">
        <is>
          <t>SRC-117; SRC-118; SRC-119; SRC-054; SRC-017; SRC-123</t>
        </is>
      </c>
      <c r="I63" s="67" t="inlineStr">
        <is>
          <t>https://www.ecfr.gov/api/versioner/v1/full/2026-09-01/title-33.xml?part=161
https://www.ecfr.gov/api/versioner/v1/full/2026-09-01/title-33.xml?part=167
https://www.canada.ca/content/dam/ccg-gcc/documents/publications/mcts-sctm/ramn-arnm-2026-eng.pdf
https://www.transportstyrelsen.se/globalassets/global/sjofart/dokument/sjotrafik_dok/imo_colreg.2_cirkular.pdf?id=58526
https://www.navcen.uscg.gov/vessel-traffic-services-locations
https://laws-lois.justice.gc.ca/eng/regulations/SOR-89-98/FullText.html</t>
        </is>
      </c>
      <c r="J63" s="66" t="inlineStr">
        <is>
          <t>Component-level VTS and reporting allocation not checked separately.</t>
        </is>
      </c>
    </row>
    <row r="64" ht="60" customHeight="1" s="63">
      <c r="A64" s="66" t="inlineStr">
        <is>
          <t>TSS-0131-C5</t>
        </is>
      </c>
      <c r="B64" s="66" t="inlineStr">
        <is>
          <t>TSS-0131</t>
        </is>
      </c>
      <c r="C64" s="66" t="inlineStr">
        <is>
          <t>Strait of Georgia</t>
        </is>
      </c>
      <c r="D64" s="66" t="inlineStr">
        <is>
          <t>VTS-010; VTS-048</t>
        </is>
      </c>
      <c r="E64" s="66" t="n"/>
      <c r="F64" s="66" t="inlineStr">
        <is>
          <t>Part named in adoption or authority source (first pass)</t>
        </is>
      </c>
      <c r="G64" s="66" t="inlineStr">
        <is>
          <t>Non-additive structural part (lane, approach, precautionary area or sub-scheme). Not a separate TSS in any count until confirmed as a distinct scheme.</t>
        </is>
      </c>
      <c r="H64" s="66" t="inlineStr">
        <is>
          <t>SRC-117; SRC-118; SRC-119; SRC-054; SRC-017; SRC-123</t>
        </is>
      </c>
      <c r="I64" s="67" t="inlineStr">
        <is>
          <t>https://www.ecfr.gov/api/versioner/v1/full/2026-09-01/title-33.xml?part=161
https://www.ecfr.gov/api/versioner/v1/full/2026-09-01/title-33.xml?part=167
https://www.canada.ca/content/dam/ccg-gcc/documents/publications/mcts-sctm/ramn-arnm-2026-eng.pdf
https://www.transportstyrelsen.se/globalassets/global/sjofart/dokument/sjotrafik_dok/imo_colreg.2_cirkular.pdf?id=58526
https://www.navcen.uscg.gov/vessel-traffic-services-locations
https://laws-lois.justice.gc.ca/eng/regulations/SOR-89-98/FullText.html</t>
        </is>
      </c>
      <c r="J64" s="66" t="inlineStr">
        <is>
          <t>Component-level VTS and reporting allocation not checked separately.</t>
        </is>
      </c>
    </row>
    <row r="65" ht="60" customHeight="1" s="63">
      <c r="A65" s="66" t="inlineStr">
        <is>
          <t>TSS-0132-C1</t>
        </is>
      </c>
      <c r="B65" s="66" t="inlineStr">
        <is>
          <t>TSS-0132</t>
        </is>
      </c>
      <c r="C65" s="66" t="inlineStr">
        <is>
          <t>Precautionary area</t>
        </is>
      </c>
      <c r="D65" s="66" t="inlineStr">
        <is>
          <t>VTS-011</t>
        </is>
      </c>
      <c r="E65" s="66" t="n"/>
      <c r="F65" s="66" t="inlineStr">
        <is>
          <t>Part named in adoption or authority source (first pass)</t>
        </is>
      </c>
      <c r="G65" s="66" t="inlineStr">
        <is>
          <t>Non-additive structural part (lane, approach, precautionary area or sub-scheme). Not a separate TSS in any count until confirmed as a distinct scheme.</t>
        </is>
      </c>
      <c r="H65" s="66" t="inlineStr">
        <is>
          <t>SRC-017; SRC-117; SRC-118</t>
        </is>
      </c>
      <c r="I65" s="67" t="inlineStr">
        <is>
          <t>https://www.navcen.uscg.gov/vessel-traffic-services-locations
https://www.ecfr.gov/api/versioner/v1/full/2026-09-01/title-33.xml?part=161
https://www.ecfr.gov/api/versioner/v1/full/2026-09-01/title-33.xml?part=167</t>
        </is>
      </c>
      <c r="J65" s="66" t="inlineStr">
        <is>
          <t>Component-level VTS and reporting allocation not checked separately.</t>
        </is>
      </c>
    </row>
    <row r="66" ht="60" customHeight="1" s="63">
      <c r="A66" s="66" t="inlineStr">
        <is>
          <t>TSS-0132-C2</t>
        </is>
      </c>
      <c r="B66" s="66" t="inlineStr">
        <is>
          <t>TSS-0132</t>
        </is>
      </c>
      <c r="C66" s="66" t="inlineStr">
        <is>
          <t>Northern approach</t>
        </is>
      </c>
      <c r="D66" s="66" t="inlineStr">
        <is>
          <t>VTS-011</t>
        </is>
      </c>
      <c r="E66" s="66" t="n"/>
      <c r="F66" s="66" t="inlineStr">
        <is>
          <t>Part named in adoption or authority source (first pass)</t>
        </is>
      </c>
      <c r="G66" s="66" t="inlineStr">
        <is>
          <t>Non-additive structural part (lane, approach, precautionary area or sub-scheme). Not a separate TSS in any count until confirmed as a distinct scheme.</t>
        </is>
      </c>
      <c r="H66" s="66" t="inlineStr">
        <is>
          <t>SRC-017; SRC-117; SRC-118</t>
        </is>
      </c>
      <c r="I66" s="67" t="inlineStr">
        <is>
          <t>https://www.navcen.uscg.gov/vessel-traffic-services-locations
https://www.ecfr.gov/api/versioner/v1/full/2026-09-01/title-33.xml?part=161
https://www.ecfr.gov/api/versioner/v1/full/2026-09-01/title-33.xml?part=167</t>
        </is>
      </c>
      <c r="J66" s="66" t="inlineStr">
        <is>
          <t>Component-level VTS and reporting allocation not checked separately.</t>
        </is>
      </c>
    </row>
    <row r="67" ht="60" customHeight="1" s="63">
      <c r="A67" s="66" t="inlineStr">
        <is>
          <t>TSS-0132-C3</t>
        </is>
      </c>
      <c r="B67" s="66" t="inlineStr">
        <is>
          <t>TSS-0132</t>
        </is>
      </c>
      <c r="C67" s="66" t="inlineStr">
        <is>
          <t>Southern approach</t>
        </is>
      </c>
      <c r="D67" s="66" t="inlineStr">
        <is>
          <t>VTS-011</t>
        </is>
      </c>
      <c r="E67" s="66" t="n"/>
      <c r="F67" s="66" t="inlineStr">
        <is>
          <t>Part named in adoption or authority source (first pass)</t>
        </is>
      </c>
      <c r="G67" s="66" t="inlineStr">
        <is>
          <t>Non-additive structural part (lane, approach, precautionary area or sub-scheme). Not a separate TSS in any count until confirmed as a distinct scheme.</t>
        </is>
      </c>
      <c r="H67" s="66" t="inlineStr">
        <is>
          <t>SRC-017; SRC-117; SRC-118</t>
        </is>
      </c>
      <c r="I67" s="67" t="inlineStr">
        <is>
          <t>https://www.navcen.uscg.gov/vessel-traffic-services-locations
https://www.ecfr.gov/api/versioner/v1/full/2026-09-01/title-33.xml?part=161
https://www.ecfr.gov/api/versioner/v1/full/2026-09-01/title-33.xml?part=167</t>
        </is>
      </c>
      <c r="J67" s="66" t="inlineStr">
        <is>
          <t>Component-level VTS and reporting allocation not checked separately.</t>
        </is>
      </c>
    </row>
    <row r="68" ht="60" customHeight="1" s="63">
      <c r="A68" s="66" t="inlineStr">
        <is>
          <t>TSS-0132-C4</t>
        </is>
      </c>
      <c r="B68" s="66" t="inlineStr">
        <is>
          <t>TSS-0132</t>
        </is>
      </c>
      <c r="C68" s="66" t="inlineStr">
        <is>
          <t>Western approach</t>
        </is>
      </c>
      <c r="D68" s="66" t="inlineStr">
        <is>
          <t>VTS-011</t>
        </is>
      </c>
      <c r="E68" s="66" t="n"/>
      <c r="F68" s="66" t="inlineStr">
        <is>
          <t>Part named in adoption or authority source (first pass)</t>
        </is>
      </c>
      <c r="G68" s="66" t="inlineStr">
        <is>
          <t>Non-additive structural part (lane, approach, precautionary area or sub-scheme). Not a separate TSS in any count until confirmed as a distinct scheme.</t>
        </is>
      </c>
      <c r="H68" s="66" t="inlineStr">
        <is>
          <t>SRC-017; SRC-117; SRC-118</t>
        </is>
      </c>
      <c r="I68" s="67" t="inlineStr">
        <is>
          <t>https://www.navcen.uscg.gov/vessel-traffic-services-locations
https://www.ecfr.gov/api/versioner/v1/full/2026-09-01/title-33.xml?part=161
https://www.ecfr.gov/api/versioner/v1/full/2026-09-01/title-33.xml?part=167</t>
        </is>
      </c>
      <c r="J68" s="66" t="inlineStr">
        <is>
          <t>Component-level VTS and reporting allocation not checked separately.</t>
        </is>
      </c>
    </row>
    <row r="69" ht="60" customHeight="1" s="63">
      <c r="A69" s="66" t="inlineStr">
        <is>
          <t>TSS-0132-C5</t>
        </is>
      </c>
      <c r="B69" s="66" t="inlineStr">
        <is>
          <t>TSS-0132</t>
        </is>
      </c>
      <c r="C69" s="66" t="inlineStr">
        <is>
          <t>Main ship channel</t>
        </is>
      </c>
      <c r="D69" s="66" t="inlineStr">
        <is>
          <t>VTS-011</t>
        </is>
      </c>
      <c r="E69" s="66" t="n"/>
      <c r="F69" s="66" t="inlineStr">
        <is>
          <t>Part named in adoption or authority source (first pass)</t>
        </is>
      </c>
      <c r="G69" s="66" t="inlineStr">
        <is>
          <t>Non-additive structural part (lane, approach, precautionary area or sub-scheme). Not a separate TSS in any count until confirmed as a distinct scheme.</t>
        </is>
      </c>
      <c r="H69" s="66" t="inlineStr">
        <is>
          <t>SRC-017; SRC-117; SRC-118</t>
        </is>
      </c>
      <c r="I69" s="67" t="inlineStr">
        <is>
          <t>https://www.navcen.uscg.gov/vessel-traffic-services-locations
https://www.ecfr.gov/api/versioner/v1/full/2026-09-01/title-33.xml?part=161
https://www.ecfr.gov/api/versioner/v1/full/2026-09-01/title-33.xml?part=167</t>
        </is>
      </c>
      <c r="J69" s="66" t="inlineStr">
        <is>
          <t>Component-level VTS and reporting allocation not checked separately.</t>
        </is>
      </c>
    </row>
    <row r="70" ht="60" customHeight="1" s="63">
      <c r="A70" s="66" t="inlineStr">
        <is>
          <t>TSS-0132-C6</t>
        </is>
      </c>
      <c r="B70" s="66" t="inlineStr">
        <is>
          <t>TSS-0132</t>
        </is>
      </c>
      <c r="C70" s="66" t="inlineStr">
        <is>
          <t>Area to be avoided</t>
        </is>
      </c>
      <c r="D70" s="66" t="inlineStr">
        <is>
          <t>VTS-011</t>
        </is>
      </c>
      <c r="E70" s="66" t="n"/>
      <c r="F70" s="66" t="inlineStr">
        <is>
          <t>Part named in adoption or authority source (first pass)</t>
        </is>
      </c>
      <c r="G70" s="66" t="inlineStr">
        <is>
          <t>Non-additive structural part (lane, approach, precautionary area or sub-scheme). Not a separate TSS in any count until confirmed as a distinct scheme.</t>
        </is>
      </c>
      <c r="H70" s="66" t="inlineStr">
        <is>
          <t>SRC-017; SRC-117; SRC-118</t>
        </is>
      </c>
      <c r="I70" s="67" t="inlineStr">
        <is>
          <t>https://www.navcen.uscg.gov/vessel-traffic-services-locations
https://www.ecfr.gov/api/versioner/v1/full/2026-09-01/title-33.xml?part=161
https://www.ecfr.gov/api/versioner/v1/full/2026-09-01/title-33.xml?part=167</t>
        </is>
      </c>
      <c r="J70" s="66" t="inlineStr">
        <is>
          <t>Component-level VTS and reporting allocation not checked separately.</t>
        </is>
      </c>
    </row>
    <row r="71" ht="60" customHeight="1" s="63">
      <c r="A71" s="66" t="inlineStr">
        <is>
          <t>TSS-0133-C1</t>
        </is>
      </c>
      <c r="B71" s="66" t="inlineStr">
        <is>
          <t>TSS-0133</t>
        </is>
      </c>
      <c r="C71" s="66" t="inlineStr">
        <is>
          <t>In the Santa Barbara Channel (Point Vicente to Point Conception; Point Conception to Point Arguello)</t>
        </is>
      </c>
      <c r="D71" s="66" t="inlineStr">
        <is>
          <t>VTS-012</t>
        </is>
      </c>
      <c r="E71" s="66" t="n"/>
      <c r="F71" s="66" t="inlineStr">
        <is>
          <t>Part named in adoption or authority source (first pass)</t>
        </is>
      </c>
      <c r="G71" s="66" t="inlineStr">
        <is>
          <t>Non-additive structural part (lane, approach, precautionary area or sub-scheme). Not a separate TSS in any count until confirmed as a distinct scheme.</t>
        </is>
      </c>
      <c r="H71" s="66" t="inlineStr">
        <is>
          <t>SRC-017; SRC-117; SRC-118; SRC-054</t>
        </is>
      </c>
      <c r="I71" s="67" t="inlineStr">
        <is>
          <t>https://www.navcen.uscg.gov/vessel-traffic-services-locations
https://www.ecfr.gov/api/versioner/v1/full/2026-09-01/title-33.xml?part=161
https://www.ecfr.gov/api/versioner/v1/full/2026-09-01/title-33.xml?part=167
https://www.transportstyrelsen.se/globalassets/global/sjofart/dokument/sjotrafik_dok/imo_colreg.2_cirkular.pdf?id=58526</t>
        </is>
      </c>
      <c r="J71" s="66" t="inlineStr">
        <is>
          <t>Component-level VTS and reporting allocation not checked separately.</t>
        </is>
      </c>
    </row>
    <row r="72" ht="60" customHeight="1" s="63">
      <c r="A72" s="66" t="inlineStr">
        <is>
          <t>TSS-0133-C2</t>
        </is>
      </c>
      <c r="B72" s="66" t="inlineStr">
        <is>
          <t>TSS-0133</t>
        </is>
      </c>
      <c r="C72" s="66" t="inlineStr">
        <is>
          <t>In the approaches to Los Angeles-Long Beach (precautionary area, western approach, southern approach)</t>
        </is>
      </c>
      <c r="D72" s="66" t="inlineStr">
        <is>
          <t>VTS-012</t>
        </is>
      </c>
      <c r="E72" s="66" t="n"/>
      <c r="F72" s="66" t="inlineStr">
        <is>
          <t>Part named in adoption or authority source (first pass)</t>
        </is>
      </c>
      <c r="G72" s="66" t="inlineStr">
        <is>
          <t>Non-additive structural part (lane, approach, precautionary area or sub-scheme). Not a separate TSS in any count until confirmed as a distinct scheme.</t>
        </is>
      </c>
      <c r="H72" s="66" t="inlineStr">
        <is>
          <t>SRC-017; SRC-117; SRC-118; SRC-054</t>
        </is>
      </c>
      <c r="I72" s="67" t="inlineStr">
        <is>
          <t>https://www.navcen.uscg.gov/vessel-traffic-services-locations
https://www.ecfr.gov/api/versioner/v1/full/2026-09-01/title-33.xml?part=161
https://www.ecfr.gov/api/versioner/v1/full/2026-09-01/title-33.xml?part=167
https://www.transportstyrelsen.se/globalassets/global/sjofart/dokument/sjotrafik_dok/imo_colreg.2_cirkular.pdf?id=58526</t>
        </is>
      </c>
      <c r="J72" s="66" t="inlineStr">
        <is>
          <t>Component-level VTS and reporting allocation not checked separately.</t>
        </is>
      </c>
    </row>
    <row r="73" ht="60" customHeight="1" s="63">
      <c r="A73" s="66" t="inlineStr">
        <is>
          <t>TSS-0134-C1</t>
        </is>
      </c>
      <c r="B73" s="66" t="inlineStr">
        <is>
          <t>TSS-0134</t>
        </is>
      </c>
      <c r="C73" s="66" t="inlineStr">
        <is>
          <t>Part I South-western approach</t>
        </is>
      </c>
      <c r="D73" s="66" t="n"/>
      <c r="E73" s="66" t="n"/>
      <c r="F73" s="66" t="inlineStr">
        <is>
          <t>Part named in adoption or authority source (first pass)</t>
        </is>
      </c>
      <c r="G73" s="66" t="inlineStr">
        <is>
          <t>Non-additive structural part (lane, approach, precautionary area or sub-scheme). Not a separate TSS in any count until confirmed as a distinct scheme.</t>
        </is>
      </c>
      <c r="H73" s="66" t="inlineStr">
        <is>
          <t>SRC-054; SRC-072</t>
        </is>
      </c>
      <c r="I73" s="67" t="inlineStr">
        <is>
          <t>https://www.transportstyrelsen.se/globalassets/global/sjofart/dokument/sjotrafik_dok/imo_colreg.2_cirkular.pdf?id=58526
https://wwwcdn.imo.org/localresources/en/KnowledgeCentre/IndexofIMOResolutions/AssemblyDocuments/A.827(19).pdf</t>
        </is>
      </c>
      <c r="J73" s="66" t="inlineStr">
        <is>
          <t>Component-level VTS and reporting allocation not checked separately.</t>
        </is>
      </c>
    </row>
    <row r="74" ht="60" customHeight="1" s="63">
      <c r="A74" s="66" t="inlineStr">
        <is>
          <t>TSS-0134-C2</t>
        </is>
      </c>
      <c r="B74" s="66" t="inlineStr">
        <is>
          <t>TSS-0134</t>
        </is>
      </c>
      <c r="C74" s="66" t="inlineStr">
        <is>
          <t>Part II Southern approach</t>
        </is>
      </c>
      <c r="D74" s="66" t="n"/>
      <c r="E74" s="66" t="n"/>
      <c r="F74" s="66" t="inlineStr">
        <is>
          <t>Part named in adoption or authority source (first pass)</t>
        </is>
      </c>
      <c r="G74" s="66" t="inlineStr">
        <is>
          <t>Non-additive structural part (lane, approach, precautionary area or sub-scheme). Not a separate TSS in any count until confirmed as a distinct scheme.</t>
        </is>
      </c>
      <c r="H74" s="66" t="inlineStr">
        <is>
          <t>SRC-054; SRC-072</t>
        </is>
      </c>
      <c r="I74" s="67" t="inlineStr">
        <is>
          <t>https://www.transportstyrelsen.se/globalassets/global/sjofart/dokument/sjotrafik_dok/imo_colreg.2_cirkular.pdf?id=58526
https://wwwcdn.imo.org/localresources/en/KnowledgeCentre/IndexofIMOResolutions/AssemblyDocuments/A.827(19).pdf</t>
        </is>
      </c>
      <c r="J74" s="66" t="inlineStr">
        <is>
          <t>Component-level VTS and reporting allocation not checked separately.</t>
        </is>
      </c>
    </row>
    <row r="75" ht="60" customHeight="1" s="63">
      <c r="A75" s="66" t="inlineStr">
        <is>
          <t>TSS-0134-C3</t>
        </is>
      </c>
      <c r="B75" s="66" t="inlineStr">
        <is>
          <t>TSS-0134</t>
        </is>
      </c>
      <c r="C75" s="66" t="inlineStr">
        <is>
          <t>Associated precautionary area and areas to be avoided (A.827(19))</t>
        </is>
      </c>
      <c r="D75" s="66" t="n"/>
      <c r="E75" s="66" t="n"/>
      <c r="F75" s="66" t="inlineStr">
        <is>
          <t>Part named in adoption or authority source (first pass)</t>
        </is>
      </c>
      <c r="G75" s="66" t="inlineStr">
        <is>
          <t>Non-additive structural part (lane, approach, precautionary area or sub-scheme). Not a separate TSS in any count until confirmed as a distinct scheme.</t>
        </is>
      </c>
      <c r="H75" s="66" t="inlineStr">
        <is>
          <t>SRC-054; SRC-072</t>
        </is>
      </c>
      <c r="I75" s="67" t="inlineStr">
        <is>
          <t>https://www.transportstyrelsen.se/globalassets/global/sjofart/dokument/sjotrafik_dok/imo_colreg.2_cirkular.pdf?id=58526
https://wwwcdn.imo.org/localresources/en/KnowledgeCentre/IndexofIMOResolutions/AssemblyDocuments/A.827(19).pdf</t>
        </is>
      </c>
      <c r="J75" s="66" t="inlineStr">
        <is>
          <t>Component-level VTS and reporting allocation not checked separately.</t>
        </is>
      </c>
    </row>
    <row r="76" ht="60" customHeight="1" s="63">
      <c r="A76" s="66" t="inlineStr">
        <is>
          <t>TSS-0159-C1</t>
        </is>
      </c>
      <c r="B76" s="66" t="inlineStr">
        <is>
          <t>TSS-0159</t>
        </is>
      </c>
      <c r="C76" s="66" t="inlineStr">
        <is>
          <t>Part I: East Approach</t>
        </is>
      </c>
      <c r="D76" s="66" t="n"/>
      <c r="E76" s="66" t="n"/>
      <c r="F76" s="66" t="inlineStr">
        <is>
          <t>Part named in adoption or authority source (first pass)</t>
        </is>
      </c>
      <c r="G76" s="66" t="inlineStr">
        <is>
          <t>Non-additive structural part (lane, approach, precautionary area or sub-scheme). Not a separate TSS in any count until confirmed as a distinct scheme.</t>
        </is>
      </c>
      <c r="H76" s="66" t="inlineStr">
        <is>
          <t>SRC-054</t>
        </is>
      </c>
      <c r="I76" s="67" t="inlineStr">
        <is>
          <t>https://www.transportstyrelsen.se/globalassets/global/sjofart/dokument/sjotrafik_dok/imo_colreg.2_cirkular.pdf?id=58526</t>
        </is>
      </c>
      <c r="J76" s="66" t="inlineStr">
        <is>
          <t>Component-level VTS and reporting allocation not checked separately.</t>
        </is>
      </c>
    </row>
    <row r="77" ht="60" customHeight="1" s="63">
      <c r="A77" s="66" t="inlineStr">
        <is>
          <t>TSS-0159-C2</t>
        </is>
      </c>
      <c r="B77" s="66" t="inlineStr">
        <is>
          <t>TSS-0159</t>
        </is>
      </c>
      <c r="C77" s="66" t="inlineStr">
        <is>
          <t>Part II: North Approach</t>
        </is>
      </c>
      <c r="D77" s="66" t="n"/>
      <c r="E77" s="66" t="n"/>
      <c r="F77" s="66" t="inlineStr">
        <is>
          <t>Part named in adoption or authority source (first pass)</t>
        </is>
      </c>
      <c r="G77" s="66" t="inlineStr">
        <is>
          <t>Non-additive structural part (lane, approach, precautionary area or sub-scheme). Not a separate TSS in any count until confirmed as a distinct scheme.</t>
        </is>
      </c>
      <c r="H77" s="66" t="inlineStr">
        <is>
          <t>SRC-054</t>
        </is>
      </c>
      <c r="I77" s="67" t="inlineStr">
        <is>
          <t>https://www.transportstyrelsen.se/globalassets/global/sjofart/dokument/sjotrafik_dok/imo_colreg.2_cirkular.pdf?id=58526</t>
        </is>
      </c>
      <c r="J77" s="66" t="inlineStr">
        <is>
          <t>Component-level VTS and reporting allocation not checked separately.</t>
        </is>
      </c>
    </row>
    <row r="78" ht="60" customHeight="1" s="63">
      <c r="A78" s="66" t="inlineStr">
        <is>
          <t>TSS-0161-C1</t>
        </is>
      </c>
      <c r="B78" s="66" t="inlineStr">
        <is>
          <t>TSS-0161</t>
        </is>
      </c>
      <c r="C78" s="66" t="inlineStr">
        <is>
          <t>Part 1: Gulf of Panama</t>
        </is>
      </c>
      <c r="D78" s="66" t="n"/>
      <c r="E78" s="66" t="n"/>
      <c r="F78" s="66" t="inlineStr">
        <is>
          <t>Part named in adoption or authority source (first pass)</t>
        </is>
      </c>
      <c r="G78" s="66" t="inlineStr">
        <is>
          <t>Non-additive structural part (lane, approach, precautionary area or sub-scheme). Not a separate TSS in any count until confirmed as a distinct scheme.</t>
        </is>
      </c>
      <c r="H78" s="66" t="inlineStr">
        <is>
          <t>SRC-132; SRC-133; SRC-134</t>
        </is>
      </c>
      <c r="I78" s="67" t="inlineStr">
        <is>
          <t>https://www.panamashipregistry.com/wp-content/uploads/2019/08/COLREG-2-Circ-65.pdf
https://pancanal.com/wp-content/uploads/2026/04/ADV-24-2026-Speed-Restriction-in-Traffic-Separation-Scheme-on-the-Pacific-Approach-to-the-Panama-Canal.pdf
https://pancanal.com/wp-content/uploads/2021/08/N02-2026-Harbor-Operations_BMV.pdf</t>
        </is>
      </c>
      <c r="J78" s="66" t="inlineStr">
        <is>
          <t>Component-level VTS and reporting allocation not checked separately.</t>
        </is>
      </c>
    </row>
    <row r="79" ht="60" customHeight="1" s="63">
      <c r="A79" s="66" t="inlineStr">
        <is>
          <t>TSS-0161-C2</t>
        </is>
      </c>
      <c r="B79" s="66" t="inlineStr">
        <is>
          <t>TSS-0161</t>
        </is>
      </c>
      <c r="C79" s="66" t="inlineStr">
        <is>
          <t>Part 2: Punta Morro de Puercos</t>
        </is>
      </c>
      <c r="D79" s="66" t="n"/>
      <c r="E79" s="66" t="n"/>
      <c r="F79" s="66" t="inlineStr">
        <is>
          <t>Part named in adoption or authority source (first pass)</t>
        </is>
      </c>
      <c r="G79" s="66" t="inlineStr">
        <is>
          <t>Non-additive structural part (lane, approach, precautionary area or sub-scheme). Not a separate TSS in any count until confirmed as a distinct scheme.</t>
        </is>
      </c>
      <c r="H79" s="66" t="inlineStr">
        <is>
          <t>SRC-132; SRC-133; SRC-134</t>
        </is>
      </c>
      <c r="I79" s="67" t="inlineStr">
        <is>
          <t>https://www.panamashipregistry.com/wp-content/uploads/2019/08/COLREG-2-Circ-65.pdf
https://pancanal.com/wp-content/uploads/2026/04/ADV-24-2026-Speed-Restriction-in-Traffic-Separation-Scheme-on-the-Pacific-Approach-to-the-Panama-Canal.pdf
https://pancanal.com/wp-content/uploads/2021/08/N02-2026-Harbor-Operations_BMV.pdf</t>
        </is>
      </c>
      <c r="J79" s="66" t="inlineStr">
        <is>
          <t>Component-level VTS and reporting allocation not checked separately.</t>
        </is>
      </c>
    </row>
    <row r="80" ht="60" customHeight="1" s="63">
      <c r="A80" s="66" t="inlineStr">
        <is>
          <t>TSS-0161-C3</t>
        </is>
      </c>
      <c r="B80" s="66" t="inlineStr">
        <is>
          <t>TSS-0161</t>
        </is>
      </c>
      <c r="C80" s="66" t="inlineStr">
        <is>
          <t>Part 3: Off Isla Jicarita</t>
        </is>
      </c>
      <c r="D80" s="66" t="n"/>
      <c r="E80" s="66" t="n"/>
      <c r="F80" s="66" t="inlineStr">
        <is>
          <t>Part named in adoption or authority source (first pass)</t>
        </is>
      </c>
      <c r="G80" s="66" t="inlineStr">
        <is>
          <t>Non-additive structural part (lane, approach, precautionary area or sub-scheme). Not a separate TSS in any count until confirmed as a distinct scheme.</t>
        </is>
      </c>
      <c r="H80" s="66" t="inlineStr">
        <is>
          <t>SRC-132; SRC-133; SRC-134</t>
        </is>
      </c>
      <c r="I80" s="67" t="inlineStr">
        <is>
          <t>https://www.panamashipregistry.com/wp-content/uploads/2019/08/COLREG-2-Circ-65.pdf
https://pancanal.com/wp-content/uploads/2026/04/ADV-24-2026-Speed-Restriction-in-Traffic-Separation-Scheme-on-the-Pacific-Approach-to-the-Panama-Canal.pdf
https://pancanal.com/wp-content/uploads/2021/08/N02-2026-Harbor-Operations_BMV.pdf</t>
        </is>
      </c>
      <c r="J80" s="66" t="inlineStr">
        <is>
          <t>Component-level VTS and reporting allocation not checked separately.</t>
        </is>
      </c>
    </row>
    <row r="81" ht="60" customHeight="1" s="63">
      <c r="A81" s="66" t="inlineStr">
        <is>
          <t>TSS-0161-C4</t>
        </is>
      </c>
      <c r="B81" s="66" t="inlineStr">
        <is>
          <t>TSS-0161</t>
        </is>
      </c>
      <c r="C81" s="66" t="inlineStr">
        <is>
          <t>Part 4: Inshore traffic zones (eastern and western)</t>
        </is>
      </c>
      <c r="D81" s="66" t="n"/>
      <c r="E81" s="66" t="n"/>
      <c r="F81" s="66" t="inlineStr">
        <is>
          <t>Part named in adoption or authority source (first pass)</t>
        </is>
      </c>
      <c r="G81" s="66" t="inlineStr">
        <is>
          <t>Non-additive structural part (lane, approach, precautionary area or sub-scheme). Not a separate TSS in any count until confirmed as a distinct scheme.</t>
        </is>
      </c>
      <c r="H81" s="66" t="inlineStr">
        <is>
          <t>SRC-132; SRC-133; SRC-134</t>
        </is>
      </c>
      <c r="I81" s="67" t="inlineStr">
        <is>
          <t>https://www.panamashipregistry.com/wp-content/uploads/2019/08/COLREG-2-Circ-65.pdf
https://pancanal.com/wp-content/uploads/2026/04/ADV-24-2026-Speed-Restriction-in-Traffic-Separation-Scheme-on-the-Pacific-Approach-to-the-Panama-Canal.pdf
https://pancanal.com/wp-content/uploads/2021/08/N02-2026-Harbor-Operations_BMV.pdf</t>
        </is>
      </c>
      <c r="J81" s="66" t="inlineStr">
        <is>
          <t>Component-level VTS and reporting allocation not checked separately.</t>
        </is>
      </c>
    </row>
    <row r="82" ht="60" customHeight="1" s="63">
      <c r="A82" s="66" t="inlineStr">
        <is>
          <t>TSS-0163-C1</t>
        </is>
      </c>
      <c r="B82" s="66" t="inlineStr">
        <is>
          <t>TSS-0163</t>
        </is>
      </c>
      <c r="C82" s="66" t="inlineStr">
        <is>
          <t>Precautionary Area</t>
        </is>
      </c>
      <c r="D82" s="66" t="n"/>
      <c r="E82" s="66" t="n"/>
      <c r="F82" s="66" t="inlineStr">
        <is>
          <t>Part named in adoption or authority source (first pass)</t>
        </is>
      </c>
      <c r="G82" s="66" t="inlineStr">
        <is>
          <t>Non-additive structural part (lane, approach, precautionary area or sub-scheme). Not a separate TSS in any count until confirmed as a distinct scheme.</t>
        </is>
      </c>
      <c r="H82" s="66" t="inlineStr">
        <is>
          <t>SRC-118; SRC-117; SRC-127; SRC-017; SRC-054</t>
        </is>
      </c>
      <c r="I82"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2" s="66" t="inlineStr">
        <is>
          <t>Component-level VTS and reporting allocation not checked separately.</t>
        </is>
      </c>
    </row>
    <row r="83" ht="60" customHeight="1" s="63">
      <c r="A83" s="66" t="inlineStr">
        <is>
          <t>TSS-0163-C2</t>
        </is>
      </c>
      <c r="B83" s="66" t="inlineStr">
        <is>
          <t>TSS-0163</t>
        </is>
      </c>
      <c r="C83" s="66" t="inlineStr">
        <is>
          <t>Eastern Approach</t>
        </is>
      </c>
      <c r="D83" s="66" t="n"/>
      <c r="E83" s="66" t="n"/>
      <c r="F83" s="66" t="inlineStr">
        <is>
          <t>Part named in adoption or authority source (first pass)</t>
        </is>
      </c>
      <c r="G83" s="66" t="inlineStr">
        <is>
          <t>Non-additive structural part (lane, approach, precautionary area or sub-scheme). Not a separate TSS in any count until confirmed as a distinct scheme.</t>
        </is>
      </c>
      <c r="H83" s="66" t="inlineStr">
        <is>
          <t>SRC-118; SRC-117; SRC-127; SRC-017; SRC-054</t>
        </is>
      </c>
      <c r="I83"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3" s="66" t="inlineStr">
        <is>
          <t>Component-level VTS and reporting allocation not checked separately.</t>
        </is>
      </c>
    </row>
    <row r="84" ht="60" customHeight="1" s="63">
      <c r="A84" s="66" t="inlineStr">
        <is>
          <t>TSS-0163-C3</t>
        </is>
      </c>
      <c r="B84" s="66" t="inlineStr">
        <is>
          <t>TSS-0163</t>
        </is>
      </c>
      <c r="C84" s="66" t="inlineStr">
        <is>
          <t>Southern Approach (incl. deep-water route)</t>
        </is>
      </c>
      <c r="D84" s="66" t="n"/>
      <c r="E84" s="66" t="n"/>
      <c r="F84" s="66" t="inlineStr">
        <is>
          <t>Part named in adoption or authority source (first pass)</t>
        </is>
      </c>
      <c r="G84" s="66" t="inlineStr">
        <is>
          <t>Non-additive structural part (lane, approach, precautionary area or sub-scheme). Not a separate TSS in any count until confirmed as a distinct scheme.</t>
        </is>
      </c>
      <c r="H84" s="66" t="inlineStr">
        <is>
          <t>SRC-118; SRC-117; SRC-127; SRC-017; SRC-054</t>
        </is>
      </c>
      <c r="I84"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4" s="66" t="inlineStr">
        <is>
          <t>Component-level VTS and reporting allocation not checked separately.</t>
        </is>
      </c>
    </row>
    <row r="85" ht="60" customHeight="1" s="63">
      <c r="A85" s="66" t="inlineStr">
        <is>
          <t>TSS-0164-C1</t>
        </is>
      </c>
      <c r="B85" s="66" t="inlineStr">
        <is>
          <t>TSS-0164</t>
        </is>
      </c>
      <c r="C85" s="66" t="inlineStr">
        <is>
          <t>Eastern Approach</t>
        </is>
      </c>
      <c r="D85" s="66" t="n"/>
      <c r="E85" s="66" t="n"/>
      <c r="F85" s="66" t="inlineStr">
        <is>
          <t>Part named in adoption or authority source (first pass)</t>
        </is>
      </c>
      <c r="G85" s="66" t="inlineStr">
        <is>
          <t>Non-additive structural part (lane, approach, precautionary area or sub-scheme). Not a separate TSS in any count until confirmed as a distinct scheme.</t>
        </is>
      </c>
      <c r="H85" s="66" t="inlineStr">
        <is>
          <t>SRC-118; SRC-117; SRC-127; SRC-017; SRC-054</t>
        </is>
      </c>
      <c r="I85"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5" s="66" t="inlineStr">
        <is>
          <t>Component-level VTS and reporting allocation not checked separately.</t>
        </is>
      </c>
    </row>
    <row r="86" ht="60" customHeight="1" s="63">
      <c r="A86" s="66" t="inlineStr">
        <is>
          <t>TSS-0164-C2</t>
        </is>
      </c>
      <c r="B86" s="66" t="inlineStr">
        <is>
          <t>TSS-0164</t>
        </is>
      </c>
      <c r="C86" s="66" t="inlineStr">
        <is>
          <t>Southeastern Approach</t>
        </is>
      </c>
      <c r="D86" s="66" t="n"/>
      <c r="E86" s="66" t="n"/>
      <c r="F86" s="66" t="inlineStr">
        <is>
          <t>Part named in adoption or authority source (first pass)</t>
        </is>
      </c>
      <c r="G86" s="66" t="inlineStr">
        <is>
          <t>Non-additive structural part (lane, approach, precautionary area or sub-scheme). Not a separate TSS in any count until confirmed as a distinct scheme.</t>
        </is>
      </c>
      <c r="H86" s="66" t="inlineStr">
        <is>
          <t>SRC-118; SRC-117; SRC-127; SRC-017; SRC-054</t>
        </is>
      </c>
      <c r="I86"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6" s="66" t="inlineStr">
        <is>
          <t>Component-level VTS and reporting allocation not checked separately.</t>
        </is>
      </c>
    </row>
    <row r="87" ht="60" customHeight="1" s="63">
      <c r="A87" s="66" t="inlineStr">
        <is>
          <t>TSS-0164-C3</t>
        </is>
      </c>
      <c r="B87" s="66" t="inlineStr">
        <is>
          <t>TSS-0164</t>
        </is>
      </c>
      <c r="C87" s="66" t="inlineStr">
        <is>
          <t>Two-Way Traffic Route</t>
        </is>
      </c>
      <c r="D87" s="66" t="n"/>
      <c r="E87" s="66" t="n"/>
      <c r="F87" s="66" t="inlineStr">
        <is>
          <t>Part named in adoption or authority source (first pass)</t>
        </is>
      </c>
      <c r="G87" s="66" t="inlineStr">
        <is>
          <t>Non-additive structural part (lane, approach, precautionary area or sub-scheme). Not a separate TSS in any count until confirmed as a distinct scheme.</t>
        </is>
      </c>
      <c r="H87" s="66" t="inlineStr">
        <is>
          <t>SRC-118; SRC-117; SRC-127; SRC-017; SRC-054</t>
        </is>
      </c>
      <c r="I87"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7" s="66" t="inlineStr">
        <is>
          <t>Component-level VTS and reporting allocation not checked separately.</t>
        </is>
      </c>
    </row>
    <row r="88" ht="60" customHeight="1" s="63">
      <c r="A88" s="66" t="inlineStr">
        <is>
          <t>TSS-0164-C4</t>
        </is>
      </c>
      <c r="B88" s="66" t="inlineStr">
        <is>
          <t>TSS-0164</t>
        </is>
      </c>
      <c r="C88" s="66" t="inlineStr">
        <is>
          <t>Precautionary Area</t>
        </is>
      </c>
      <c r="D88" s="66" t="n"/>
      <c r="E88" s="66" t="n"/>
      <c r="F88" s="66" t="inlineStr">
        <is>
          <t>Part named in adoption or authority source (first pass)</t>
        </is>
      </c>
      <c r="G88" s="66" t="inlineStr">
        <is>
          <t>Non-additive structural part (lane, approach, precautionary area or sub-scheme). Not a separate TSS in any count until confirmed as a distinct scheme.</t>
        </is>
      </c>
      <c r="H88" s="66" t="inlineStr">
        <is>
          <t>SRC-118; SRC-117; SRC-127; SRC-017; SRC-054</t>
        </is>
      </c>
      <c r="I88"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8" s="66" t="inlineStr">
        <is>
          <t>Component-level VTS and reporting allocation not checked separately.</t>
        </is>
      </c>
    </row>
    <row r="89" ht="60" customHeight="1" s="63">
      <c r="A89" s="66" t="inlineStr">
        <is>
          <t>TSS-0165-C1</t>
        </is>
      </c>
      <c r="B89" s="66" t="inlineStr">
        <is>
          <t>TSS-0165</t>
        </is>
      </c>
      <c r="C89" s="66" t="inlineStr">
        <is>
          <t>Precautionary areas</t>
        </is>
      </c>
      <c r="D89" s="66" t="n"/>
      <c r="E89" s="66" t="n"/>
      <c r="F89" s="66" t="inlineStr">
        <is>
          <t>Part named in adoption or authority source (first pass)</t>
        </is>
      </c>
      <c r="G89" s="66" t="inlineStr">
        <is>
          <t>Non-additive structural part (lane, approach, precautionary area or sub-scheme). Not a separate TSS in any count until confirmed as a distinct scheme.</t>
        </is>
      </c>
      <c r="H89" s="66" t="inlineStr">
        <is>
          <t>SRC-118; SRC-117; SRC-127; SRC-017; SRC-054</t>
        </is>
      </c>
      <c r="I89"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89" s="66" t="inlineStr">
        <is>
          <t>Component-level VTS and reporting allocation not checked separately.</t>
        </is>
      </c>
    </row>
    <row r="90" ht="60" customHeight="1" s="63">
      <c r="A90" s="66" t="inlineStr">
        <is>
          <t>TSS-0165-C2</t>
        </is>
      </c>
      <c r="B90" s="66" t="inlineStr">
        <is>
          <t>TSS-0165</t>
        </is>
      </c>
      <c r="C90" s="66" t="inlineStr">
        <is>
          <t>Eastern approach, off Nantucket</t>
        </is>
      </c>
      <c r="D90" s="66" t="n"/>
      <c r="E90" s="66" t="n"/>
      <c r="F90" s="66" t="inlineStr">
        <is>
          <t>Part named in adoption or authority source (first pass)</t>
        </is>
      </c>
      <c r="G90" s="66" t="inlineStr">
        <is>
          <t>Non-additive structural part (lane, approach, precautionary area or sub-scheme). Not a separate TSS in any count until confirmed as a distinct scheme.</t>
        </is>
      </c>
      <c r="H90" s="66" t="inlineStr">
        <is>
          <t>SRC-118; SRC-117; SRC-127; SRC-017; SRC-054</t>
        </is>
      </c>
      <c r="I90"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90" s="66" t="inlineStr">
        <is>
          <t>Component-level VTS and reporting allocation not checked separately.</t>
        </is>
      </c>
    </row>
    <row r="91" ht="60" customHeight="1" s="63">
      <c r="A91" s="66" t="inlineStr">
        <is>
          <t>TSS-0165-C3</t>
        </is>
      </c>
      <c r="B91" s="66" t="inlineStr">
        <is>
          <t>TSS-0165</t>
        </is>
      </c>
      <c r="C91" s="66" t="inlineStr">
        <is>
          <t>Eastern approach</t>
        </is>
      </c>
      <c r="D91" s="66" t="n"/>
      <c r="E91" s="66" t="n"/>
      <c r="F91" s="66" t="inlineStr">
        <is>
          <t>Part named in adoption or authority source (first pass)</t>
        </is>
      </c>
      <c r="G91" s="66" t="inlineStr">
        <is>
          <t>Non-additive structural part (lane, approach, precautionary area or sub-scheme). Not a separate TSS in any count until confirmed as a distinct scheme.</t>
        </is>
      </c>
      <c r="H91" s="66" t="inlineStr">
        <is>
          <t>SRC-118; SRC-117; SRC-127; SRC-017; SRC-054</t>
        </is>
      </c>
      <c r="I91"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91" s="66" t="inlineStr">
        <is>
          <t>Component-level VTS and reporting allocation not checked separately.</t>
        </is>
      </c>
    </row>
    <row r="92" ht="60" customHeight="1" s="63">
      <c r="A92" s="66" t="inlineStr">
        <is>
          <t>TSS-0165-C4</t>
        </is>
      </c>
      <c r="B92" s="66" t="inlineStr">
        <is>
          <t>TSS-0165</t>
        </is>
      </c>
      <c r="C92" s="66" t="inlineStr">
        <is>
          <t>South-eastern approach</t>
        </is>
      </c>
      <c r="D92" s="66" t="n"/>
      <c r="E92" s="66" t="n"/>
      <c r="F92" s="66" t="inlineStr">
        <is>
          <t>Part named in adoption or authority source (first pass)</t>
        </is>
      </c>
      <c r="G92" s="66" t="inlineStr">
        <is>
          <t>Non-additive structural part (lane, approach, precautionary area or sub-scheme). Not a separate TSS in any count until confirmed as a distinct scheme.</t>
        </is>
      </c>
      <c r="H92" s="66" t="inlineStr">
        <is>
          <t>SRC-118; SRC-117; SRC-127; SRC-017; SRC-054</t>
        </is>
      </c>
      <c r="I92"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92" s="66" t="inlineStr">
        <is>
          <t>Component-level VTS and reporting allocation not checked separately.</t>
        </is>
      </c>
    </row>
    <row r="93" ht="60" customHeight="1" s="63">
      <c r="A93" s="66" t="inlineStr">
        <is>
          <t>TSS-0165-C5</t>
        </is>
      </c>
      <c r="B93" s="66" t="inlineStr">
        <is>
          <t>TSS-0165</t>
        </is>
      </c>
      <c r="C93" s="66" t="inlineStr">
        <is>
          <t>Southern approach</t>
        </is>
      </c>
      <c r="D93" s="66" t="n"/>
      <c r="E93" s="66" t="n"/>
      <c r="F93" s="66" t="inlineStr">
        <is>
          <t>Part named in adoption or authority source (first pass)</t>
        </is>
      </c>
      <c r="G93" s="66" t="inlineStr">
        <is>
          <t>Non-additive structural part (lane, approach, precautionary area or sub-scheme). Not a separate TSS in any count until confirmed as a distinct scheme.</t>
        </is>
      </c>
      <c r="H93" s="66" t="inlineStr">
        <is>
          <t>SRC-118; SRC-117; SRC-127; SRC-017; SRC-054</t>
        </is>
      </c>
      <c r="I93"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93" s="66" t="inlineStr">
        <is>
          <t>Component-level VTS and reporting allocation not checked separately.</t>
        </is>
      </c>
    </row>
    <row r="94" ht="60" customHeight="1" s="63">
      <c r="A94" s="66" t="inlineStr">
        <is>
          <t>TSS-0166-C1</t>
        </is>
      </c>
      <c r="B94" s="66" t="inlineStr">
        <is>
          <t>TSS-0166</t>
        </is>
      </c>
      <c r="C94" s="66" t="inlineStr">
        <is>
          <t>Precautionary areas (2)</t>
        </is>
      </c>
      <c r="D94" s="66" t="n"/>
      <c r="E94" s="66" t="inlineStr">
        <is>
          <t>SRS-027</t>
        </is>
      </c>
      <c r="F94" s="66" t="inlineStr">
        <is>
          <t>Part named in adoption or authority source (first pass)</t>
        </is>
      </c>
      <c r="G94" s="66" t="inlineStr">
        <is>
          <t>Non-additive structural part (lane, approach, precautionary area or sub-scheme). Not a separate TSS in any count until confirmed as a distinct scheme.</t>
        </is>
      </c>
      <c r="H94" s="66" t="inlineStr">
        <is>
          <t>SRC-118; SRC-117; SRC-127; SRC-054</t>
        </is>
      </c>
      <c r="I94" s="67" t="inlineStr">
        <is>
          <t>https://www.ecfr.gov/api/versioner/v1/full/2026-09-01/title-33.xml?part=167
https://www.ecfr.gov/api/versioner/v1/full/2026-09-01/title-33.xml?part=161
https://www.ecfr.gov/api/versioner/v1/full/2026-09-01/title-33.xml?part=169
https://www.transportstyrelsen.se/globalassets/global/sjofart/dokument/sjotrafik_dok/imo_colreg.2_cirkular.pdf?id=58526</t>
        </is>
      </c>
      <c r="J94" s="66" t="inlineStr">
        <is>
          <t>Component-level VTS and reporting allocation not checked separately.</t>
        </is>
      </c>
    </row>
    <row r="95" ht="60" customHeight="1" s="63">
      <c r="A95" s="66" t="inlineStr">
        <is>
          <t>TSS-0166-C2</t>
        </is>
      </c>
      <c r="B95" s="66" t="inlineStr">
        <is>
          <t>TSS-0166</t>
        </is>
      </c>
      <c r="C95" s="66" t="inlineStr">
        <is>
          <t>Narragansett Bay approach</t>
        </is>
      </c>
      <c r="D95" s="66" t="n"/>
      <c r="E95" s="66" t="inlineStr">
        <is>
          <t>SRS-027</t>
        </is>
      </c>
      <c r="F95" s="66" t="inlineStr">
        <is>
          <t>Part named in adoption or authority source (first pass)</t>
        </is>
      </c>
      <c r="G95" s="66" t="inlineStr">
        <is>
          <t>Non-additive structural part (lane, approach, precautionary area or sub-scheme). Not a separate TSS in any count until confirmed as a distinct scheme.</t>
        </is>
      </c>
      <c r="H95" s="66" t="inlineStr">
        <is>
          <t>SRC-118; SRC-117; SRC-127; SRC-054</t>
        </is>
      </c>
      <c r="I95" s="67" t="inlineStr">
        <is>
          <t>https://www.ecfr.gov/api/versioner/v1/full/2026-09-01/title-33.xml?part=167
https://www.ecfr.gov/api/versioner/v1/full/2026-09-01/title-33.xml?part=161
https://www.ecfr.gov/api/versioner/v1/full/2026-09-01/title-33.xml?part=169
https://www.transportstyrelsen.se/globalassets/global/sjofart/dokument/sjotrafik_dok/imo_colreg.2_cirkular.pdf?id=58526</t>
        </is>
      </c>
      <c r="J95" s="66" t="inlineStr">
        <is>
          <t>Component-level VTS and reporting allocation not checked separately.</t>
        </is>
      </c>
    </row>
    <row r="96" ht="60" customHeight="1" s="63">
      <c r="A96" s="66" t="inlineStr">
        <is>
          <t>TSS-0166-C3</t>
        </is>
      </c>
      <c r="B96" s="66" t="inlineStr">
        <is>
          <t>TSS-0166</t>
        </is>
      </c>
      <c r="C96" s="66" t="inlineStr">
        <is>
          <t>Buzzards Bay approach</t>
        </is>
      </c>
      <c r="D96" s="66" t="n"/>
      <c r="E96" s="66" t="inlineStr">
        <is>
          <t>SRS-027</t>
        </is>
      </c>
      <c r="F96" s="66" t="inlineStr">
        <is>
          <t>Part named in adoption or authority source (first pass)</t>
        </is>
      </c>
      <c r="G96" s="66" t="inlineStr">
        <is>
          <t>Non-additive structural part (lane, approach, precautionary area or sub-scheme). Not a separate TSS in any count until confirmed as a distinct scheme.</t>
        </is>
      </c>
      <c r="H96" s="66" t="inlineStr">
        <is>
          <t>SRC-118; SRC-117; SRC-127; SRC-054</t>
        </is>
      </c>
      <c r="I96" s="67" t="inlineStr">
        <is>
          <t>https://www.ecfr.gov/api/versioner/v1/full/2026-09-01/title-33.xml?part=167
https://www.ecfr.gov/api/versioner/v1/full/2026-09-01/title-33.xml?part=161
https://www.ecfr.gov/api/versioner/v1/full/2026-09-01/title-33.xml?part=169
https://www.transportstyrelsen.se/globalassets/global/sjofart/dokument/sjotrafik_dok/imo_colreg.2_cirkular.pdf?id=58526</t>
        </is>
      </c>
      <c r="J96" s="66" t="inlineStr">
        <is>
          <t>Component-level VTS and reporting allocation not checked separately.</t>
        </is>
      </c>
    </row>
    <row r="97" ht="60" customHeight="1" s="63">
      <c r="A97" s="66" t="inlineStr">
        <is>
          <t>TSS-0167-C1</t>
        </is>
      </c>
      <c r="B97" s="66" t="inlineStr">
        <is>
          <t>TSS-0167</t>
        </is>
      </c>
      <c r="C97" s="66" t="inlineStr">
        <is>
          <t>Precautionary area off Boston</t>
        </is>
      </c>
      <c r="D97" s="66" t="n"/>
      <c r="E97" s="66" t="inlineStr">
        <is>
          <t>SRS-025</t>
        </is>
      </c>
      <c r="F97" s="66" t="inlineStr">
        <is>
          <t>Part named in adoption or authority source (first pass)</t>
        </is>
      </c>
      <c r="G97" s="66" t="inlineStr">
        <is>
          <t>Non-additive structural part (lane, approach, precautionary area or sub-scheme). Not a separate TSS in any count until confirmed as a distinct scheme.</t>
        </is>
      </c>
      <c r="H97" s="66" t="inlineStr">
        <is>
          <t>SRC-118; SRC-117; SRC-127; SRC-017; SRC-054</t>
        </is>
      </c>
      <c r="I97"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97" s="66" t="inlineStr">
        <is>
          <t>Component-level VTS and reporting allocation not checked separately.</t>
        </is>
      </c>
    </row>
    <row r="98" ht="60" customHeight="1" s="63">
      <c r="A98" s="66" t="inlineStr">
        <is>
          <t>TSS-0167-C2</t>
        </is>
      </c>
      <c r="B98" s="66" t="inlineStr">
        <is>
          <t>TSS-0167</t>
        </is>
      </c>
      <c r="C98" s="66" t="inlineStr">
        <is>
          <t>Junction precautionary area with Off New York TSS</t>
        </is>
      </c>
      <c r="D98" s="66" t="n"/>
      <c r="E98" s="66" t="inlineStr">
        <is>
          <t>SRS-025</t>
        </is>
      </c>
      <c r="F98" s="66" t="inlineStr">
        <is>
          <t>Part named in adoption or authority source (first pass)</t>
        </is>
      </c>
      <c r="G98" s="66" t="inlineStr">
        <is>
          <t>Non-additive structural part (lane, approach, precautionary area or sub-scheme). Not a separate TSS in any count until confirmed as a distinct scheme.</t>
        </is>
      </c>
      <c r="H98" s="66" t="inlineStr">
        <is>
          <t>SRC-118; SRC-117; SRC-127; SRC-017; SRC-054</t>
        </is>
      </c>
      <c r="I98"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98" s="66" t="inlineStr">
        <is>
          <t>Component-level VTS and reporting allocation not checked separately.</t>
        </is>
      </c>
    </row>
    <row r="99" ht="60" customHeight="1" s="63">
      <c r="A99" s="66" t="inlineStr">
        <is>
          <t>TSS-0167-C3</t>
        </is>
      </c>
      <c r="B99" s="66" t="inlineStr">
        <is>
          <t>TSS-0167</t>
        </is>
      </c>
      <c r="C99" s="66" t="inlineStr">
        <is>
          <t>Traffic separation scheme</t>
        </is>
      </c>
      <c r="D99" s="66" t="n"/>
      <c r="E99" s="66" t="inlineStr">
        <is>
          <t>SRS-025</t>
        </is>
      </c>
      <c r="F99" s="66" t="inlineStr">
        <is>
          <t>Part named in adoption or authority source (first pass)</t>
        </is>
      </c>
      <c r="G99" s="66" t="inlineStr">
        <is>
          <t>Non-additive structural part (lane, approach, precautionary area or sub-scheme). Not a separate TSS in any count until confirmed as a distinct scheme.</t>
        </is>
      </c>
      <c r="H99" s="66" t="inlineStr">
        <is>
          <t>SRC-118; SRC-117; SRC-127; SRC-017; SRC-054</t>
        </is>
      </c>
      <c r="I99"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99" s="66" t="inlineStr">
        <is>
          <t>Component-level VTS and reporting allocation not checked separately.</t>
        </is>
      </c>
    </row>
    <row r="100" ht="60" customHeight="1" s="63">
      <c r="A100" s="66" t="inlineStr">
        <is>
          <t>TSS-0168-C1</t>
        </is>
      </c>
      <c r="B100" s="66" t="inlineStr">
        <is>
          <t>TSS-0168</t>
        </is>
      </c>
      <c r="C100" s="66" t="inlineStr">
        <is>
          <t>Precautionary area</t>
        </is>
      </c>
      <c r="D100" s="66" t="n"/>
      <c r="E100" s="66" t="n"/>
      <c r="F100" s="66" t="inlineStr">
        <is>
          <t>Part named in adoption or authority source (first pass)</t>
        </is>
      </c>
      <c r="G100" s="66" t="inlineStr">
        <is>
          <t>Non-additive structural part (lane, approach, precautionary area or sub-scheme). Not a separate TSS in any count until confirmed as a distinct scheme.</t>
        </is>
      </c>
      <c r="H100" s="66" t="inlineStr">
        <is>
          <t>SRC-118; SRC-117; SRC-127; SRC-017; SRC-054</t>
        </is>
      </c>
      <c r="I100"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100" s="66" t="inlineStr">
        <is>
          <t>Component-level VTS and reporting allocation not checked separately.</t>
        </is>
      </c>
    </row>
    <row r="101" ht="60" customHeight="1" s="63">
      <c r="A101" s="66" t="inlineStr">
        <is>
          <t>TSS-0168-C2</t>
        </is>
      </c>
      <c r="B101" s="66" t="inlineStr">
        <is>
          <t>TSS-0168</t>
        </is>
      </c>
      <c r="C101" s="66" t="inlineStr">
        <is>
          <t>Eastern approach</t>
        </is>
      </c>
      <c r="D101" s="66" t="n"/>
      <c r="E101" s="66" t="n"/>
      <c r="F101" s="66" t="inlineStr">
        <is>
          <t>Part named in adoption or authority source (first pass)</t>
        </is>
      </c>
      <c r="G101" s="66" t="inlineStr">
        <is>
          <t>Non-additive structural part (lane, approach, precautionary area or sub-scheme). Not a separate TSS in any count until confirmed as a distinct scheme.</t>
        </is>
      </c>
      <c r="H101" s="66" t="inlineStr">
        <is>
          <t>SRC-118; SRC-117; SRC-127; SRC-017; SRC-054</t>
        </is>
      </c>
      <c r="I101"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101" s="66" t="inlineStr">
        <is>
          <t>Component-level VTS and reporting allocation not checked separately.</t>
        </is>
      </c>
    </row>
    <row r="102" ht="60" customHeight="1" s="63">
      <c r="A102" s="66" t="inlineStr">
        <is>
          <t>TSS-0168-C3</t>
        </is>
      </c>
      <c r="B102" s="66" t="inlineStr">
        <is>
          <t>TSS-0168</t>
        </is>
      </c>
      <c r="C102" s="66" t="inlineStr">
        <is>
          <t>Southern approach</t>
        </is>
      </c>
      <c r="D102" s="66" t="n"/>
      <c r="E102" s="66" t="n"/>
      <c r="F102" s="66" t="inlineStr">
        <is>
          <t>Part named in adoption or authority source (first pass)</t>
        </is>
      </c>
      <c r="G102" s="66" t="inlineStr">
        <is>
          <t>Non-additive structural part (lane, approach, precautionary area or sub-scheme). Not a separate TSS in any count until confirmed as a distinct scheme.</t>
        </is>
      </c>
      <c r="H102" s="66" t="inlineStr">
        <is>
          <t>SRC-118; SRC-117; SRC-127; SRC-017; SRC-054</t>
        </is>
      </c>
      <c r="I102" s="67" t="inlineStr">
        <is>
          <t>https://www.ecfr.gov/api/versioner/v1/full/2026-09-01/title-33.xml?part=167
https://www.ecfr.gov/api/versioner/v1/full/2026-09-01/title-33.xml?part=161
https://www.ecfr.gov/api/versioner/v1/full/2026-09-01/title-33.xml?part=169
https://www.navcen.uscg.gov/vessel-traffic-services-locations
https://www.transportstyrelsen.se/globalassets/global/sjofart/dokument/sjotrafik_dok/imo_colreg.2_cirkular.pdf?id=58526</t>
        </is>
      </c>
      <c r="J102" s="66" t="inlineStr">
        <is>
          <t>Component-level VTS and reporting allocation not checked separately.</t>
        </is>
      </c>
    </row>
    <row r="103" ht="60" customHeight="1" s="63">
      <c r="A103" s="66" t="inlineStr">
        <is>
          <t>TSS-0169-C1</t>
        </is>
      </c>
      <c r="B103" s="66" t="inlineStr">
        <is>
          <t>TSS-0169</t>
        </is>
      </c>
      <c r="C103" s="66" t="inlineStr">
        <is>
          <t>Part I</t>
        </is>
      </c>
      <c r="D103" s="66" t="inlineStr">
        <is>
          <t>VTS-052</t>
        </is>
      </c>
      <c r="E103" s="66" t="n"/>
      <c r="F103" s="66" t="inlineStr">
        <is>
          <t>Part named in adoption or authority source (first pass)</t>
        </is>
      </c>
      <c r="G103" s="66" t="inlineStr">
        <is>
          <t>Non-additive structural part (lane, approach, precautionary area or sub-scheme). Not a separate TSS in any count until confirmed as a distinct scheme.</t>
        </is>
      </c>
      <c r="H103" s="66" t="inlineStr">
        <is>
          <t>SRC-116; SRC-129; SRC-130; SRC-131; SRC-054; SRC-128; SRC-136</t>
        </is>
      </c>
      <c r="I103"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J103" s="66" t="inlineStr">
        <is>
          <t>Component-level VTS and reporting allocation not checked separately.</t>
        </is>
      </c>
    </row>
    <row r="104" ht="60" customHeight="1" s="63">
      <c r="A104" s="66" t="inlineStr">
        <is>
          <t>TSS-0169-C2</t>
        </is>
      </c>
      <c r="B104" s="66" t="inlineStr">
        <is>
          <t>TSS-0169</t>
        </is>
      </c>
      <c r="C104" s="66" t="inlineStr">
        <is>
          <t>Part II</t>
        </is>
      </c>
      <c r="D104" s="66" t="inlineStr">
        <is>
          <t>VTS-052</t>
        </is>
      </c>
      <c r="E104" s="66" t="n"/>
      <c r="F104" s="66" t="inlineStr">
        <is>
          <t>Part named in adoption or authority source (first pass)</t>
        </is>
      </c>
      <c r="G104" s="66" t="inlineStr">
        <is>
          <t>Non-additive structural part (lane, approach, precautionary area or sub-scheme). Not a separate TSS in any count until confirmed as a distinct scheme.</t>
        </is>
      </c>
      <c r="H104" s="66" t="inlineStr">
        <is>
          <t>SRC-116; SRC-129; SRC-130; SRC-131; SRC-054; SRC-128; SRC-136</t>
        </is>
      </c>
      <c r="I104"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J104" s="66" t="inlineStr">
        <is>
          <t>Component-level VTS and reporting allocation not checked separately.</t>
        </is>
      </c>
    </row>
    <row r="105" ht="60" customHeight="1" s="63">
      <c r="A105" s="66" t="inlineStr">
        <is>
          <t>TSS-0170-C1</t>
        </is>
      </c>
      <c r="B105" s="66" t="inlineStr">
        <is>
          <t>TSS-0170</t>
        </is>
      </c>
      <c r="C105" s="66" t="inlineStr">
        <is>
          <t>Part I</t>
        </is>
      </c>
      <c r="D105" s="66" t="inlineStr">
        <is>
          <t>VTS-053</t>
        </is>
      </c>
      <c r="E105" s="66" t="n"/>
      <c r="F105" s="66" t="inlineStr">
        <is>
          <t>Part named in adoption or authority source (first pass)</t>
        </is>
      </c>
      <c r="G105" s="66" t="inlineStr">
        <is>
          <t>Non-additive structural part (lane, approach, precautionary area or sub-scheme). Not a separate TSS in any count until confirmed as a distinct scheme.</t>
        </is>
      </c>
      <c r="H105" s="66" t="inlineStr">
        <is>
          <t>SRC-116; SRC-129; SRC-130; SRC-131; SRC-054; SRC-128; SRC-136</t>
        </is>
      </c>
      <c r="I105"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J105" s="66" t="inlineStr">
        <is>
          <t>Component-level VTS and reporting allocation not checked separately.</t>
        </is>
      </c>
    </row>
    <row r="106" ht="60" customHeight="1" s="63">
      <c r="A106" s="66" t="inlineStr">
        <is>
          <t>TSS-0170-C2</t>
        </is>
      </c>
      <c r="B106" s="66" t="inlineStr">
        <is>
          <t>TSS-0170</t>
        </is>
      </c>
      <c r="C106" s="66" t="inlineStr">
        <is>
          <t>Part II</t>
        </is>
      </c>
      <c r="D106" s="66" t="inlineStr">
        <is>
          <t>VTS-053</t>
        </is>
      </c>
      <c r="E106" s="66" t="n"/>
      <c r="F106" s="66" t="inlineStr">
        <is>
          <t>Part named in adoption or authority source (first pass)</t>
        </is>
      </c>
      <c r="G106" s="66" t="inlineStr">
        <is>
          <t>Non-additive structural part (lane, approach, precautionary area or sub-scheme). Not a separate TSS in any count until confirmed as a distinct scheme.</t>
        </is>
      </c>
      <c r="H106" s="66" t="inlineStr">
        <is>
          <t>SRC-116; SRC-129; SRC-130; SRC-131; SRC-054; SRC-128; SRC-136</t>
        </is>
      </c>
      <c r="I106"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J106" s="66" t="inlineStr">
        <is>
          <t>Component-level VTS and reporting allocation not checked separately.</t>
        </is>
      </c>
    </row>
    <row r="107" ht="60" customHeight="1" s="63">
      <c r="A107" s="66" t="inlineStr">
        <is>
          <t>TSS-0170-C3</t>
        </is>
      </c>
      <c r="B107" s="66" t="inlineStr">
        <is>
          <t>TSS-0170</t>
        </is>
      </c>
      <c r="C107" s="66" t="inlineStr">
        <is>
          <t>Part III</t>
        </is>
      </c>
      <c r="D107" s="66" t="inlineStr">
        <is>
          <t>VTS-053</t>
        </is>
      </c>
      <c r="E107" s="66" t="n"/>
      <c r="F107" s="66" t="inlineStr">
        <is>
          <t>Part named in adoption or authority source (first pass)</t>
        </is>
      </c>
      <c r="G107" s="66" t="inlineStr">
        <is>
          <t>Non-additive structural part (lane, approach, precautionary area or sub-scheme). Not a separate TSS in any count until confirmed as a distinct scheme.</t>
        </is>
      </c>
      <c r="H107" s="66" t="inlineStr">
        <is>
          <t>SRC-116; SRC-129; SRC-130; SRC-131; SRC-054; SRC-128; SRC-136</t>
        </is>
      </c>
      <c r="I107" s="67" t="inlineStr">
        <is>
          <t>https://laws-lois.justice.gc.ca/eng/regulations/SOR-2025-275/FullText.html
https://www.canada.ca/en/canadian-coast-guard/corporate/publications/radio-aids-marine-navigation/vessel-traffic-services.html
https://www.canada.ca/en/canadian-coast-guard/corporate/publications/radio-aids-marine-navigation/facilities-information.html
https://www.notmar.gc.ca/publications/annual/section-a/a10-en
https://www.transportstyrelsen.se/globalassets/global/sjofart/dokument/sjotrafik_dok/imo_colreg.2_cirkular.pdf?id=58526
https://laws-lois.justice.gc.ca/eng/regulations/SOR-89-98/page-1.html
https://laws-lois.justice.gc.ca/eng/regulations/SOR-89-99/page-1.html</t>
        </is>
      </c>
      <c r="J107" s="66" t="inlineStr">
        <is>
          <t>Component-level VTS and reporting allocation not checked separately.</t>
        </is>
      </c>
    </row>
  </sheetData>
  <mergeCells count="2">
    <mergeCell ref="A1:H2"/>
    <mergeCell ref="A3:H4"/>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212"/>
  <sheetViews>
    <sheetView workbookViewId="0">
      <selection activeCell="A1" sqref="A1"/>
    </sheetView>
  </sheetViews>
  <sheetFormatPr baseColWidth="8" defaultRowHeight="15"/>
  <cols>
    <col width="39" customWidth="1" style="63" min="1" max="1"/>
    <col width="23" customWidth="1" style="63" min="2" max="2"/>
    <col width="18" customWidth="1" style="63" min="3" max="3"/>
    <col width="21" customWidth="1" style="63" min="4" max="4"/>
    <col width="48" customWidth="1" style="63" min="5" max="5"/>
  </cols>
  <sheetData>
    <row r="1">
      <c r="A1" s="138" t="inlineStr">
        <is>
          <t>GLOBAL VTS | ID CROSSWALK</t>
        </is>
      </c>
      <c r="B1" s="1" t="n"/>
      <c r="C1" s="1" t="n"/>
      <c r="D1" s="1" t="n"/>
      <c r="E1" s="1" t="n"/>
    </row>
    <row r="2">
      <c r="A2" s="1" t="n"/>
      <c r="B2" s="1" t="n"/>
      <c r="C2" s="1" t="n"/>
      <c r="D2" s="1" t="n"/>
      <c r="E2" s="1" t="n"/>
    </row>
    <row r="3">
      <c r="A3" s="139" t="inlineStr">
        <is>
          <t>v0.3 | Maps the earlier release to canonical identifiers without deleting its research trail.</t>
        </is>
      </c>
      <c r="B3" s="1" t="n"/>
      <c r="C3" s="1" t="n"/>
      <c r="D3" s="1" t="n"/>
      <c r="E3" s="1" t="n"/>
    </row>
    <row r="4">
      <c r="A4" s="1" t="n"/>
      <c r="B4" s="1" t="n"/>
      <c r="C4" s="1" t="n"/>
      <c r="D4" s="1" t="n"/>
      <c r="E4" s="1" t="n"/>
    </row>
    <row r="5">
      <c r="A5" s="68" t="n"/>
      <c r="B5" s="68" t="n"/>
      <c r="C5" s="68" t="n"/>
      <c r="D5" s="68" t="n"/>
      <c r="E5" s="68" t="n"/>
    </row>
    <row r="6" ht="34" customHeight="1" s="63">
      <c r="A6" s="65" t="inlineStr">
        <is>
          <t>Original release</t>
        </is>
      </c>
      <c r="B6" s="65" t="inlineStr">
        <is>
          <t>Entity</t>
        </is>
      </c>
      <c r="C6" s="65" t="inlineStr">
        <is>
          <t>Old ID</t>
        </is>
      </c>
      <c r="D6" s="65" t="inlineStr">
        <is>
          <t>Canonical ID</t>
        </is>
      </c>
      <c r="E6" s="65" t="inlineStr">
        <is>
          <t>Disposition</t>
        </is>
      </c>
    </row>
    <row r="7" ht="36" customHeight="1" s="63">
      <c r="A7" s="66" t="inlineStr">
        <is>
          <t>Global_VTS_Inventory_v0.1.xlsx</t>
        </is>
      </c>
      <c r="B7" s="66" t="inlineStr">
        <is>
          <t>TSS</t>
        </is>
      </c>
      <c r="C7" s="66" t="inlineStr">
        <is>
          <t>TSS-001</t>
        </is>
      </c>
      <c r="D7" s="66" t="inlineStr">
        <is>
          <t>TSS-0001</t>
        </is>
      </c>
      <c r="E7" s="66" t="inlineStr">
        <is>
          <t>Retained in v0.2</t>
        </is>
      </c>
    </row>
    <row r="8" ht="36" customHeight="1" s="63">
      <c r="A8" s="66" t="inlineStr">
        <is>
          <t>Global_VTS_Inventory_v0.1.xlsx</t>
        </is>
      </c>
      <c r="B8" s="66" t="inlineStr">
        <is>
          <t>TSS</t>
        </is>
      </c>
      <c r="C8" s="66" t="inlineStr">
        <is>
          <t>TSS-002</t>
        </is>
      </c>
      <c r="D8" s="66" t="inlineStr">
        <is>
          <t>TSS-0002</t>
        </is>
      </c>
      <c r="E8" s="66" t="inlineStr">
        <is>
          <t>Retained in v0.2</t>
        </is>
      </c>
    </row>
    <row r="9" ht="36" customHeight="1" s="63">
      <c r="A9" s="66" t="inlineStr">
        <is>
          <t>Global_VTS_Inventory_v0.1.xlsx</t>
        </is>
      </c>
      <c r="B9" s="66" t="inlineStr">
        <is>
          <t>TSS</t>
        </is>
      </c>
      <c r="C9" s="66" t="inlineStr">
        <is>
          <t>TSS-003</t>
        </is>
      </c>
      <c r="D9" s="66" t="inlineStr">
        <is>
          <t>TSS-0003</t>
        </is>
      </c>
      <c r="E9" s="66" t="inlineStr">
        <is>
          <t>Retained in v0.2</t>
        </is>
      </c>
    </row>
    <row r="10" ht="36" customHeight="1" s="63">
      <c r="A10" s="66" t="inlineStr">
        <is>
          <t>Global_VTS_Inventory_v0.1.xlsx</t>
        </is>
      </c>
      <c r="B10" s="66" t="inlineStr">
        <is>
          <t>TSS</t>
        </is>
      </c>
      <c r="C10" s="66" t="inlineStr">
        <is>
          <t>TSS-004</t>
        </is>
      </c>
      <c r="D10" s="66" t="inlineStr">
        <is>
          <t>TSS-0004</t>
        </is>
      </c>
      <c r="E10" s="66" t="inlineStr">
        <is>
          <t>Retained in v0.2</t>
        </is>
      </c>
    </row>
    <row r="11" ht="36" customHeight="1" s="63">
      <c r="A11" s="66" t="inlineStr">
        <is>
          <t>Global_VTS_Inventory_v0.1.xlsx</t>
        </is>
      </c>
      <c r="B11" s="66" t="inlineStr">
        <is>
          <t>TSS</t>
        </is>
      </c>
      <c r="C11" s="66" t="inlineStr">
        <is>
          <t>TSS-005</t>
        </is>
      </c>
      <c r="D11" s="66" t="inlineStr">
        <is>
          <t>TSS-0005</t>
        </is>
      </c>
      <c r="E11" s="66" t="inlineStr">
        <is>
          <t>Retained in v0.2</t>
        </is>
      </c>
    </row>
    <row r="12" ht="36" customHeight="1" s="63">
      <c r="A12" s="66" t="inlineStr">
        <is>
          <t>Global_VTS_Inventory_v0.1.xlsx</t>
        </is>
      </c>
      <c r="B12" s="66" t="inlineStr">
        <is>
          <t>TSS</t>
        </is>
      </c>
      <c r="C12" s="66" t="inlineStr">
        <is>
          <t>TSS-006</t>
        </is>
      </c>
      <c r="D12" s="66" t="inlineStr">
        <is>
          <t>TSS-0006</t>
        </is>
      </c>
      <c r="E12" s="66" t="inlineStr">
        <is>
          <t>Retained in v0.2</t>
        </is>
      </c>
    </row>
    <row r="13" ht="36" customHeight="1" s="63">
      <c r="A13" s="66" t="inlineStr">
        <is>
          <t>Global_VTS_Inventory_v0.1.xlsx</t>
        </is>
      </c>
      <c r="B13" s="66" t="inlineStr">
        <is>
          <t>TSS</t>
        </is>
      </c>
      <c r="C13" s="66" t="inlineStr">
        <is>
          <t>TSS-007</t>
        </is>
      </c>
      <c r="D13" s="66" t="inlineStr">
        <is>
          <t>TSS-0007</t>
        </is>
      </c>
      <c r="E13" s="66" t="inlineStr">
        <is>
          <t>Retained in v0.2</t>
        </is>
      </c>
    </row>
    <row r="14" ht="36" customHeight="1" s="63">
      <c r="A14" s="66" t="inlineStr">
        <is>
          <t>Global_VTS_Inventory_v0.1.xlsx</t>
        </is>
      </c>
      <c r="B14" s="66" t="inlineStr">
        <is>
          <t>TSS</t>
        </is>
      </c>
      <c r="C14" s="66" t="inlineStr">
        <is>
          <t>TSS-008</t>
        </is>
      </c>
      <c r="D14" s="66" t="inlineStr">
        <is>
          <t>TSS-0008</t>
        </is>
      </c>
      <c r="E14" s="66" t="inlineStr">
        <is>
          <t>Retained in v0.2</t>
        </is>
      </c>
    </row>
    <row r="15" ht="36" customHeight="1" s="63">
      <c r="A15" s="66" t="inlineStr">
        <is>
          <t>Global_VTS_Inventory_v0.1.xlsx</t>
        </is>
      </c>
      <c r="B15" s="66" t="inlineStr">
        <is>
          <t>TSS</t>
        </is>
      </c>
      <c r="C15" s="66" t="inlineStr">
        <is>
          <t>TSS-009</t>
        </is>
      </c>
      <c r="D15" s="66" t="inlineStr">
        <is>
          <t>TSS-0009</t>
        </is>
      </c>
      <c r="E15" s="66" t="inlineStr">
        <is>
          <t>Retained in v0.2</t>
        </is>
      </c>
    </row>
    <row r="16" ht="36" customHeight="1" s="63">
      <c r="A16" s="66" t="inlineStr">
        <is>
          <t>Global_VTS_Inventory_v0.1.xlsx</t>
        </is>
      </c>
      <c r="B16" s="66" t="inlineStr">
        <is>
          <t>TSS</t>
        </is>
      </c>
      <c r="C16" s="66" t="inlineStr">
        <is>
          <t>TSS-010</t>
        </is>
      </c>
      <c r="D16" s="66" t="inlineStr">
        <is>
          <t>TSS-0010</t>
        </is>
      </c>
      <c r="E16" s="66" t="inlineStr">
        <is>
          <t>Retained in v0.2</t>
        </is>
      </c>
    </row>
    <row r="17" ht="36" customHeight="1" s="63">
      <c r="A17" s="66" t="inlineStr">
        <is>
          <t>Global_VTS_Inventory_v0.1.xlsx</t>
        </is>
      </c>
      <c r="B17" s="66" t="inlineStr">
        <is>
          <t>TSS</t>
        </is>
      </c>
      <c r="C17" s="66" t="inlineStr">
        <is>
          <t>TSS-011</t>
        </is>
      </c>
      <c r="D17" s="66" t="inlineStr">
        <is>
          <t>TSS-0011</t>
        </is>
      </c>
      <c r="E17" s="66" t="inlineStr">
        <is>
          <t>Retained in v0.2</t>
        </is>
      </c>
    </row>
    <row r="18" ht="36" customHeight="1" s="63">
      <c r="A18" s="66" t="inlineStr">
        <is>
          <t>Global_VTS_Inventory_v0.1.xlsx</t>
        </is>
      </c>
      <c r="B18" s="66" t="inlineStr">
        <is>
          <t>TSS</t>
        </is>
      </c>
      <c r="C18" s="66" t="inlineStr">
        <is>
          <t>TSS-012</t>
        </is>
      </c>
      <c r="D18" s="66" t="inlineStr">
        <is>
          <t>TSS-0012</t>
        </is>
      </c>
      <c r="E18" s="66" t="inlineStr">
        <is>
          <t>Retained in v0.2</t>
        </is>
      </c>
    </row>
    <row r="19" ht="36" customHeight="1" s="63">
      <c r="A19" s="66" t="inlineStr">
        <is>
          <t>Global_VTS_Inventory_v0.1.xlsx</t>
        </is>
      </c>
      <c r="B19" s="66" t="inlineStr">
        <is>
          <t>TSS</t>
        </is>
      </c>
      <c r="C19" s="66" t="inlineStr">
        <is>
          <t>TSS-013</t>
        </is>
      </c>
      <c r="D19" s="66" t="inlineStr">
        <is>
          <t>TSS-0013</t>
        </is>
      </c>
      <c r="E19" s="66" t="inlineStr">
        <is>
          <t>Retained in v0.2</t>
        </is>
      </c>
    </row>
    <row r="20" ht="36" customHeight="1" s="63">
      <c r="A20" s="66" t="inlineStr">
        <is>
          <t>Global_VTS_Inventory_v0.1.xlsx</t>
        </is>
      </c>
      <c r="B20" s="66" t="inlineStr">
        <is>
          <t>TSS</t>
        </is>
      </c>
      <c r="C20" s="66" t="inlineStr">
        <is>
          <t>TSS-014</t>
        </is>
      </c>
      <c r="D20" s="66" t="inlineStr">
        <is>
          <t>TSS-0014</t>
        </is>
      </c>
      <c r="E20" s="66" t="inlineStr">
        <is>
          <t>Retained in v0.2</t>
        </is>
      </c>
    </row>
    <row r="21" ht="36" customHeight="1" s="63">
      <c r="A21" s="66" t="inlineStr">
        <is>
          <t>Global_VTS_Inventory_v0.1.xlsx</t>
        </is>
      </c>
      <c r="B21" s="66" t="inlineStr">
        <is>
          <t>TSS</t>
        </is>
      </c>
      <c r="C21" s="66" t="inlineStr">
        <is>
          <t>TSS-015</t>
        </is>
      </c>
      <c r="D21" s="66" t="inlineStr">
        <is>
          <t>TSS-0015</t>
        </is>
      </c>
      <c r="E21" s="66" t="inlineStr">
        <is>
          <t>Retained in v0.2</t>
        </is>
      </c>
    </row>
    <row r="22" ht="36" customHeight="1" s="63">
      <c r="A22" s="66" t="inlineStr">
        <is>
          <t>Global_VTS_Inventory_v0.1.xlsx</t>
        </is>
      </c>
      <c r="B22" s="66" t="inlineStr">
        <is>
          <t>TSS</t>
        </is>
      </c>
      <c r="C22" s="66" t="inlineStr">
        <is>
          <t>TSS-016</t>
        </is>
      </c>
      <c r="D22" s="66" t="inlineStr">
        <is>
          <t>TSS-0016</t>
        </is>
      </c>
      <c r="E22" s="66" t="inlineStr">
        <is>
          <t>Retained in v0.2</t>
        </is>
      </c>
    </row>
    <row r="23" ht="36" customHeight="1" s="63">
      <c r="A23" s="66" t="inlineStr">
        <is>
          <t>Global_VTS_Inventory_v0.1.xlsx</t>
        </is>
      </c>
      <c r="B23" s="66" t="inlineStr">
        <is>
          <t>TSS</t>
        </is>
      </c>
      <c r="C23" s="66" t="inlineStr">
        <is>
          <t>TSS-017</t>
        </is>
      </c>
      <c r="D23" s="66" t="inlineStr">
        <is>
          <t>TSS-0017</t>
        </is>
      </c>
      <c r="E23" s="66" t="inlineStr">
        <is>
          <t>Retained in v0.2</t>
        </is>
      </c>
    </row>
    <row r="24" ht="36" customHeight="1" s="63">
      <c r="A24" s="66" t="inlineStr">
        <is>
          <t>Global_VTS_Inventory_v0.1.xlsx</t>
        </is>
      </c>
      <c r="B24" s="66" t="inlineStr">
        <is>
          <t>TSS</t>
        </is>
      </c>
      <c r="C24" s="66" t="inlineStr">
        <is>
          <t>TSS-018</t>
        </is>
      </c>
      <c r="D24" s="66" t="inlineStr">
        <is>
          <t>TSS-0018</t>
        </is>
      </c>
      <c r="E24" s="66" t="inlineStr">
        <is>
          <t>Retained in v0.2</t>
        </is>
      </c>
    </row>
    <row r="25" ht="36" customHeight="1" s="63">
      <c r="A25" s="66" t="inlineStr">
        <is>
          <t>Global_VTS_Inventory_v0.1.xlsx</t>
        </is>
      </c>
      <c r="B25" s="66" t="inlineStr">
        <is>
          <t>TSS</t>
        </is>
      </c>
      <c r="C25" s="66" t="inlineStr">
        <is>
          <t>TSS-019</t>
        </is>
      </c>
      <c r="D25" s="66" t="inlineStr">
        <is>
          <t>TSS-0019</t>
        </is>
      </c>
      <c r="E25" s="66" t="inlineStr">
        <is>
          <t>Retained in v0.2</t>
        </is>
      </c>
    </row>
    <row r="26" ht="36" customHeight="1" s="63">
      <c r="A26" s="66" t="inlineStr">
        <is>
          <t>Global_VTS_Inventory_v0.1.xlsx</t>
        </is>
      </c>
      <c r="B26" s="66" t="inlineStr">
        <is>
          <t>TSS</t>
        </is>
      </c>
      <c r="C26" s="66" t="inlineStr">
        <is>
          <t>TSS-020</t>
        </is>
      </c>
      <c r="D26" s="66" t="inlineStr">
        <is>
          <t>TSS-0020</t>
        </is>
      </c>
      <c r="E26" s="66" t="inlineStr">
        <is>
          <t>Retained in v0.2</t>
        </is>
      </c>
    </row>
    <row r="27" ht="36" customHeight="1" s="63">
      <c r="A27" s="66" t="inlineStr">
        <is>
          <t>Global_VTS_Inventory_v0.1.xlsx</t>
        </is>
      </c>
      <c r="B27" s="66" t="inlineStr">
        <is>
          <t>TSS</t>
        </is>
      </c>
      <c r="C27" s="66" t="inlineStr">
        <is>
          <t>TSS-021</t>
        </is>
      </c>
      <c r="D27" s="66" t="inlineStr">
        <is>
          <t>TSS-0021</t>
        </is>
      </c>
      <c r="E27" s="66" t="inlineStr">
        <is>
          <t>Retained in v0.2</t>
        </is>
      </c>
    </row>
    <row r="28" ht="36" customHeight="1" s="63">
      <c r="A28" s="66" t="inlineStr">
        <is>
          <t>Global_VTS_Inventory_v0.1.xlsx</t>
        </is>
      </c>
      <c r="B28" s="66" t="inlineStr">
        <is>
          <t>TSS</t>
        </is>
      </c>
      <c r="C28" s="66" t="inlineStr">
        <is>
          <t>TSS-022</t>
        </is>
      </c>
      <c r="D28" s="66" t="inlineStr">
        <is>
          <t>TSS-0022</t>
        </is>
      </c>
      <c r="E28" s="66" t="inlineStr">
        <is>
          <t>Retained in v0.2</t>
        </is>
      </c>
    </row>
    <row r="29" ht="36" customHeight="1" s="63">
      <c r="A29" s="66" t="inlineStr">
        <is>
          <t>Global_VTS_Inventory_v0.1.xlsx</t>
        </is>
      </c>
      <c r="B29" s="66" t="inlineStr">
        <is>
          <t>TSS</t>
        </is>
      </c>
      <c r="C29" s="66" t="inlineStr">
        <is>
          <t>TSS-023</t>
        </is>
      </c>
      <c r="D29" s="66" t="inlineStr">
        <is>
          <t>TSS-0023</t>
        </is>
      </c>
      <c r="E29" s="66" t="inlineStr">
        <is>
          <t>Retained in v0.2</t>
        </is>
      </c>
    </row>
    <row r="30" ht="36" customHeight="1" s="63">
      <c r="A30" s="66" t="inlineStr">
        <is>
          <t>Global_VTS_Inventory_v0.1.xlsx</t>
        </is>
      </c>
      <c r="B30" s="66" t="inlineStr">
        <is>
          <t>TSS</t>
        </is>
      </c>
      <c r="C30" s="66" t="inlineStr">
        <is>
          <t>TSS-024</t>
        </is>
      </c>
      <c r="D30" s="66" t="inlineStr">
        <is>
          <t>TSS-0024</t>
        </is>
      </c>
      <c r="E30" s="66" t="inlineStr">
        <is>
          <t>Retained in v0.2</t>
        </is>
      </c>
    </row>
    <row r="31" ht="36" customHeight="1" s="63">
      <c r="A31" s="66" t="inlineStr">
        <is>
          <t>Global_VTS_Inventory_v0.1.xlsx</t>
        </is>
      </c>
      <c r="B31" s="66" t="inlineStr">
        <is>
          <t>TSS</t>
        </is>
      </c>
      <c r="C31" s="66" t="inlineStr">
        <is>
          <t>TSS-025</t>
        </is>
      </c>
      <c r="D31" s="66" t="inlineStr">
        <is>
          <t>TSS-0025</t>
        </is>
      </c>
      <c r="E31" s="66" t="inlineStr">
        <is>
          <t>Retained in v0.2</t>
        </is>
      </c>
    </row>
    <row r="32" ht="36" customHeight="1" s="63">
      <c r="A32" s="66" t="inlineStr">
        <is>
          <t>Global_VTS_Inventory_v0.1.xlsx</t>
        </is>
      </c>
      <c r="B32" s="66" t="inlineStr">
        <is>
          <t>TSS</t>
        </is>
      </c>
      <c r="C32" s="66" t="inlineStr">
        <is>
          <t>TSS-026</t>
        </is>
      </c>
      <c r="D32" s="66" t="inlineStr">
        <is>
          <t>TSS-0026</t>
        </is>
      </c>
      <c r="E32" s="66" t="inlineStr">
        <is>
          <t>Retained in v0.2</t>
        </is>
      </c>
    </row>
    <row r="33" ht="36" customHeight="1" s="63">
      <c r="A33" s="66" t="inlineStr">
        <is>
          <t>Global_VTS_Inventory_v0.1.xlsx</t>
        </is>
      </c>
      <c r="B33" s="66" t="inlineStr">
        <is>
          <t>TSS</t>
        </is>
      </c>
      <c r="C33" s="66" t="inlineStr">
        <is>
          <t>TSS-027</t>
        </is>
      </c>
      <c r="D33" s="66" t="inlineStr">
        <is>
          <t>TSS-0027</t>
        </is>
      </c>
      <c r="E33" s="66" t="inlineStr">
        <is>
          <t>Retained in v0.2</t>
        </is>
      </c>
    </row>
    <row r="34" ht="36" customHeight="1" s="63">
      <c r="A34" s="66" t="inlineStr">
        <is>
          <t>Global_VTS_Inventory_v0.1.xlsx</t>
        </is>
      </c>
      <c r="B34" s="66" t="inlineStr">
        <is>
          <t>TSS</t>
        </is>
      </c>
      <c r="C34" s="66" t="inlineStr">
        <is>
          <t>TSS-028</t>
        </is>
      </c>
      <c r="D34" s="66" t="inlineStr">
        <is>
          <t>TSS-0028</t>
        </is>
      </c>
      <c r="E34" s="66" t="inlineStr">
        <is>
          <t>Retained in v0.2</t>
        </is>
      </c>
    </row>
    <row r="35" ht="36" customHeight="1" s="63">
      <c r="A35" s="66" t="inlineStr">
        <is>
          <t>Global_VTS_Inventory_v0.1.xlsx</t>
        </is>
      </c>
      <c r="B35" s="66" t="inlineStr">
        <is>
          <t>TSS</t>
        </is>
      </c>
      <c r="C35" s="66" t="inlineStr">
        <is>
          <t>TSS-029</t>
        </is>
      </c>
      <c r="D35" s="66" t="inlineStr">
        <is>
          <t>TSS-0029</t>
        </is>
      </c>
      <c r="E35" s="66" t="inlineStr">
        <is>
          <t>Retained in v0.2</t>
        </is>
      </c>
    </row>
    <row r="36" ht="36" customHeight="1" s="63">
      <c r="A36" s="66" t="inlineStr">
        <is>
          <t>Global_VTS_Inventory_v0.1.xlsx</t>
        </is>
      </c>
      <c r="B36" s="66" t="inlineStr">
        <is>
          <t>TSS</t>
        </is>
      </c>
      <c r="C36" s="66" t="inlineStr">
        <is>
          <t>TSS-030</t>
        </is>
      </c>
      <c r="D36" s="66" t="inlineStr">
        <is>
          <t>TSS-0030</t>
        </is>
      </c>
      <c r="E36" s="66" t="inlineStr">
        <is>
          <t>Retained in v0.2</t>
        </is>
      </c>
    </row>
    <row r="37" ht="36" customHeight="1" s="63">
      <c r="A37" s="66" t="inlineStr">
        <is>
          <t>Global_VTS_Inventory_v0.1.xlsx</t>
        </is>
      </c>
      <c r="B37" s="66" t="inlineStr">
        <is>
          <t>TSS</t>
        </is>
      </c>
      <c r="C37" s="66" t="inlineStr">
        <is>
          <t>TSS-031</t>
        </is>
      </c>
      <c r="D37" s="66" t="inlineStr">
        <is>
          <t>TSS-0031</t>
        </is>
      </c>
      <c r="E37" s="66" t="inlineStr">
        <is>
          <t>Retained in v0.2</t>
        </is>
      </c>
    </row>
    <row r="38" ht="36" customHeight="1" s="63">
      <c r="A38" s="66" t="inlineStr">
        <is>
          <t>Global_VTS_Inventory_v0.1.xlsx</t>
        </is>
      </c>
      <c r="B38" s="66" t="inlineStr">
        <is>
          <t>TSS</t>
        </is>
      </c>
      <c r="C38" s="66" t="inlineStr">
        <is>
          <t>TSS-032</t>
        </is>
      </c>
      <c r="D38" s="66" t="inlineStr">
        <is>
          <t>TSS-0032</t>
        </is>
      </c>
      <c r="E38" s="66" t="inlineStr">
        <is>
          <t>Retained in v0.2</t>
        </is>
      </c>
    </row>
    <row r="39" ht="36" customHeight="1" s="63">
      <c r="A39" s="66" t="inlineStr">
        <is>
          <t>Global_VTS_Inventory_v0.1.xlsx</t>
        </is>
      </c>
      <c r="B39" s="66" t="inlineStr">
        <is>
          <t>TSS</t>
        </is>
      </c>
      <c r="C39" s="66" t="inlineStr">
        <is>
          <t>TSS-033</t>
        </is>
      </c>
      <c r="D39" s="66" t="inlineStr">
        <is>
          <t>TSS-0033</t>
        </is>
      </c>
      <c r="E39" s="66" t="inlineStr">
        <is>
          <t>Retained in v0.2</t>
        </is>
      </c>
    </row>
    <row r="40" ht="36" customHeight="1" s="63">
      <c r="A40" s="66" t="inlineStr">
        <is>
          <t>Global_VTS_Inventory_v0.1.xlsx</t>
        </is>
      </c>
      <c r="B40" s="66" t="inlineStr">
        <is>
          <t>TSS</t>
        </is>
      </c>
      <c r="C40" s="66" t="inlineStr">
        <is>
          <t>TSS-034</t>
        </is>
      </c>
      <c r="D40" s="66" t="inlineStr">
        <is>
          <t>TSS-0034</t>
        </is>
      </c>
      <c r="E40" s="66" t="inlineStr">
        <is>
          <t>Retained in v0.2</t>
        </is>
      </c>
    </row>
    <row r="41" ht="36" customHeight="1" s="63">
      <c r="A41" s="66" t="inlineStr">
        <is>
          <t>Global_VTS_Inventory_v0.1.xlsx</t>
        </is>
      </c>
      <c r="B41" s="66" t="inlineStr">
        <is>
          <t>TSS</t>
        </is>
      </c>
      <c r="C41" s="66" t="inlineStr">
        <is>
          <t>TSS-035</t>
        </is>
      </c>
      <c r="D41" s="66" t="inlineStr">
        <is>
          <t>TSS-0035</t>
        </is>
      </c>
      <c r="E41" s="66" t="inlineStr">
        <is>
          <t>Retained in v0.2</t>
        </is>
      </c>
    </row>
    <row r="42" ht="36" customHeight="1" s="63">
      <c r="A42" s="66" t="inlineStr">
        <is>
          <t>Global_VTS_Inventory_v0.1.xlsx</t>
        </is>
      </c>
      <c r="B42" s="66" t="inlineStr">
        <is>
          <t>TSS</t>
        </is>
      </c>
      <c r="C42" s="66" t="inlineStr">
        <is>
          <t>TSS-036</t>
        </is>
      </c>
      <c r="D42" s="66" t="inlineStr">
        <is>
          <t>TSS-0036</t>
        </is>
      </c>
      <c r="E42" s="66" t="inlineStr">
        <is>
          <t>Retained in v0.2</t>
        </is>
      </c>
    </row>
    <row r="43" ht="36" customHeight="1" s="63">
      <c r="A43" s="66" t="inlineStr">
        <is>
          <t>Global_VTS_Inventory_v0.1.xlsx</t>
        </is>
      </c>
      <c r="B43" s="66" t="inlineStr">
        <is>
          <t>TSS</t>
        </is>
      </c>
      <c r="C43" s="66" t="inlineStr">
        <is>
          <t>TSS-037</t>
        </is>
      </c>
      <c r="D43" s="66" t="inlineStr">
        <is>
          <t>TSS-0037</t>
        </is>
      </c>
      <c r="E43" s="66" t="inlineStr">
        <is>
          <t>Retained in v0.2</t>
        </is>
      </c>
    </row>
    <row r="44" ht="36" customHeight="1" s="63">
      <c r="A44" s="66" t="inlineStr">
        <is>
          <t>Global_VTS_Inventory_v0.1.xlsx</t>
        </is>
      </c>
      <c r="B44" s="66" t="inlineStr">
        <is>
          <t>TSS</t>
        </is>
      </c>
      <c r="C44" s="66" t="inlineStr">
        <is>
          <t>TSS-038</t>
        </is>
      </c>
      <c r="D44" s="66" t="inlineStr">
        <is>
          <t>TSS-0038</t>
        </is>
      </c>
      <c r="E44" s="66" t="inlineStr">
        <is>
          <t>Retained in v0.2</t>
        </is>
      </c>
    </row>
    <row r="45" ht="36" customHeight="1" s="63">
      <c r="A45" s="66" t="inlineStr">
        <is>
          <t>Global_VTS_Inventory_v0.1.xlsx</t>
        </is>
      </c>
      <c r="B45" s="66" t="inlineStr">
        <is>
          <t>TSS</t>
        </is>
      </c>
      <c r="C45" s="66" t="inlineStr">
        <is>
          <t>TSS-039</t>
        </is>
      </c>
      <c r="D45" s="66" t="inlineStr">
        <is>
          <t>TSS-0039</t>
        </is>
      </c>
      <c r="E45" s="66" t="inlineStr">
        <is>
          <t>Retained in v0.2</t>
        </is>
      </c>
    </row>
    <row r="46" ht="36" customHeight="1" s="63">
      <c r="A46" s="66" t="inlineStr">
        <is>
          <t>Global_VTS_Inventory_v0.1.xlsx</t>
        </is>
      </c>
      <c r="B46" s="66" t="inlineStr">
        <is>
          <t>TSS</t>
        </is>
      </c>
      <c r="C46" s="66" t="inlineStr">
        <is>
          <t>TSS-040</t>
        </is>
      </c>
      <c r="D46" s="66" t="inlineStr">
        <is>
          <t>TSS-0040</t>
        </is>
      </c>
      <c r="E46" s="66" t="inlineStr">
        <is>
          <t>Retained in v0.2</t>
        </is>
      </c>
    </row>
    <row r="47" ht="36" customHeight="1" s="63">
      <c r="A47" s="66" t="inlineStr">
        <is>
          <t>Global_VTS_Inventory_v0.1.xlsx</t>
        </is>
      </c>
      <c r="B47" s="66" t="inlineStr">
        <is>
          <t>TSS</t>
        </is>
      </c>
      <c r="C47" s="66" t="inlineStr">
        <is>
          <t>TSS-041</t>
        </is>
      </c>
      <c r="D47" s="66" t="inlineStr">
        <is>
          <t>TSS-0041</t>
        </is>
      </c>
      <c r="E47" s="66" t="inlineStr">
        <is>
          <t>Retained in v0.2</t>
        </is>
      </c>
    </row>
    <row r="48" ht="36" customHeight="1" s="63">
      <c r="A48" s="66" t="inlineStr">
        <is>
          <t>Global_VTS_Inventory_v0.1.xlsx</t>
        </is>
      </c>
      <c r="B48" s="66" t="inlineStr">
        <is>
          <t>TSS</t>
        </is>
      </c>
      <c r="C48" s="66" t="inlineStr">
        <is>
          <t>TSS-042</t>
        </is>
      </c>
      <c r="D48" s="66" t="inlineStr">
        <is>
          <t>TSS-0042</t>
        </is>
      </c>
      <c r="E48" s="66" t="inlineStr">
        <is>
          <t>Retained in v0.2</t>
        </is>
      </c>
    </row>
    <row r="49" ht="36" customHeight="1" s="63">
      <c r="A49" s="66" t="inlineStr">
        <is>
          <t>Global_VTS_Inventory_v0.1.xlsx</t>
        </is>
      </c>
      <c r="B49" s="66" t="inlineStr">
        <is>
          <t>TSS</t>
        </is>
      </c>
      <c r="C49" s="66" t="inlineStr">
        <is>
          <t>TSS-043</t>
        </is>
      </c>
      <c r="D49" s="66" t="inlineStr">
        <is>
          <t>TSS-0043</t>
        </is>
      </c>
      <c r="E49" s="66" t="inlineStr">
        <is>
          <t>Retained in v0.2</t>
        </is>
      </c>
    </row>
    <row r="50" ht="36" customHeight="1" s="63">
      <c r="A50" s="66" t="inlineStr">
        <is>
          <t>Global_VTS_Inventory_v0.1.xlsx</t>
        </is>
      </c>
      <c r="B50" s="66" t="inlineStr">
        <is>
          <t>TSS</t>
        </is>
      </c>
      <c r="C50" s="66" t="inlineStr">
        <is>
          <t>TSS-044</t>
        </is>
      </c>
      <c r="D50" s="66" t="inlineStr">
        <is>
          <t>TSS-0044</t>
        </is>
      </c>
      <c r="E50" s="66" t="inlineStr">
        <is>
          <t>Retained in v0.2</t>
        </is>
      </c>
    </row>
    <row r="51" ht="36" customHeight="1" s="63">
      <c r="A51" s="66" t="inlineStr">
        <is>
          <t>Global_VTS_Inventory_v0.1.xlsx</t>
        </is>
      </c>
      <c r="B51" s="66" t="inlineStr">
        <is>
          <t>TSS</t>
        </is>
      </c>
      <c r="C51" s="66" t="inlineStr">
        <is>
          <t>TSS-045</t>
        </is>
      </c>
      <c r="D51" s="66" t="inlineStr">
        <is>
          <t>TSS-0045</t>
        </is>
      </c>
      <c r="E51" s="66" t="inlineStr">
        <is>
          <t>Retained in v0.2</t>
        </is>
      </c>
    </row>
    <row r="52" ht="36" customHeight="1" s="63">
      <c r="A52" s="66" t="inlineStr">
        <is>
          <t>Global_VTS_Inventory_v0.1.xlsx</t>
        </is>
      </c>
      <c r="B52" s="66" t="inlineStr">
        <is>
          <t>TSS</t>
        </is>
      </c>
      <c r="C52" s="66" t="inlineStr">
        <is>
          <t>TSS-046</t>
        </is>
      </c>
      <c r="D52" s="66" t="inlineStr">
        <is>
          <t>TSS-0046</t>
        </is>
      </c>
      <c r="E52" s="66" t="inlineStr">
        <is>
          <t>Retained in v0.2</t>
        </is>
      </c>
    </row>
    <row r="53" ht="36" customHeight="1" s="63">
      <c r="A53" s="66" t="inlineStr">
        <is>
          <t>Global_VTS_Inventory_v0.1.xlsx</t>
        </is>
      </c>
      <c r="B53" s="66" t="inlineStr">
        <is>
          <t>TSS</t>
        </is>
      </c>
      <c r="C53" s="66" t="inlineStr">
        <is>
          <t>TSS-047</t>
        </is>
      </c>
      <c r="D53" s="66" t="inlineStr">
        <is>
          <t>TSS-0047</t>
        </is>
      </c>
      <c r="E53" s="66" t="inlineStr">
        <is>
          <t>Retained in v0.2</t>
        </is>
      </c>
    </row>
    <row r="54" ht="36" customHeight="1" s="63">
      <c r="A54" s="66" t="inlineStr">
        <is>
          <t>Global_VTS_Inventory_v0.1.xlsx</t>
        </is>
      </c>
      <c r="B54" s="66" t="inlineStr">
        <is>
          <t>TSS</t>
        </is>
      </c>
      <c r="C54" s="66" t="inlineStr">
        <is>
          <t>TSS-048</t>
        </is>
      </c>
      <c r="D54" s="66" t="inlineStr">
        <is>
          <t>TSS-0048</t>
        </is>
      </c>
      <c r="E54" s="66" t="inlineStr">
        <is>
          <t>Retained in v0.2</t>
        </is>
      </c>
    </row>
    <row r="55" ht="36" customHeight="1" s="63">
      <c r="A55" s="66" t="inlineStr">
        <is>
          <t>Global_VTS_Inventory_v0.1.xlsx</t>
        </is>
      </c>
      <c r="B55" s="66" t="inlineStr">
        <is>
          <t>TSS</t>
        </is>
      </c>
      <c r="C55" s="66" t="inlineStr">
        <is>
          <t>TSS-049</t>
        </is>
      </c>
      <c r="D55" s="66" t="inlineStr">
        <is>
          <t>TSS-0049</t>
        </is>
      </c>
      <c r="E55" s="66" t="inlineStr">
        <is>
          <t>Retained in v0.2</t>
        </is>
      </c>
    </row>
    <row r="56" ht="36" customHeight="1" s="63">
      <c r="A56" s="66" t="inlineStr">
        <is>
          <t>Global_VTS_Inventory_v0.1.xlsx</t>
        </is>
      </c>
      <c r="B56" s="66" t="inlineStr">
        <is>
          <t>TSS</t>
        </is>
      </c>
      <c r="C56" s="66" t="inlineStr">
        <is>
          <t>TSS-050</t>
        </is>
      </c>
      <c r="D56" s="66" t="inlineStr">
        <is>
          <t>TSS-0050</t>
        </is>
      </c>
      <c r="E56" s="66" t="inlineStr">
        <is>
          <t>Retained in v0.2</t>
        </is>
      </c>
    </row>
    <row r="57" ht="36" customHeight="1" s="63">
      <c r="A57" s="66" t="inlineStr">
        <is>
          <t>Global_VTS_Inventory_v0.1.xlsx</t>
        </is>
      </c>
      <c r="B57" s="66" t="inlineStr">
        <is>
          <t>TSS</t>
        </is>
      </c>
      <c r="C57" s="66" t="inlineStr">
        <is>
          <t>TSS-051</t>
        </is>
      </c>
      <c r="D57" s="66" t="inlineStr">
        <is>
          <t>TSS-0051</t>
        </is>
      </c>
      <c r="E57" s="66" t="inlineStr">
        <is>
          <t>Retained in v0.2</t>
        </is>
      </c>
    </row>
    <row r="58" ht="36" customHeight="1" s="63">
      <c r="A58" s="66" t="inlineStr">
        <is>
          <t>Global_VTS_Inventory_v0.1.xlsx</t>
        </is>
      </c>
      <c r="B58" s="66" t="inlineStr">
        <is>
          <t>TSS</t>
        </is>
      </c>
      <c r="C58" s="66" t="inlineStr">
        <is>
          <t>TSS-052</t>
        </is>
      </c>
      <c r="D58" s="66" t="inlineStr">
        <is>
          <t>TSS-0052</t>
        </is>
      </c>
      <c r="E58" s="66" t="inlineStr">
        <is>
          <t>Retained in v0.2</t>
        </is>
      </c>
    </row>
    <row r="59" ht="36" customHeight="1" s="63">
      <c r="A59" s="66" t="inlineStr">
        <is>
          <t>Global_VTS_Inventory_v0.1.xlsx</t>
        </is>
      </c>
      <c r="B59" s="66" t="inlineStr">
        <is>
          <t>TSS</t>
        </is>
      </c>
      <c r="C59" s="66" t="inlineStr">
        <is>
          <t>TSS-053</t>
        </is>
      </c>
      <c r="D59" s="66" t="inlineStr">
        <is>
          <t>TSS-0053</t>
        </is>
      </c>
      <c r="E59" s="66" t="inlineStr">
        <is>
          <t>Retained in v0.2</t>
        </is>
      </c>
    </row>
    <row r="60" ht="36" customHeight="1" s="63">
      <c r="A60" s="66" t="inlineStr">
        <is>
          <t>Global_VTS_Inventory_v0.1.xlsx</t>
        </is>
      </c>
      <c r="B60" s="66" t="inlineStr">
        <is>
          <t>TSS</t>
        </is>
      </c>
      <c r="C60" s="66" t="inlineStr">
        <is>
          <t>TSS-054</t>
        </is>
      </c>
      <c r="D60" s="66" t="inlineStr">
        <is>
          <t>TSS-0054</t>
        </is>
      </c>
      <c r="E60" s="66" t="inlineStr">
        <is>
          <t>Retained in v0.2</t>
        </is>
      </c>
    </row>
    <row r="61" ht="36" customHeight="1" s="63">
      <c r="A61" s="66" t="inlineStr">
        <is>
          <t>Global_VTS_Inventory_v0.1.xlsx</t>
        </is>
      </c>
      <c r="B61" s="66" t="inlineStr">
        <is>
          <t>TSS</t>
        </is>
      </c>
      <c r="C61" s="66" t="inlineStr">
        <is>
          <t>TSS-055</t>
        </is>
      </c>
      <c r="D61" s="66" t="inlineStr">
        <is>
          <t>TSS-0055</t>
        </is>
      </c>
      <c r="E61" s="66" t="inlineStr">
        <is>
          <t>Retained in v0.2</t>
        </is>
      </c>
    </row>
    <row r="62" ht="36" customHeight="1" s="63">
      <c r="A62" s="66" t="inlineStr">
        <is>
          <t>Global_VTS_Inventory_v0.1.xlsx</t>
        </is>
      </c>
      <c r="B62" s="66" t="inlineStr">
        <is>
          <t>TSS</t>
        </is>
      </c>
      <c r="C62" s="66" t="inlineStr">
        <is>
          <t>TSS-056</t>
        </is>
      </c>
      <c r="D62" s="66" t="inlineStr">
        <is>
          <t>TSS-0056</t>
        </is>
      </c>
      <c r="E62" s="66" t="inlineStr">
        <is>
          <t>Retained in v0.2</t>
        </is>
      </c>
    </row>
    <row r="63" ht="36" customHeight="1" s="63">
      <c r="A63" s="66" t="inlineStr">
        <is>
          <t>Global_VTS_Inventory_v0.1.xlsx</t>
        </is>
      </c>
      <c r="B63" s="66" t="inlineStr">
        <is>
          <t>TSS</t>
        </is>
      </c>
      <c r="C63" s="66" t="inlineStr">
        <is>
          <t>TSS-057</t>
        </is>
      </c>
      <c r="D63" s="66" t="inlineStr">
        <is>
          <t>TSS-0057</t>
        </is>
      </c>
      <c r="E63" s="66" t="inlineStr">
        <is>
          <t>Retained in v0.2</t>
        </is>
      </c>
    </row>
    <row r="64" ht="36" customHeight="1" s="63">
      <c r="A64" s="66" t="inlineStr">
        <is>
          <t>Global_VTS_Inventory_v0.1.xlsx</t>
        </is>
      </c>
      <c r="B64" s="66" t="inlineStr">
        <is>
          <t>TSS</t>
        </is>
      </c>
      <c r="C64" s="66" t="inlineStr">
        <is>
          <t>TSS-058</t>
        </is>
      </c>
      <c r="D64" s="66" t="inlineStr">
        <is>
          <t>TSS-0058</t>
        </is>
      </c>
      <c r="E64" s="66" t="inlineStr">
        <is>
          <t>Retained in v0.2</t>
        </is>
      </c>
    </row>
    <row r="65" ht="36" customHeight="1" s="63">
      <c r="A65" s="66" t="inlineStr">
        <is>
          <t>Global_VTS_Inventory_v0.1.xlsx</t>
        </is>
      </c>
      <c r="B65" s="66" t="inlineStr">
        <is>
          <t>TSS</t>
        </is>
      </c>
      <c r="C65" s="66" t="inlineStr">
        <is>
          <t>TSS-059</t>
        </is>
      </c>
      <c r="D65" s="66" t="inlineStr">
        <is>
          <t>TSS-0059</t>
        </is>
      </c>
      <c r="E65" s="66" t="inlineStr">
        <is>
          <t>Retained in v0.2</t>
        </is>
      </c>
    </row>
    <row r="66" ht="36" customHeight="1" s="63">
      <c r="A66" s="66" t="inlineStr">
        <is>
          <t>Global_VTS_Inventory_v0.1.xlsx</t>
        </is>
      </c>
      <c r="B66" s="66" t="inlineStr">
        <is>
          <t>TSS</t>
        </is>
      </c>
      <c r="C66" s="66" t="inlineStr">
        <is>
          <t>TSS-060</t>
        </is>
      </c>
      <c r="D66" s="66" t="inlineStr">
        <is>
          <t>TSS-0060</t>
        </is>
      </c>
      <c r="E66" s="66" t="inlineStr">
        <is>
          <t>Retained in v0.2</t>
        </is>
      </c>
    </row>
    <row r="67" ht="36" customHeight="1" s="63">
      <c r="A67" s="66" t="inlineStr">
        <is>
          <t>Global_VTS_Inventory_v0.1.xlsx</t>
        </is>
      </c>
      <c r="B67" s="66" t="inlineStr">
        <is>
          <t>TSS</t>
        </is>
      </c>
      <c r="C67" s="66" t="inlineStr">
        <is>
          <t>TSS-061</t>
        </is>
      </c>
      <c r="D67" s="66" t="inlineStr">
        <is>
          <t>TSS-0061</t>
        </is>
      </c>
      <c r="E67" s="66" t="inlineStr">
        <is>
          <t>Retained in v0.2</t>
        </is>
      </c>
    </row>
    <row r="68" ht="36" customHeight="1" s="63">
      <c r="A68" s="66" t="inlineStr">
        <is>
          <t>Global_VTS_Inventory_v0.1.xlsx</t>
        </is>
      </c>
      <c r="B68" s="66" t="inlineStr">
        <is>
          <t>TSS</t>
        </is>
      </c>
      <c r="C68" s="66" t="inlineStr">
        <is>
          <t>TSS-062</t>
        </is>
      </c>
      <c r="D68" s="66" t="inlineStr">
        <is>
          <t>TSS-0062</t>
        </is>
      </c>
      <c r="E68" s="66" t="inlineStr">
        <is>
          <t>Retained in v0.2</t>
        </is>
      </c>
    </row>
    <row r="69" ht="36" customHeight="1" s="63">
      <c r="A69" s="66" t="inlineStr">
        <is>
          <t>Global_VTS_Inventory_v0.1.xlsx</t>
        </is>
      </c>
      <c r="B69" s="66" t="inlineStr">
        <is>
          <t>TSS</t>
        </is>
      </c>
      <c r="C69" s="66" t="inlineStr">
        <is>
          <t>TSS-063</t>
        </is>
      </c>
      <c r="D69" s="66" t="inlineStr">
        <is>
          <t>TSS-0063</t>
        </is>
      </c>
      <c r="E69" s="66" t="inlineStr">
        <is>
          <t>Retained in v0.2</t>
        </is>
      </c>
    </row>
    <row r="70" ht="36" customHeight="1" s="63">
      <c r="A70" s="66" t="inlineStr">
        <is>
          <t>Global_VTS_Inventory_v0.1.xlsx</t>
        </is>
      </c>
      <c r="B70" s="66" t="inlineStr">
        <is>
          <t>TSS</t>
        </is>
      </c>
      <c r="C70" s="66" t="inlineStr">
        <is>
          <t>TSS-064</t>
        </is>
      </c>
      <c r="D70" s="66" t="inlineStr">
        <is>
          <t>TSS-0064</t>
        </is>
      </c>
      <c r="E70" s="66" t="inlineStr">
        <is>
          <t>Retained in v0.2</t>
        </is>
      </c>
    </row>
    <row r="71" ht="36" customHeight="1" s="63">
      <c r="A71" s="66" t="inlineStr">
        <is>
          <t>Global_VTS_Inventory_v0.1.xlsx</t>
        </is>
      </c>
      <c r="B71" s="66" t="inlineStr">
        <is>
          <t>TSS</t>
        </is>
      </c>
      <c r="C71" s="66" t="inlineStr">
        <is>
          <t>TSS-065</t>
        </is>
      </c>
      <c r="D71" s="66" t="inlineStr">
        <is>
          <t>TSS-0065</t>
        </is>
      </c>
      <c r="E71" s="66" t="inlineStr">
        <is>
          <t>Retained in v0.2</t>
        </is>
      </c>
    </row>
    <row r="72" ht="36" customHeight="1" s="63">
      <c r="A72" s="66" t="inlineStr">
        <is>
          <t>Global_VTS_Inventory_v0.1.xlsx</t>
        </is>
      </c>
      <c r="B72" s="66" t="inlineStr">
        <is>
          <t>TSS</t>
        </is>
      </c>
      <c r="C72" s="66" t="inlineStr">
        <is>
          <t>TSS-066</t>
        </is>
      </c>
      <c r="D72" s="66" t="inlineStr">
        <is>
          <t>TSS-0066</t>
        </is>
      </c>
      <c r="E72" s="66" t="inlineStr">
        <is>
          <t>Retained in v0.2</t>
        </is>
      </c>
    </row>
    <row r="73" ht="36" customHeight="1" s="63">
      <c r="A73" s="66" t="inlineStr">
        <is>
          <t>Global_VTS_Inventory_v0.1.xlsx</t>
        </is>
      </c>
      <c r="B73" s="66" t="inlineStr">
        <is>
          <t>TSS</t>
        </is>
      </c>
      <c r="C73" s="66" t="inlineStr">
        <is>
          <t>TSS-067</t>
        </is>
      </c>
      <c r="D73" s="66" t="inlineStr">
        <is>
          <t>TSS-0067</t>
        </is>
      </c>
      <c r="E73" s="66" t="inlineStr">
        <is>
          <t>Retained in v0.2</t>
        </is>
      </c>
    </row>
    <row r="74" ht="36" customHeight="1" s="63">
      <c r="A74" s="66" t="inlineStr">
        <is>
          <t>Global_VTS_Inventory_v0.1.xlsx</t>
        </is>
      </c>
      <c r="B74" s="66" t="inlineStr">
        <is>
          <t>TSS</t>
        </is>
      </c>
      <c r="C74" s="66" t="inlineStr">
        <is>
          <t>TSS-068</t>
        </is>
      </c>
      <c r="D74" s="66" t="inlineStr">
        <is>
          <t>TSS-0068</t>
        </is>
      </c>
      <c r="E74" s="66" t="inlineStr">
        <is>
          <t>Retained in v0.2</t>
        </is>
      </c>
    </row>
    <row r="75" ht="36" customHeight="1" s="63">
      <c r="A75" s="66" t="inlineStr">
        <is>
          <t>Global_VTS_Inventory_v0.1.xlsx</t>
        </is>
      </c>
      <c r="B75" s="66" t="inlineStr">
        <is>
          <t>TSS</t>
        </is>
      </c>
      <c r="C75" s="66" t="inlineStr">
        <is>
          <t>TSS-069</t>
        </is>
      </c>
      <c r="D75" s="66" t="inlineStr">
        <is>
          <t>TSS-0069</t>
        </is>
      </c>
      <c r="E75" s="66" t="inlineStr">
        <is>
          <t>Retained in v0.2</t>
        </is>
      </c>
    </row>
    <row r="76" ht="36" customHeight="1" s="63">
      <c r="A76" s="66" t="inlineStr">
        <is>
          <t>Global_VTS_Inventory_v0.1.xlsx</t>
        </is>
      </c>
      <c r="B76" s="66" t="inlineStr">
        <is>
          <t>TSS</t>
        </is>
      </c>
      <c r="C76" s="66" t="inlineStr">
        <is>
          <t>TSS-070</t>
        </is>
      </c>
      <c r="D76" s="66" t="inlineStr">
        <is>
          <t>TSS-0070</t>
        </is>
      </c>
      <c r="E76" s="66" t="inlineStr">
        <is>
          <t>Retained in v0.2</t>
        </is>
      </c>
    </row>
    <row r="77" ht="36" customHeight="1" s="63">
      <c r="A77" s="66" t="inlineStr">
        <is>
          <t>Global_VTS_Inventory_v0.1.xlsx</t>
        </is>
      </c>
      <c r="B77" s="66" t="inlineStr">
        <is>
          <t>TSS</t>
        </is>
      </c>
      <c r="C77" s="66" t="inlineStr">
        <is>
          <t>TSS-071</t>
        </is>
      </c>
      <c r="D77" s="66" t="inlineStr">
        <is>
          <t>TSS-0071</t>
        </is>
      </c>
      <c r="E77" s="66" t="inlineStr">
        <is>
          <t>Retained in v0.2</t>
        </is>
      </c>
    </row>
    <row r="78" ht="36" customHeight="1" s="63">
      <c r="A78" s="66" t="inlineStr">
        <is>
          <t>Global_VTS_Inventory_v0.1.xlsx</t>
        </is>
      </c>
      <c r="B78" s="66" t="inlineStr">
        <is>
          <t>TSS</t>
        </is>
      </c>
      <c r="C78" s="66" t="inlineStr">
        <is>
          <t>TSS-072</t>
        </is>
      </c>
      <c r="D78" s="66" t="inlineStr">
        <is>
          <t>TSS-0072</t>
        </is>
      </c>
      <c r="E78" s="66" t="inlineStr">
        <is>
          <t>Retained in v0.2</t>
        </is>
      </c>
    </row>
    <row r="79" ht="36" customHeight="1" s="63">
      <c r="A79" s="66" t="inlineStr">
        <is>
          <t>Global_VTS_Inventory_v0.1.xlsx</t>
        </is>
      </c>
      <c r="B79" s="66" t="inlineStr">
        <is>
          <t>TSS</t>
        </is>
      </c>
      <c r="C79" s="66" t="inlineStr">
        <is>
          <t>TSS-073</t>
        </is>
      </c>
      <c r="D79" s="66" t="inlineStr">
        <is>
          <t>TSS-0073</t>
        </is>
      </c>
      <c r="E79" s="66" t="inlineStr">
        <is>
          <t>Retained in v0.2</t>
        </is>
      </c>
    </row>
    <row r="80" ht="36" customHeight="1" s="63">
      <c r="A80" s="66" t="inlineStr">
        <is>
          <t>Global_VTS_Inventory_v0.1.xlsx</t>
        </is>
      </c>
      <c r="B80" s="66" t="inlineStr">
        <is>
          <t>TSS</t>
        </is>
      </c>
      <c r="C80" s="66" t="inlineStr">
        <is>
          <t>TSS-074</t>
        </is>
      </c>
      <c r="D80" s="66" t="inlineStr">
        <is>
          <t>TSS-0074</t>
        </is>
      </c>
      <c r="E80" s="66" t="inlineStr">
        <is>
          <t>Retained in v0.2</t>
        </is>
      </c>
    </row>
    <row r="81" ht="36" customHeight="1" s="63">
      <c r="A81" s="66" t="inlineStr">
        <is>
          <t>Global_VTS_Inventory_v0.1.xlsx</t>
        </is>
      </c>
      <c r="B81" s="66" t="inlineStr">
        <is>
          <t>TSS</t>
        </is>
      </c>
      <c r="C81" s="66" t="inlineStr">
        <is>
          <t>TSS-075</t>
        </is>
      </c>
      <c r="D81" s="66" t="inlineStr">
        <is>
          <t>TSS-0075</t>
        </is>
      </c>
      <c r="E81" s="66" t="inlineStr">
        <is>
          <t>Retained in v0.2</t>
        </is>
      </c>
    </row>
    <row r="82" ht="36" customHeight="1" s="63">
      <c r="A82" s="66" t="inlineStr">
        <is>
          <t>Global_VTS_Inventory_v0.1.xlsx</t>
        </is>
      </c>
      <c r="B82" s="66" t="inlineStr">
        <is>
          <t>TSS</t>
        </is>
      </c>
      <c r="C82" s="66" t="inlineStr">
        <is>
          <t>TSS-076</t>
        </is>
      </c>
      <c r="D82" s="66" t="inlineStr">
        <is>
          <t>TSS-0076</t>
        </is>
      </c>
      <c r="E82" s="66" t="inlineStr">
        <is>
          <t>Retained in v0.2</t>
        </is>
      </c>
    </row>
    <row r="83" ht="36" customHeight="1" s="63">
      <c r="A83" s="66" t="inlineStr">
        <is>
          <t>Global_VTS_Inventory_v0.1.xlsx</t>
        </is>
      </c>
      <c r="B83" s="66" t="inlineStr">
        <is>
          <t>TSS</t>
        </is>
      </c>
      <c r="C83" s="66" t="inlineStr">
        <is>
          <t>TSS-077</t>
        </is>
      </c>
      <c r="D83" s="66" t="inlineStr">
        <is>
          <t>TSS-0077</t>
        </is>
      </c>
      <c r="E83" s="66" t="inlineStr">
        <is>
          <t>Retained in v0.2</t>
        </is>
      </c>
    </row>
    <row r="84" ht="36" customHeight="1" s="63">
      <c r="A84" s="66" t="inlineStr">
        <is>
          <t>Global_VTS_Inventory_v0.1.xlsx</t>
        </is>
      </c>
      <c r="B84" s="66" t="inlineStr">
        <is>
          <t>TSS</t>
        </is>
      </c>
      <c r="C84" s="66" t="inlineStr">
        <is>
          <t>TSS-078</t>
        </is>
      </c>
      <c r="D84" s="66" t="inlineStr">
        <is>
          <t>TSS-0078</t>
        </is>
      </c>
      <c r="E84" s="66" t="inlineStr">
        <is>
          <t>Retained in v0.2</t>
        </is>
      </c>
    </row>
    <row r="85" ht="36" customHeight="1" s="63">
      <c r="A85" s="66" t="inlineStr">
        <is>
          <t>Global_VTS_Inventory_v0.1.xlsx</t>
        </is>
      </c>
      <c r="B85" s="66" t="inlineStr">
        <is>
          <t>TSS</t>
        </is>
      </c>
      <c r="C85" s="66" t="inlineStr">
        <is>
          <t>TSS-079</t>
        </is>
      </c>
      <c r="D85" s="66" t="inlineStr">
        <is>
          <t>TSS-0079</t>
        </is>
      </c>
      <c r="E85" s="66" t="inlineStr">
        <is>
          <t>Retained in v0.2</t>
        </is>
      </c>
    </row>
    <row r="86" ht="36" customHeight="1" s="63">
      <c r="A86" s="66" t="inlineStr">
        <is>
          <t>Global_VTS_Inventory_v0.1.xlsx</t>
        </is>
      </c>
      <c r="B86" s="66" t="inlineStr">
        <is>
          <t>TSS</t>
        </is>
      </c>
      <c r="C86" s="66" t="inlineStr">
        <is>
          <t>TSS-080</t>
        </is>
      </c>
      <c r="D86" s="66" t="inlineStr">
        <is>
          <t>TSS-0080</t>
        </is>
      </c>
      <c r="E86" s="66" t="inlineStr">
        <is>
          <t>Retained in v0.2</t>
        </is>
      </c>
    </row>
    <row r="87" ht="36" customHeight="1" s="63">
      <c r="A87" s="66" t="inlineStr">
        <is>
          <t>Global_VTS_Inventory_v0.1.xlsx</t>
        </is>
      </c>
      <c r="B87" s="66" t="inlineStr">
        <is>
          <t>TSS</t>
        </is>
      </c>
      <c r="C87" s="66" t="inlineStr">
        <is>
          <t>TSS-081</t>
        </is>
      </c>
      <c r="D87" s="66" t="inlineStr">
        <is>
          <t>TSS-0081</t>
        </is>
      </c>
      <c r="E87" s="66" t="inlineStr">
        <is>
          <t>Retained in v0.2</t>
        </is>
      </c>
    </row>
    <row r="88" ht="36" customHeight="1" s="63">
      <c r="A88" s="66" t="inlineStr">
        <is>
          <t>Global_VTS_Inventory_v0.1.xlsx</t>
        </is>
      </c>
      <c r="B88" s="66" t="inlineStr">
        <is>
          <t>TSS</t>
        </is>
      </c>
      <c r="C88" s="66" t="inlineStr">
        <is>
          <t>TSS-082</t>
        </is>
      </c>
      <c r="D88" s="66" t="inlineStr">
        <is>
          <t>TSS-0082</t>
        </is>
      </c>
      <c r="E88" s="66" t="inlineStr">
        <is>
          <t>Retained in v0.2</t>
        </is>
      </c>
    </row>
    <row r="89" ht="36" customHeight="1" s="63">
      <c r="A89" s="66" t="inlineStr">
        <is>
          <t>Global_VTS_Inventory_v0.1.xlsx</t>
        </is>
      </c>
      <c r="B89" s="66" t="inlineStr">
        <is>
          <t>TSS</t>
        </is>
      </c>
      <c r="C89" s="66" t="inlineStr">
        <is>
          <t>TSS-083</t>
        </is>
      </c>
      <c r="D89" s="66" t="inlineStr">
        <is>
          <t>TSS-0083</t>
        </is>
      </c>
      <c r="E89" s="66" t="inlineStr">
        <is>
          <t>Retained in v0.2</t>
        </is>
      </c>
    </row>
    <row r="90" ht="36" customHeight="1" s="63">
      <c r="A90" s="66" t="inlineStr">
        <is>
          <t>Global_VTS_Inventory_v0.1.xlsx</t>
        </is>
      </c>
      <c r="B90" s="66" t="inlineStr">
        <is>
          <t>TSS</t>
        </is>
      </c>
      <c r="C90" s="66" t="inlineStr">
        <is>
          <t>TSS-084</t>
        </is>
      </c>
      <c r="D90" s="66" t="inlineStr">
        <is>
          <t>TSS-0084</t>
        </is>
      </c>
      <c r="E90" s="66" t="inlineStr">
        <is>
          <t>Retained in v0.2</t>
        </is>
      </c>
    </row>
    <row r="91" ht="36" customHeight="1" s="63">
      <c r="A91" s="66" t="inlineStr">
        <is>
          <t>Global_VTS_Inventory_v0.1.xlsx</t>
        </is>
      </c>
      <c r="B91" s="66" t="inlineStr">
        <is>
          <t>TSS</t>
        </is>
      </c>
      <c r="C91" s="66" t="inlineStr">
        <is>
          <t>TSS-085</t>
        </is>
      </c>
      <c r="D91" s="66" t="inlineStr">
        <is>
          <t>TSS-0085</t>
        </is>
      </c>
      <c r="E91" s="66" t="inlineStr">
        <is>
          <t>Retained in v0.2</t>
        </is>
      </c>
    </row>
    <row r="92" ht="36" customHeight="1" s="63">
      <c r="A92" s="66" t="inlineStr">
        <is>
          <t>Global_VTS_Inventory_v0.1.xlsx</t>
        </is>
      </c>
      <c r="B92" s="66" t="inlineStr">
        <is>
          <t>TSS</t>
        </is>
      </c>
      <c r="C92" s="66" t="inlineStr">
        <is>
          <t>TSS-086</t>
        </is>
      </c>
      <c r="D92" s="66" t="inlineStr">
        <is>
          <t>TSS-0086</t>
        </is>
      </c>
      <c r="E92" s="66" t="inlineStr">
        <is>
          <t>Retained in v0.2</t>
        </is>
      </c>
    </row>
    <row r="93" ht="36" customHeight="1" s="63">
      <c r="A93" s="66" t="inlineStr">
        <is>
          <t>Global_VTS_Inventory_v0.1.xlsx</t>
        </is>
      </c>
      <c r="B93" s="66" t="inlineStr">
        <is>
          <t>TSS</t>
        </is>
      </c>
      <c r="C93" s="66" t="inlineStr">
        <is>
          <t>TSS-087</t>
        </is>
      </c>
      <c r="D93" s="66" t="inlineStr">
        <is>
          <t>TSS-0087</t>
        </is>
      </c>
      <c r="E93" s="66" t="inlineStr">
        <is>
          <t>Retained in v0.2</t>
        </is>
      </c>
    </row>
    <row r="94" ht="36" customHeight="1" s="63">
      <c r="A94" s="66" t="inlineStr">
        <is>
          <t>Global_VTS_Inventory_v0.1.xlsx</t>
        </is>
      </c>
      <c r="B94" s="66" t="inlineStr">
        <is>
          <t>TSS</t>
        </is>
      </c>
      <c r="C94" s="66" t="inlineStr">
        <is>
          <t>TSS-088</t>
        </is>
      </c>
      <c r="D94" s="66" t="inlineStr">
        <is>
          <t>TSS-0088</t>
        </is>
      </c>
      <c r="E94" s="66" t="inlineStr">
        <is>
          <t>Retained in v0.2</t>
        </is>
      </c>
    </row>
    <row r="95" ht="36" customHeight="1" s="63">
      <c r="A95" s="66" t="inlineStr">
        <is>
          <t>Global_VTS_Inventory_v0.1.xlsx</t>
        </is>
      </c>
      <c r="B95" s="66" t="inlineStr">
        <is>
          <t>TSS</t>
        </is>
      </c>
      <c r="C95" s="66" t="inlineStr">
        <is>
          <t>TSS-089</t>
        </is>
      </c>
      <c r="D95" s="66" t="inlineStr">
        <is>
          <t>TSS-0089</t>
        </is>
      </c>
      <c r="E95" s="66" t="inlineStr">
        <is>
          <t>Retained in v0.2</t>
        </is>
      </c>
    </row>
    <row r="96" ht="36" customHeight="1" s="63">
      <c r="A96" s="66" t="inlineStr">
        <is>
          <t>Global_VTS_Inventory_v0.1.xlsx</t>
        </is>
      </c>
      <c r="B96" s="66" t="inlineStr">
        <is>
          <t>TSS</t>
        </is>
      </c>
      <c r="C96" s="66" t="inlineStr">
        <is>
          <t>TSS-090</t>
        </is>
      </c>
      <c r="D96" s="66" t="inlineStr">
        <is>
          <t>TSS-0090</t>
        </is>
      </c>
      <c r="E96" s="66" t="inlineStr">
        <is>
          <t>Retained in v0.2</t>
        </is>
      </c>
    </row>
    <row r="97" ht="36" customHeight="1" s="63">
      <c r="A97" s="66" t="inlineStr">
        <is>
          <t>Global_VTS_Inventory_v0.1.xlsx</t>
        </is>
      </c>
      <c r="B97" s="66" t="inlineStr">
        <is>
          <t>TSS</t>
        </is>
      </c>
      <c r="C97" s="66" t="inlineStr">
        <is>
          <t>TSS-091</t>
        </is>
      </c>
      <c r="D97" s="66" t="inlineStr">
        <is>
          <t>TSS-0091</t>
        </is>
      </c>
      <c r="E97" s="66" t="inlineStr">
        <is>
          <t>Retained in v0.2</t>
        </is>
      </c>
    </row>
    <row r="98" ht="36" customHeight="1" s="63">
      <c r="A98" s="66" t="inlineStr">
        <is>
          <t>Global_VTS_Inventory_v0.1.xlsx</t>
        </is>
      </c>
      <c r="B98" s="66" t="inlineStr">
        <is>
          <t>TSS</t>
        </is>
      </c>
      <c r="C98" s="66" t="inlineStr">
        <is>
          <t>TSS-092</t>
        </is>
      </c>
      <c r="D98" s="66" t="inlineStr">
        <is>
          <t>TSS-0092</t>
        </is>
      </c>
      <c r="E98" s="66" t="inlineStr">
        <is>
          <t>Retained in v0.2</t>
        </is>
      </c>
    </row>
    <row r="99" ht="36" customHeight="1" s="63">
      <c r="A99" s="66" t="inlineStr">
        <is>
          <t>Global_VTS_Inventory_v0.1.xlsx</t>
        </is>
      </c>
      <c r="B99" s="66" t="inlineStr">
        <is>
          <t>TSS</t>
        </is>
      </c>
      <c r="C99" s="66" t="inlineStr">
        <is>
          <t>TSS-093</t>
        </is>
      </c>
      <c r="D99" s="66" t="inlineStr">
        <is>
          <t>TSS-0093</t>
        </is>
      </c>
      <c r="E99" s="66" t="inlineStr">
        <is>
          <t>Retained in v0.2</t>
        </is>
      </c>
    </row>
    <row r="100" ht="36" customHeight="1" s="63">
      <c r="A100" s="66" t="inlineStr">
        <is>
          <t>Global_VTS_Inventory_v0.1.xlsx</t>
        </is>
      </c>
      <c r="B100" s="66" t="inlineStr">
        <is>
          <t>TSS</t>
        </is>
      </c>
      <c r="C100" s="66" t="inlineStr">
        <is>
          <t>TSS-094</t>
        </is>
      </c>
      <c r="D100" s="66" t="inlineStr">
        <is>
          <t>TSS-0094</t>
        </is>
      </c>
      <c r="E100" s="66" t="inlineStr">
        <is>
          <t>Retained in v0.2</t>
        </is>
      </c>
    </row>
    <row r="101" ht="36" customHeight="1" s="63">
      <c r="A101" s="66" t="inlineStr">
        <is>
          <t>Global_VTS_Inventory_v0.1.xlsx</t>
        </is>
      </c>
      <c r="B101" s="66" t="inlineStr">
        <is>
          <t>TSS</t>
        </is>
      </c>
      <c r="C101" s="66" t="inlineStr">
        <is>
          <t>TSS-095</t>
        </is>
      </c>
      <c r="D101" s="66" t="inlineStr">
        <is>
          <t>TSS-0095</t>
        </is>
      </c>
      <c r="E101" s="66" t="inlineStr">
        <is>
          <t>Retained in v0.2</t>
        </is>
      </c>
    </row>
    <row r="102" ht="36" customHeight="1" s="63">
      <c r="A102" s="66" t="inlineStr">
        <is>
          <t>Global_VTS_Inventory_v0.1.xlsx</t>
        </is>
      </c>
      <c r="B102" s="66" t="inlineStr">
        <is>
          <t>TSS</t>
        </is>
      </c>
      <c r="C102" s="66" t="inlineStr">
        <is>
          <t>TSS-096</t>
        </is>
      </c>
      <c r="D102" s="66" t="inlineStr">
        <is>
          <t>TSS-0096</t>
        </is>
      </c>
      <c r="E102" s="66" t="inlineStr">
        <is>
          <t>Retained in v0.2</t>
        </is>
      </c>
    </row>
    <row r="103" ht="36" customHeight="1" s="63">
      <c r="A103" s="66" t="inlineStr">
        <is>
          <t>Global_VTS_Inventory_v0.1.xlsx</t>
        </is>
      </c>
      <c r="B103" s="66" t="inlineStr">
        <is>
          <t>TSS</t>
        </is>
      </c>
      <c r="C103" s="66" t="inlineStr">
        <is>
          <t>TSS-097</t>
        </is>
      </c>
      <c r="D103" s="66" t="inlineStr">
        <is>
          <t>TSS-0097</t>
        </is>
      </c>
      <c r="E103" s="66" t="inlineStr">
        <is>
          <t>Retained in v0.2</t>
        </is>
      </c>
    </row>
    <row r="104" ht="36" customHeight="1" s="63">
      <c r="A104" s="66" t="inlineStr">
        <is>
          <t>Global_VTS_Inventory_v0.1.xlsx</t>
        </is>
      </c>
      <c r="B104" s="66" t="inlineStr">
        <is>
          <t>TSS</t>
        </is>
      </c>
      <c r="C104" s="66" t="inlineStr">
        <is>
          <t>TSS-098</t>
        </is>
      </c>
      <c r="D104" s="66" t="inlineStr">
        <is>
          <t>TSS-0098</t>
        </is>
      </c>
      <c r="E104" s="66" t="inlineStr">
        <is>
          <t>Retained in v0.2</t>
        </is>
      </c>
    </row>
    <row r="105" ht="36" customHeight="1" s="63">
      <c r="A105" s="66" t="inlineStr">
        <is>
          <t>Global_VTS_Inventory_v0.1.xlsx</t>
        </is>
      </c>
      <c r="B105" s="66" t="inlineStr">
        <is>
          <t>TSS</t>
        </is>
      </c>
      <c r="C105" s="66" t="inlineStr">
        <is>
          <t>TSS-099</t>
        </is>
      </c>
      <c r="D105" s="66" t="inlineStr">
        <is>
          <t>TSS-0099</t>
        </is>
      </c>
      <c r="E105" s="66" t="inlineStr">
        <is>
          <t>Retained in v0.2</t>
        </is>
      </c>
    </row>
    <row r="106" ht="36" customHeight="1" s="63">
      <c r="A106" s="66" t="inlineStr">
        <is>
          <t>Global_VTS_Inventory_v0.1.xlsx</t>
        </is>
      </c>
      <c r="B106" s="66" t="inlineStr">
        <is>
          <t>TSS</t>
        </is>
      </c>
      <c r="C106" s="66" t="inlineStr">
        <is>
          <t>TSS-100</t>
        </is>
      </c>
      <c r="D106" s="66" t="inlineStr">
        <is>
          <t>TSS-0100</t>
        </is>
      </c>
      <c r="E106" s="66" t="inlineStr">
        <is>
          <t>Retained in v0.2</t>
        </is>
      </c>
    </row>
    <row r="107" ht="36" customHeight="1" s="63">
      <c r="A107" s="66" t="inlineStr">
        <is>
          <t>Global_VTS_Inventory_v0.1.xlsx</t>
        </is>
      </c>
      <c r="B107" s="66" t="inlineStr">
        <is>
          <t>TSS</t>
        </is>
      </c>
      <c r="C107" s="66" t="inlineStr">
        <is>
          <t>TSS-101</t>
        </is>
      </c>
      <c r="D107" s="66" t="inlineStr">
        <is>
          <t>TSS-0101</t>
        </is>
      </c>
      <c r="E107" s="66" t="inlineStr">
        <is>
          <t>Retained in v0.2</t>
        </is>
      </c>
    </row>
    <row r="108" ht="36" customHeight="1" s="63">
      <c r="A108" s="66" t="inlineStr">
        <is>
          <t>Global_VTS_Inventory_v0.1.xlsx</t>
        </is>
      </c>
      <c r="B108" s="66" t="inlineStr">
        <is>
          <t>TSS</t>
        </is>
      </c>
      <c r="C108" s="66" t="inlineStr">
        <is>
          <t>TSS-102</t>
        </is>
      </c>
      <c r="D108" s="66" t="inlineStr">
        <is>
          <t>TSS-0102</t>
        </is>
      </c>
      <c r="E108" s="66" t="inlineStr">
        <is>
          <t>Retained in v0.2</t>
        </is>
      </c>
    </row>
    <row r="109" ht="36" customHeight="1" s="63">
      <c r="A109" s="66" t="inlineStr">
        <is>
          <t>Global_VTS_Inventory_v0.1.xlsx</t>
        </is>
      </c>
      <c r="B109" s="66" t="inlineStr">
        <is>
          <t>TSS</t>
        </is>
      </c>
      <c r="C109" s="66" t="inlineStr">
        <is>
          <t>TSS-103</t>
        </is>
      </c>
      <c r="D109" s="66" t="inlineStr">
        <is>
          <t>TSS-0103</t>
        </is>
      </c>
      <c r="E109" s="66" t="inlineStr">
        <is>
          <t>Retained in v0.2</t>
        </is>
      </c>
    </row>
    <row r="110" ht="36" customHeight="1" s="63">
      <c r="A110" s="66" t="inlineStr">
        <is>
          <t>Global_VTS_Inventory_v0.1.xlsx</t>
        </is>
      </c>
      <c r="B110" s="66" t="inlineStr">
        <is>
          <t>TSS</t>
        </is>
      </c>
      <c r="C110" s="66" t="inlineStr">
        <is>
          <t>TSS-104</t>
        </is>
      </c>
      <c r="D110" s="66" t="inlineStr">
        <is>
          <t>TSS-0104</t>
        </is>
      </c>
      <c r="E110" s="66" t="inlineStr">
        <is>
          <t>Retained in v0.2</t>
        </is>
      </c>
    </row>
    <row r="111" ht="36" customHeight="1" s="63">
      <c r="A111" s="66" t="inlineStr">
        <is>
          <t>Global_VTS_Inventory_v0.1.xlsx</t>
        </is>
      </c>
      <c r="B111" s="66" t="inlineStr">
        <is>
          <t>TSS</t>
        </is>
      </c>
      <c r="C111" s="66" t="inlineStr">
        <is>
          <t>TSS-105</t>
        </is>
      </c>
      <c r="D111" s="66" t="inlineStr">
        <is>
          <t>TSS-0105</t>
        </is>
      </c>
      <c r="E111" s="66" t="inlineStr">
        <is>
          <t>Retained in v0.2</t>
        </is>
      </c>
    </row>
    <row r="112" ht="36" customHeight="1" s="63">
      <c r="A112" s="66" t="inlineStr">
        <is>
          <t>Global_VTS_Inventory_v0.1.xlsx</t>
        </is>
      </c>
      <c r="B112" s="66" t="inlineStr">
        <is>
          <t>TSS</t>
        </is>
      </c>
      <c r="C112" s="66" t="inlineStr">
        <is>
          <t>TSS-106</t>
        </is>
      </c>
      <c r="D112" s="66" t="inlineStr">
        <is>
          <t>TSS-0106</t>
        </is>
      </c>
      <c r="E112" s="66" t="inlineStr">
        <is>
          <t>Retained in v0.2</t>
        </is>
      </c>
    </row>
    <row r="113" ht="36" customHeight="1" s="63">
      <c r="A113" s="66" t="inlineStr">
        <is>
          <t>Global_VTS_Inventory_v0.1.xlsx</t>
        </is>
      </c>
      <c r="B113" s="66" t="inlineStr">
        <is>
          <t>TSS</t>
        </is>
      </c>
      <c r="C113" s="66" t="inlineStr">
        <is>
          <t>TSS-107</t>
        </is>
      </c>
      <c r="D113" s="66" t="inlineStr">
        <is>
          <t>TSS-0107</t>
        </is>
      </c>
      <c r="E113" s="66" t="inlineStr">
        <is>
          <t>Retained in v0.2</t>
        </is>
      </c>
    </row>
    <row r="114" ht="36" customHeight="1" s="63">
      <c r="A114" s="66" t="inlineStr">
        <is>
          <t>Global_VTS_Inventory_v0.1.xlsx</t>
        </is>
      </c>
      <c r="B114" s="66" t="inlineStr">
        <is>
          <t>TSS</t>
        </is>
      </c>
      <c r="C114" s="66" t="inlineStr">
        <is>
          <t>TSS-108</t>
        </is>
      </c>
      <c r="D114" s="66" t="inlineStr">
        <is>
          <t>TSS-0108</t>
        </is>
      </c>
      <c r="E114" s="66" t="inlineStr">
        <is>
          <t>Retained in v0.2</t>
        </is>
      </c>
    </row>
    <row r="115" ht="36" customHeight="1" s="63">
      <c r="A115" s="66" t="inlineStr">
        <is>
          <t>Global_VTS_Inventory_v0.1.xlsx</t>
        </is>
      </c>
      <c r="B115" s="66" t="inlineStr">
        <is>
          <t>TSS</t>
        </is>
      </c>
      <c r="C115" s="66" t="inlineStr">
        <is>
          <t>TSS-109</t>
        </is>
      </c>
      <c r="D115" s="66" t="inlineStr">
        <is>
          <t>TSS-0109</t>
        </is>
      </c>
      <c r="E115" s="66" t="inlineStr">
        <is>
          <t>Retained in v0.2</t>
        </is>
      </c>
    </row>
    <row r="116" ht="36" customHeight="1" s="63">
      <c r="A116" s="66" t="inlineStr">
        <is>
          <t>Global_VTS_Inventory_v0.1.xlsx</t>
        </is>
      </c>
      <c r="B116" s="66" t="inlineStr">
        <is>
          <t>TSS</t>
        </is>
      </c>
      <c r="C116" s="66" t="inlineStr">
        <is>
          <t>TSS-110</t>
        </is>
      </c>
      <c r="D116" s="66" t="inlineStr">
        <is>
          <t>TSS-0110</t>
        </is>
      </c>
      <c r="E116" s="66" t="inlineStr">
        <is>
          <t>Retained in v0.2</t>
        </is>
      </c>
    </row>
    <row r="117" ht="36" customHeight="1" s="63">
      <c r="A117" s="66" t="inlineStr">
        <is>
          <t>Global_VTS_Inventory_v0.1.xlsx</t>
        </is>
      </c>
      <c r="B117" s="66" t="inlineStr">
        <is>
          <t>TSS</t>
        </is>
      </c>
      <c r="C117" s="66" t="inlineStr">
        <is>
          <t>TSS-111</t>
        </is>
      </c>
      <c r="D117" s="66" t="inlineStr">
        <is>
          <t>TSS-0111</t>
        </is>
      </c>
      <c r="E117" s="66" t="inlineStr">
        <is>
          <t>Retained in v0.2</t>
        </is>
      </c>
    </row>
    <row r="118" ht="36" customHeight="1" s="63">
      <c r="A118" s="66" t="inlineStr">
        <is>
          <t>Global_VTS_Inventory_v0.1.xlsx</t>
        </is>
      </c>
      <c r="B118" s="66" t="inlineStr">
        <is>
          <t>TSS</t>
        </is>
      </c>
      <c r="C118" s="66" t="inlineStr">
        <is>
          <t>TSS-112</t>
        </is>
      </c>
      <c r="D118" s="66" t="inlineStr">
        <is>
          <t>TSS-0112</t>
        </is>
      </c>
      <c r="E118" s="66" t="inlineStr">
        <is>
          <t>Retained in v0.2</t>
        </is>
      </c>
    </row>
    <row r="119" ht="36" customHeight="1" s="63">
      <c r="A119" s="66" t="inlineStr">
        <is>
          <t>Global_VTS_Inventory_v0.1.xlsx</t>
        </is>
      </c>
      <c r="B119" s="66" t="inlineStr">
        <is>
          <t>TSS</t>
        </is>
      </c>
      <c r="C119" s="66" t="inlineStr">
        <is>
          <t>TSS-113</t>
        </is>
      </c>
      <c r="D119" s="66" t="inlineStr">
        <is>
          <t>TSS-0113</t>
        </is>
      </c>
      <c r="E119" s="66" t="inlineStr">
        <is>
          <t>Retained in v0.2</t>
        </is>
      </c>
    </row>
    <row r="120" ht="36" customHeight="1" s="63">
      <c r="A120" s="66" t="inlineStr">
        <is>
          <t>Global_VTS_Inventory_v0.1.xlsx</t>
        </is>
      </c>
      <c r="B120" s="66" t="inlineStr">
        <is>
          <t>TSS</t>
        </is>
      </c>
      <c r="C120" s="66" t="inlineStr">
        <is>
          <t>TSS-114</t>
        </is>
      </c>
      <c r="D120" s="66" t="inlineStr">
        <is>
          <t>TSS-0114</t>
        </is>
      </c>
      <c r="E120" s="66" t="inlineStr">
        <is>
          <t>Retained in v0.2</t>
        </is>
      </c>
    </row>
    <row r="121" ht="36" customHeight="1" s="63">
      <c r="A121" s="66" t="inlineStr">
        <is>
          <t>Global_VTS_Inventory_v0.1.xlsx</t>
        </is>
      </c>
      <c r="B121" s="66" t="inlineStr">
        <is>
          <t>TSS</t>
        </is>
      </c>
      <c r="C121" s="66" t="inlineStr">
        <is>
          <t>TSS-115</t>
        </is>
      </c>
      <c r="D121" s="66" t="inlineStr">
        <is>
          <t>TSS-0115</t>
        </is>
      </c>
      <c r="E121" s="66" t="inlineStr">
        <is>
          <t>Retained in v0.2</t>
        </is>
      </c>
    </row>
    <row r="122" ht="36" customHeight="1" s="63">
      <c r="A122" s="66" t="inlineStr">
        <is>
          <t>Global_VTS_Inventory_v0.1.xlsx</t>
        </is>
      </c>
      <c r="B122" s="66" t="inlineStr">
        <is>
          <t>TSS</t>
        </is>
      </c>
      <c r="C122" s="66" t="inlineStr">
        <is>
          <t>TSS-116</t>
        </is>
      </c>
      <c r="D122" s="66" t="inlineStr">
        <is>
          <t>TSS-0116</t>
        </is>
      </c>
      <c r="E122" s="66" t="inlineStr">
        <is>
          <t>Retained in v0.2</t>
        </is>
      </c>
    </row>
    <row r="123" ht="36" customHeight="1" s="63">
      <c r="A123" s="66" t="inlineStr">
        <is>
          <t>Global_VTS_Inventory_v0.1.xlsx</t>
        </is>
      </c>
      <c r="B123" s="66" t="inlineStr">
        <is>
          <t>TSS</t>
        </is>
      </c>
      <c r="C123" s="66" t="inlineStr">
        <is>
          <t>TSS-117</t>
        </is>
      </c>
      <c r="D123" s="66" t="inlineStr">
        <is>
          <t>TSS-0117</t>
        </is>
      </c>
      <c r="E123" s="66" t="inlineStr">
        <is>
          <t>Retained in v0.2</t>
        </is>
      </c>
    </row>
    <row r="124" ht="36" customHeight="1" s="63">
      <c r="A124" s="66" t="inlineStr">
        <is>
          <t>Global_VTS_Inventory_v0.1.xlsx</t>
        </is>
      </c>
      <c r="B124" s="66" t="inlineStr">
        <is>
          <t>TSS</t>
        </is>
      </c>
      <c r="C124" s="66" t="inlineStr">
        <is>
          <t>TSS-118</t>
        </is>
      </c>
      <c r="D124" s="66" t="inlineStr">
        <is>
          <t>TSS-0118</t>
        </is>
      </c>
      <c r="E124" s="66" t="inlineStr">
        <is>
          <t>Retained in v0.2</t>
        </is>
      </c>
    </row>
    <row r="125" ht="36" customHeight="1" s="63">
      <c r="A125" s="66" t="inlineStr">
        <is>
          <t>Global_VTS_Inventory_v0.1.xlsx</t>
        </is>
      </c>
      <c r="B125" s="66" t="inlineStr">
        <is>
          <t>TSS</t>
        </is>
      </c>
      <c r="C125" s="66" t="inlineStr">
        <is>
          <t>TSS-119</t>
        </is>
      </c>
      <c r="D125" s="66" t="inlineStr">
        <is>
          <t>TSS-0119</t>
        </is>
      </c>
      <c r="E125" s="66" t="inlineStr">
        <is>
          <t>Retained in v0.2</t>
        </is>
      </c>
    </row>
    <row r="126" ht="36" customHeight="1" s="63">
      <c r="A126" s="66" t="inlineStr">
        <is>
          <t>Global_VTS_Inventory_v0.1.xlsx</t>
        </is>
      </c>
      <c r="B126" s="66" t="inlineStr">
        <is>
          <t>TSS</t>
        </is>
      </c>
      <c r="C126" s="66" t="inlineStr">
        <is>
          <t>TSS-120</t>
        </is>
      </c>
      <c r="D126" s="66" t="inlineStr">
        <is>
          <t>TSS-0120</t>
        </is>
      </c>
      <c r="E126" s="66" t="inlineStr">
        <is>
          <t>Retained in v0.2</t>
        </is>
      </c>
    </row>
    <row r="127" ht="36" customHeight="1" s="63">
      <c r="A127" s="66" t="inlineStr">
        <is>
          <t>Global_VTS_Inventory_v0.1.xlsx</t>
        </is>
      </c>
      <c r="B127" s="66" t="inlineStr">
        <is>
          <t>TSS</t>
        </is>
      </c>
      <c r="C127" s="66" t="inlineStr">
        <is>
          <t>TSS-121</t>
        </is>
      </c>
      <c r="D127" s="66" t="inlineStr">
        <is>
          <t>TSS-0121</t>
        </is>
      </c>
      <c r="E127" s="66" t="inlineStr">
        <is>
          <t>Retained in v0.2</t>
        </is>
      </c>
    </row>
    <row r="128" ht="36" customHeight="1" s="63">
      <c r="A128" s="66" t="inlineStr">
        <is>
          <t>Global_VTS_Inventory_v0.1.xlsx</t>
        </is>
      </c>
      <c r="B128" s="66" t="inlineStr">
        <is>
          <t>TSS</t>
        </is>
      </c>
      <c r="C128" s="66" t="inlineStr">
        <is>
          <t>TSS-122</t>
        </is>
      </c>
      <c r="D128" s="66" t="inlineStr">
        <is>
          <t>TSS-0122</t>
        </is>
      </c>
      <c r="E128" s="66" t="inlineStr">
        <is>
          <t>Retained in v0.2</t>
        </is>
      </c>
    </row>
    <row r="129" ht="36" customHeight="1" s="63">
      <c r="A129" s="66" t="inlineStr">
        <is>
          <t>Global_VTS_Inventory_v0.1.xlsx</t>
        </is>
      </c>
      <c r="B129" s="66" t="inlineStr">
        <is>
          <t>TSS</t>
        </is>
      </c>
      <c r="C129" s="66" t="inlineStr">
        <is>
          <t>TSS-123</t>
        </is>
      </c>
      <c r="D129" s="66" t="inlineStr">
        <is>
          <t>TSS-0123</t>
        </is>
      </c>
      <c r="E129" s="66" t="inlineStr">
        <is>
          <t>Retained in v0.2</t>
        </is>
      </c>
    </row>
    <row r="130" ht="36" customHeight="1" s="63">
      <c r="A130" s="66" t="inlineStr">
        <is>
          <t>Global_VTS_Inventory_v0.1.xlsx</t>
        </is>
      </c>
      <c r="B130" s="66" t="inlineStr">
        <is>
          <t>TSS</t>
        </is>
      </c>
      <c r="C130" s="66" t="inlineStr">
        <is>
          <t>TSS-124</t>
        </is>
      </c>
      <c r="D130" s="66" t="inlineStr">
        <is>
          <t>TSS-0124</t>
        </is>
      </c>
      <c r="E130" s="66" t="inlineStr">
        <is>
          <t>Retained in v0.2</t>
        </is>
      </c>
    </row>
    <row r="131" ht="36" customHeight="1" s="63">
      <c r="A131" s="66" t="inlineStr">
        <is>
          <t>Global_VTS_Inventory_v0.1.xlsx</t>
        </is>
      </c>
      <c r="B131" s="66" t="inlineStr">
        <is>
          <t>TSS</t>
        </is>
      </c>
      <c r="C131" s="66" t="inlineStr">
        <is>
          <t>TSS-125</t>
        </is>
      </c>
      <c r="D131" s="66" t="inlineStr">
        <is>
          <t>TSS-0125</t>
        </is>
      </c>
      <c r="E131" s="66" t="inlineStr">
        <is>
          <t>Retained in v0.2</t>
        </is>
      </c>
    </row>
    <row r="132" ht="36" customHeight="1" s="63">
      <c r="A132" s="66" t="inlineStr">
        <is>
          <t>Global_VTS_Inventory_v0.1.xlsx</t>
        </is>
      </c>
      <c r="B132" s="66" t="inlineStr">
        <is>
          <t>TSS</t>
        </is>
      </c>
      <c r="C132" s="66" t="inlineStr">
        <is>
          <t>TSS-126</t>
        </is>
      </c>
      <c r="D132" s="66" t="inlineStr">
        <is>
          <t>TSS-0126</t>
        </is>
      </c>
      <c r="E132" s="66" t="inlineStr">
        <is>
          <t>Retained in v0.2</t>
        </is>
      </c>
    </row>
    <row r="133" ht="36" customHeight="1" s="63">
      <c r="A133" s="66" t="inlineStr">
        <is>
          <t>Global_VTS_Inventory_v0.1.xlsx</t>
        </is>
      </c>
      <c r="B133" s="66" t="inlineStr">
        <is>
          <t>TSS</t>
        </is>
      </c>
      <c r="C133" s="66" t="inlineStr">
        <is>
          <t>TSS-127</t>
        </is>
      </c>
      <c r="D133" s="66" t="inlineStr">
        <is>
          <t>TSS-0127</t>
        </is>
      </c>
      <c r="E133" s="66" t="inlineStr">
        <is>
          <t>Retained in v0.2</t>
        </is>
      </c>
    </row>
    <row r="134" ht="36" customHeight="1" s="63">
      <c r="A134" s="66" t="inlineStr">
        <is>
          <t>Global_VTS_Inventory_v0.1.xlsx</t>
        </is>
      </c>
      <c r="B134" s="66" t="inlineStr">
        <is>
          <t>TSS</t>
        </is>
      </c>
      <c r="C134" s="66" t="inlineStr">
        <is>
          <t>TSS-128</t>
        </is>
      </c>
      <c r="D134" s="66" t="inlineStr">
        <is>
          <t>TSS-0128</t>
        </is>
      </c>
      <c r="E134" s="66" t="inlineStr">
        <is>
          <t>Retained in v0.2</t>
        </is>
      </c>
    </row>
    <row r="135" ht="36" customHeight="1" s="63">
      <c r="A135" s="66" t="inlineStr">
        <is>
          <t>Global_VTS_Inventory_v0.1.xlsx</t>
        </is>
      </c>
      <c r="B135" s="66" t="inlineStr">
        <is>
          <t>TSS</t>
        </is>
      </c>
      <c r="C135" s="66" t="inlineStr">
        <is>
          <t>TSS-129</t>
        </is>
      </c>
      <c r="D135" s="66" t="inlineStr">
        <is>
          <t>TSS-0129</t>
        </is>
      </c>
      <c r="E135" s="66" t="inlineStr">
        <is>
          <t>Retained in v0.2</t>
        </is>
      </c>
    </row>
    <row r="136" ht="36" customHeight="1" s="63">
      <c r="A136" s="66" t="inlineStr">
        <is>
          <t>Global_VTS_Inventory_v0.1.xlsx</t>
        </is>
      </c>
      <c r="B136" s="66" t="inlineStr">
        <is>
          <t>TSS</t>
        </is>
      </c>
      <c r="C136" s="66" t="inlineStr">
        <is>
          <t>TSS-130</t>
        </is>
      </c>
      <c r="D136" s="66" t="inlineStr">
        <is>
          <t>TSS-0130</t>
        </is>
      </c>
      <c r="E136" s="66" t="inlineStr">
        <is>
          <t>Retained in v0.2</t>
        </is>
      </c>
    </row>
    <row r="137" ht="36" customHeight="1" s="63">
      <c r="A137" s="66" t="inlineStr">
        <is>
          <t>Global_VTS_Inventory_v0.1.xlsx</t>
        </is>
      </c>
      <c r="B137" s="66" t="inlineStr">
        <is>
          <t>TSS</t>
        </is>
      </c>
      <c r="C137" s="66" t="inlineStr">
        <is>
          <t>TSS-131</t>
        </is>
      </c>
      <c r="D137" s="66" t="inlineStr">
        <is>
          <t>TSS-0131</t>
        </is>
      </c>
      <c r="E137" s="66" t="inlineStr">
        <is>
          <t>Retained in v0.2</t>
        </is>
      </c>
    </row>
    <row r="138" ht="36" customHeight="1" s="63">
      <c r="A138" s="66" t="inlineStr">
        <is>
          <t>Global_VTS_Inventory_v0.1.xlsx</t>
        </is>
      </c>
      <c r="B138" s="66" t="inlineStr">
        <is>
          <t>TSS</t>
        </is>
      </c>
      <c r="C138" s="66" t="inlineStr">
        <is>
          <t>TSS-132</t>
        </is>
      </c>
      <c r="D138" s="66" t="inlineStr">
        <is>
          <t>TSS-0132</t>
        </is>
      </c>
      <c r="E138" s="66" t="inlineStr">
        <is>
          <t>Retained in v0.2</t>
        </is>
      </c>
    </row>
    <row r="139" ht="36" customHeight="1" s="63">
      <c r="A139" s="66" t="inlineStr">
        <is>
          <t>Global_VTS_Inventory_v0.1.xlsx</t>
        </is>
      </c>
      <c r="B139" s="66" t="inlineStr">
        <is>
          <t>TSS</t>
        </is>
      </c>
      <c r="C139" s="66" t="inlineStr">
        <is>
          <t>TSS-133</t>
        </is>
      </c>
      <c r="D139" s="66" t="inlineStr">
        <is>
          <t>TSS-0133</t>
        </is>
      </c>
      <c r="E139" s="66" t="inlineStr">
        <is>
          <t>Retained in v0.2</t>
        </is>
      </c>
    </row>
    <row r="140" ht="36" customHeight="1" s="63">
      <c r="A140" s="66" t="inlineStr">
        <is>
          <t>Global_VTS_Inventory_v0.1.xlsx</t>
        </is>
      </c>
      <c r="B140" s="66" t="inlineStr">
        <is>
          <t>TSS</t>
        </is>
      </c>
      <c r="C140" s="66" t="inlineStr">
        <is>
          <t>TSS-134</t>
        </is>
      </c>
      <c r="D140" s="66" t="inlineStr">
        <is>
          <t>TSS-0134</t>
        </is>
      </c>
      <c r="E140" s="66" t="inlineStr">
        <is>
          <t>Retained in v0.2</t>
        </is>
      </c>
    </row>
    <row r="141" ht="36" customHeight="1" s="63">
      <c r="A141" s="66" t="inlineStr">
        <is>
          <t>Global_VTS_Inventory_v0.1.xlsx</t>
        </is>
      </c>
      <c r="B141" s="66" t="inlineStr">
        <is>
          <t>TSS</t>
        </is>
      </c>
      <c r="C141" s="66" t="inlineStr">
        <is>
          <t>TSS-135</t>
        </is>
      </c>
      <c r="D141" s="66" t="inlineStr">
        <is>
          <t>TSS-0135</t>
        </is>
      </c>
      <c r="E141" s="66" t="inlineStr">
        <is>
          <t>Retained in v0.2</t>
        </is>
      </c>
    </row>
    <row r="142" ht="36" customHeight="1" s="63">
      <c r="A142" s="66" t="inlineStr">
        <is>
          <t>Global_VTS_Inventory_v0.1.xlsx</t>
        </is>
      </c>
      <c r="B142" s="66" t="inlineStr">
        <is>
          <t>TSS</t>
        </is>
      </c>
      <c r="C142" s="66" t="inlineStr">
        <is>
          <t>TSS-136</t>
        </is>
      </c>
      <c r="D142" s="66" t="inlineStr">
        <is>
          <t>TSS-0136</t>
        </is>
      </c>
      <c r="E142" s="66" t="inlineStr">
        <is>
          <t>Retained in v0.2</t>
        </is>
      </c>
    </row>
    <row r="143" ht="36" customHeight="1" s="63">
      <c r="A143" s="66" t="inlineStr">
        <is>
          <t>Global_VTS_Inventory_v0.1.xlsx</t>
        </is>
      </c>
      <c r="B143" s="66" t="inlineStr">
        <is>
          <t>TSS</t>
        </is>
      </c>
      <c r="C143" s="66" t="inlineStr">
        <is>
          <t>TSS-137</t>
        </is>
      </c>
      <c r="D143" s="66" t="inlineStr">
        <is>
          <t>TSS-0137</t>
        </is>
      </c>
      <c r="E143" s="66" t="inlineStr">
        <is>
          <t>Retained in v0.2</t>
        </is>
      </c>
    </row>
    <row r="144" ht="36" customHeight="1" s="63">
      <c r="A144" s="66" t="inlineStr">
        <is>
          <t>Global_VTS_Inventory_v0.1.xlsx</t>
        </is>
      </c>
      <c r="B144" s="66" t="inlineStr">
        <is>
          <t>TSS</t>
        </is>
      </c>
      <c r="C144" s="66" t="inlineStr">
        <is>
          <t>TSS-138</t>
        </is>
      </c>
      <c r="D144" s="66" t="inlineStr">
        <is>
          <t>TSS-0138</t>
        </is>
      </c>
      <c r="E144" s="66" t="inlineStr">
        <is>
          <t>Retained in v0.2</t>
        </is>
      </c>
    </row>
    <row r="145" ht="36" customHeight="1" s="63">
      <c r="A145" s="66" t="inlineStr">
        <is>
          <t>Global_VTS_Inventory_v0.1.xlsx</t>
        </is>
      </c>
      <c r="B145" s="66" t="inlineStr">
        <is>
          <t>TSS</t>
        </is>
      </c>
      <c r="C145" s="66" t="inlineStr">
        <is>
          <t>TSS-139</t>
        </is>
      </c>
      <c r="D145" s="66" t="inlineStr">
        <is>
          <t>TSS-0139</t>
        </is>
      </c>
      <c r="E145" s="66" t="inlineStr">
        <is>
          <t>Retained in v0.2</t>
        </is>
      </c>
    </row>
    <row r="146" ht="36" customHeight="1" s="63">
      <c r="A146" s="66" t="inlineStr">
        <is>
          <t>Global_VTS_Inventory_v0.1.xlsx</t>
        </is>
      </c>
      <c r="B146" s="66" t="inlineStr">
        <is>
          <t>TSS</t>
        </is>
      </c>
      <c r="C146" s="66" t="inlineStr">
        <is>
          <t>TSS-140</t>
        </is>
      </c>
      <c r="D146" s="66" t="inlineStr">
        <is>
          <t>TSS-0140</t>
        </is>
      </c>
      <c r="E146" s="66" t="inlineStr">
        <is>
          <t>Retained in v0.2</t>
        </is>
      </c>
    </row>
    <row r="147" ht="36" customHeight="1" s="63">
      <c r="A147" s="66" t="inlineStr">
        <is>
          <t>Global_VTS_Inventory_v0.1.xlsx</t>
        </is>
      </c>
      <c r="B147" s="66" t="inlineStr">
        <is>
          <t>TSS</t>
        </is>
      </c>
      <c r="C147" s="66" t="inlineStr">
        <is>
          <t>TSS-141</t>
        </is>
      </c>
      <c r="D147" s="66" t="inlineStr">
        <is>
          <t>TSS-0141</t>
        </is>
      </c>
      <c r="E147" s="66" t="inlineStr">
        <is>
          <t>Retained in v0.2</t>
        </is>
      </c>
    </row>
    <row r="148" ht="36" customHeight="1" s="63">
      <c r="A148" s="66" t="inlineStr">
        <is>
          <t>Global_VTS_Inventory_v0.1.xlsx</t>
        </is>
      </c>
      <c r="B148" s="66" t="inlineStr">
        <is>
          <t>TSS</t>
        </is>
      </c>
      <c r="C148" s="66" t="inlineStr">
        <is>
          <t>TSS-142</t>
        </is>
      </c>
      <c r="D148" s="66" t="inlineStr">
        <is>
          <t>TSS-0142</t>
        </is>
      </c>
      <c r="E148" s="66" t="inlineStr">
        <is>
          <t>Retained in v0.2</t>
        </is>
      </c>
    </row>
    <row r="149" ht="36" customHeight="1" s="63">
      <c r="A149" s="66" t="inlineStr">
        <is>
          <t>Global_VTS_Inventory_v0.1.xlsx</t>
        </is>
      </c>
      <c r="B149" s="66" t="inlineStr">
        <is>
          <t>TSS</t>
        </is>
      </c>
      <c r="C149" s="66" t="inlineStr">
        <is>
          <t>TSS-143</t>
        </is>
      </c>
      <c r="D149" s="66" t="inlineStr">
        <is>
          <t>TSS-0143</t>
        </is>
      </c>
      <c r="E149" s="66" t="inlineStr">
        <is>
          <t>Retained in v0.2</t>
        </is>
      </c>
    </row>
    <row r="150" ht="36" customHeight="1" s="63">
      <c r="A150" s="66" t="inlineStr">
        <is>
          <t>Global_VTS_Inventory_v0.1.xlsx</t>
        </is>
      </c>
      <c r="B150" s="66" t="inlineStr">
        <is>
          <t>TSS</t>
        </is>
      </c>
      <c r="C150" s="66" t="inlineStr">
        <is>
          <t>TSS-144</t>
        </is>
      </c>
      <c r="D150" s="66" t="inlineStr">
        <is>
          <t>TSS-0144</t>
        </is>
      </c>
      <c r="E150" s="66" t="inlineStr">
        <is>
          <t>Retained in v0.2</t>
        </is>
      </c>
    </row>
    <row r="151" ht="36" customHeight="1" s="63">
      <c r="A151" s="66" t="inlineStr">
        <is>
          <t>Global_VTS_Inventory_v0.1.xlsx</t>
        </is>
      </c>
      <c r="B151" s="66" t="inlineStr">
        <is>
          <t>TSS</t>
        </is>
      </c>
      <c r="C151" s="66" t="inlineStr">
        <is>
          <t>TSS-145</t>
        </is>
      </c>
      <c r="D151" s="66" t="inlineStr">
        <is>
          <t>TSS-0145</t>
        </is>
      </c>
      <c r="E151" s="66" t="inlineStr">
        <is>
          <t>Retained in v0.2</t>
        </is>
      </c>
    </row>
    <row r="152" ht="36" customHeight="1" s="63">
      <c r="A152" s="66" t="inlineStr">
        <is>
          <t>Global_VTS_Inventory_v0.1.xlsx</t>
        </is>
      </c>
      <c r="B152" s="66" t="inlineStr">
        <is>
          <t>TSS</t>
        </is>
      </c>
      <c r="C152" s="66" t="inlineStr">
        <is>
          <t>TSS-146</t>
        </is>
      </c>
      <c r="D152" s="66" t="inlineStr">
        <is>
          <t>TSS-0146</t>
        </is>
      </c>
      <c r="E152" s="66" t="inlineStr">
        <is>
          <t>Retained in v0.2</t>
        </is>
      </c>
    </row>
    <row r="153" ht="36" customHeight="1" s="63">
      <c r="A153" s="66" t="inlineStr">
        <is>
          <t>Global_VTS_Inventory_v0.1.xlsx</t>
        </is>
      </c>
      <c r="B153" s="66" t="inlineStr">
        <is>
          <t>TSS</t>
        </is>
      </c>
      <c r="C153" s="66" t="inlineStr">
        <is>
          <t>TSS-147</t>
        </is>
      </c>
      <c r="D153" s="66" t="inlineStr">
        <is>
          <t>TSS-0147</t>
        </is>
      </c>
      <c r="E153" s="66" t="inlineStr">
        <is>
          <t>Retained in v0.2</t>
        </is>
      </c>
    </row>
    <row r="154" ht="36" customHeight="1" s="63">
      <c r="A154" s="66" t="inlineStr">
        <is>
          <t>Global_VTS_Inventory_v0.1.xlsx</t>
        </is>
      </c>
      <c r="B154" s="66" t="inlineStr">
        <is>
          <t>TSS</t>
        </is>
      </c>
      <c r="C154" s="66" t="inlineStr">
        <is>
          <t>TSS-148</t>
        </is>
      </c>
      <c r="D154" s="66" t="inlineStr">
        <is>
          <t>TSS-0148</t>
        </is>
      </c>
      <c r="E154" s="66" t="inlineStr">
        <is>
          <t>Retained in v0.2</t>
        </is>
      </c>
    </row>
    <row r="155" ht="36" customHeight="1" s="63">
      <c r="A155" s="66" t="inlineStr">
        <is>
          <t>Global_VTS_Inventory_v0.1.xlsx</t>
        </is>
      </c>
      <c r="B155" s="66" t="inlineStr">
        <is>
          <t>TSS</t>
        </is>
      </c>
      <c r="C155" s="66" t="inlineStr">
        <is>
          <t>TSS-149</t>
        </is>
      </c>
      <c r="D155" s="66" t="inlineStr">
        <is>
          <t>TSS-0149</t>
        </is>
      </c>
      <c r="E155" s="66" t="inlineStr">
        <is>
          <t>Retained in v0.2</t>
        </is>
      </c>
    </row>
    <row r="156" ht="36" customHeight="1" s="63">
      <c r="A156" s="66" t="inlineStr">
        <is>
          <t>Global_VTS_Inventory_v0.1.xlsx</t>
        </is>
      </c>
      <c r="B156" s="66" t="inlineStr">
        <is>
          <t>TSS</t>
        </is>
      </c>
      <c r="C156" s="66" t="inlineStr">
        <is>
          <t>TSS-150</t>
        </is>
      </c>
      <c r="D156" s="66" t="inlineStr">
        <is>
          <t>TSS-0150</t>
        </is>
      </c>
      <c r="E156" s="66" t="inlineStr">
        <is>
          <t>Retained in v0.2</t>
        </is>
      </c>
    </row>
    <row r="157" ht="36" customHeight="1" s="63">
      <c r="A157" s="66" t="inlineStr">
        <is>
          <t>Global_VTS_Inventory_v0.1.xlsx</t>
        </is>
      </c>
      <c r="B157" s="66" t="inlineStr">
        <is>
          <t>TSS</t>
        </is>
      </c>
      <c r="C157" s="66" t="inlineStr">
        <is>
          <t>TSS-151</t>
        </is>
      </c>
      <c r="D157" s="66" t="inlineStr">
        <is>
          <t>TSS-0151</t>
        </is>
      </c>
      <c r="E157" s="66" t="inlineStr">
        <is>
          <t>Retained in v0.2</t>
        </is>
      </c>
    </row>
    <row r="158" ht="36" customHeight="1" s="63">
      <c r="A158" s="66" t="inlineStr">
        <is>
          <t>Global_VTS_Inventory_v0.1.xlsx</t>
        </is>
      </c>
      <c r="B158" s="66" t="inlineStr">
        <is>
          <t>TSS</t>
        </is>
      </c>
      <c r="C158" s="66" t="inlineStr">
        <is>
          <t>TSS-152</t>
        </is>
      </c>
      <c r="D158" s="66" t="inlineStr">
        <is>
          <t>TSS-0152</t>
        </is>
      </c>
      <c r="E158" s="66" t="inlineStr">
        <is>
          <t>Retained in v0.2</t>
        </is>
      </c>
    </row>
    <row r="159" ht="36" customHeight="1" s="63">
      <c r="A159" s="66" t="inlineStr">
        <is>
          <t>Global_VTS_Inventory_v0.1.xlsx</t>
        </is>
      </c>
      <c r="B159" s="66" t="inlineStr">
        <is>
          <t>TSS</t>
        </is>
      </c>
      <c r="C159" s="66" t="inlineStr">
        <is>
          <t>TSS-153</t>
        </is>
      </c>
      <c r="D159" s="66" t="inlineStr">
        <is>
          <t>TSS-0153</t>
        </is>
      </c>
      <c r="E159" s="66" t="inlineStr">
        <is>
          <t>Retained in v0.2</t>
        </is>
      </c>
    </row>
    <row r="160" ht="36" customHeight="1" s="63">
      <c r="A160" s="66" t="inlineStr">
        <is>
          <t>Global_VTS_Inventory_v0.1.xlsx</t>
        </is>
      </c>
      <c r="B160" s="66" t="inlineStr">
        <is>
          <t>TSS</t>
        </is>
      </c>
      <c r="C160" s="66" t="inlineStr">
        <is>
          <t>TSS-154</t>
        </is>
      </c>
      <c r="D160" s="66" t="inlineStr">
        <is>
          <t>TSS-0154</t>
        </is>
      </c>
      <c r="E160" s="66" t="inlineStr">
        <is>
          <t>Retained in v0.2</t>
        </is>
      </c>
    </row>
    <row r="161" ht="36" customHeight="1" s="63">
      <c r="A161" s="66" t="inlineStr">
        <is>
          <t>Global_VTS_Inventory_v0.1.xlsx</t>
        </is>
      </c>
      <c r="B161" s="66" t="inlineStr">
        <is>
          <t>TSS</t>
        </is>
      </c>
      <c r="C161" s="66" t="inlineStr">
        <is>
          <t>TSS-155</t>
        </is>
      </c>
      <c r="D161" s="66" t="inlineStr">
        <is>
          <t>TSS-0155</t>
        </is>
      </c>
      <c r="E161" s="66" t="inlineStr">
        <is>
          <t>Retained in v0.2</t>
        </is>
      </c>
    </row>
    <row r="162" ht="36" customHeight="1" s="63">
      <c r="A162" s="66" t="inlineStr">
        <is>
          <t>Global_VTS_Inventory_v0.1.xlsx</t>
        </is>
      </c>
      <c r="B162" s="66" t="inlineStr">
        <is>
          <t>TSS</t>
        </is>
      </c>
      <c r="C162" s="66" t="inlineStr">
        <is>
          <t>TSS-156</t>
        </is>
      </c>
      <c r="D162" s="66" t="inlineStr">
        <is>
          <t>TSS-0156</t>
        </is>
      </c>
      <c r="E162" s="66" t="inlineStr">
        <is>
          <t>Retained in v0.2</t>
        </is>
      </c>
    </row>
    <row r="163" ht="36" customHeight="1" s="63">
      <c r="A163" s="66" t="inlineStr">
        <is>
          <t>Global_VTS_Inventory_v0.1.xlsx</t>
        </is>
      </c>
      <c r="B163" s="66" t="inlineStr">
        <is>
          <t>TSS</t>
        </is>
      </c>
      <c r="C163" s="66" t="inlineStr">
        <is>
          <t>TSS-157</t>
        </is>
      </c>
      <c r="D163" s="66" t="inlineStr">
        <is>
          <t>TSS-0157</t>
        </is>
      </c>
      <c r="E163" s="66" t="inlineStr">
        <is>
          <t>Retained in v0.2</t>
        </is>
      </c>
    </row>
    <row r="164" ht="36" customHeight="1" s="63">
      <c r="A164" s="66" t="inlineStr">
        <is>
          <t>Global_VTS_Inventory_v0.1.xlsx</t>
        </is>
      </c>
      <c r="B164" s="66" t="inlineStr">
        <is>
          <t>TSS</t>
        </is>
      </c>
      <c r="C164" s="66" t="inlineStr">
        <is>
          <t>TSS-158</t>
        </is>
      </c>
      <c r="D164" s="66" t="inlineStr">
        <is>
          <t>TSS-0158</t>
        </is>
      </c>
      <c r="E164" s="66" t="inlineStr">
        <is>
          <t>Retained in v0.2</t>
        </is>
      </c>
    </row>
    <row r="165" ht="36" customHeight="1" s="63">
      <c r="A165" s="66" t="inlineStr">
        <is>
          <t>Global_VTS_Inventory_v0.1.xlsx</t>
        </is>
      </c>
      <c r="B165" s="66" t="inlineStr">
        <is>
          <t>TSS</t>
        </is>
      </c>
      <c r="C165" s="66" t="inlineStr">
        <is>
          <t>TSS-159</t>
        </is>
      </c>
      <c r="D165" s="66" t="inlineStr">
        <is>
          <t>TSS-0159</t>
        </is>
      </c>
      <c r="E165" s="66" t="inlineStr">
        <is>
          <t>Retained in v0.2</t>
        </is>
      </c>
    </row>
    <row r="166" ht="36" customHeight="1" s="63">
      <c r="A166" s="66" t="inlineStr">
        <is>
          <t>Global_VTS_Inventory_v0.1.xlsx</t>
        </is>
      </c>
      <c r="B166" s="66" t="inlineStr">
        <is>
          <t>TSS</t>
        </is>
      </c>
      <c r="C166" s="66" t="inlineStr">
        <is>
          <t>TSS-160</t>
        </is>
      </c>
      <c r="D166" s="66" t="inlineStr">
        <is>
          <t>TSS-0160</t>
        </is>
      </c>
      <c r="E166" s="66" t="inlineStr">
        <is>
          <t>Retained in v0.2</t>
        </is>
      </c>
    </row>
    <row r="167" ht="36" customHeight="1" s="63">
      <c r="A167" s="66" t="inlineStr">
        <is>
          <t>Global_VTS_Inventory_v0.1.xlsx</t>
        </is>
      </c>
      <c r="B167" s="66" t="inlineStr">
        <is>
          <t>TSS</t>
        </is>
      </c>
      <c r="C167" s="66" t="inlineStr">
        <is>
          <t>TSS-161</t>
        </is>
      </c>
      <c r="D167" s="66" t="inlineStr">
        <is>
          <t>TSS-0161</t>
        </is>
      </c>
      <c r="E167" s="66" t="inlineStr">
        <is>
          <t>Retained in v0.2</t>
        </is>
      </c>
    </row>
    <row r="168" ht="36" customHeight="1" s="63">
      <c r="A168" s="66" t="inlineStr">
        <is>
          <t>Global_VTS_Inventory_v0.1.xlsx</t>
        </is>
      </c>
      <c r="B168" s="66" t="inlineStr">
        <is>
          <t>TSS</t>
        </is>
      </c>
      <c r="C168" s="66" t="inlineStr">
        <is>
          <t>TSS-162</t>
        </is>
      </c>
      <c r="D168" s="66" t="inlineStr">
        <is>
          <t>TSS-0162</t>
        </is>
      </c>
      <c r="E168" s="66" t="inlineStr">
        <is>
          <t>Retained in v0.2</t>
        </is>
      </c>
    </row>
    <row r="169" ht="36" customHeight="1" s="63">
      <c r="A169" s="66" t="inlineStr">
        <is>
          <t>Global_VTS_Inventory_v0.1.xlsx</t>
        </is>
      </c>
      <c r="B169" s="66" t="inlineStr">
        <is>
          <t>TSS</t>
        </is>
      </c>
      <c r="C169" s="66" t="inlineStr">
        <is>
          <t>TSS-163</t>
        </is>
      </c>
      <c r="D169" s="66" t="inlineStr">
        <is>
          <t>TSS-0163</t>
        </is>
      </c>
      <c r="E169" s="66" t="inlineStr">
        <is>
          <t>Retained in v0.2</t>
        </is>
      </c>
    </row>
    <row r="170" ht="36" customHeight="1" s="63">
      <c r="A170" s="66" t="inlineStr">
        <is>
          <t>Global_VTS_Inventory_v0.1.xlsx</t>
        </is>
      </c>
      <c r="B170" s="66" t="inlineStr">
        <is>
          <t>TSS</t>
        </is>
      </c>
      <c r="C170" s="66" t="inlineStr">
        <is>
          <t>TSS-164</t>
        </is>
      </c>
      <c r="D170" s="66" t="inlineStr">
        <is>
          <t>TSS-0164</t>
        </is>
      </c>
      <c r="E170" s="66" t="inlineStr">
        <is>
          <t>Retained in v0.2</t>
        </is>
      </c>
    </row>
    <row r="171" ht="36" customHeight="1" s="63">
      <c r="A171" s="66" t="inlineStr">
        <is>
          <t>Global_VTS_Inventory_v0.1.xlsx</t>
        </is>
      </c>
      <c r="B171" s="66" t="inlineStr">
        <is>
          <t>TSS</t>
        </is>
      </c>
      <c r="C171" s="66" t="inlineStr">
        <is>
          <t>TSS-165</t>
        </is>
      </c>
      <c r="D171" s="66" t="inlineStr">
        <is>
          <t>TSS-0165</t>
        </is>
      </c>
      <c r="E171" s="66" t="inlineStr">
        <is>
          <t>Retained in v0.2</t>
        </is>
      </c>
    </row>
    <row r="172" ht="36" customHeight="1" s="63">
      <c r="A172" s="66" t="inlineStr">
        <is>
          <t>Global_VTS_Inventory_v0.1.xlsx</t>
        </is>
      </c>
      <c r="B172" s="66" t="inlineStr">
        <is>
          <t>TSS</t>
        </is>
      </c>
      <c r="C172" s="66" t="inlineStr">
        <is>
          <t>TSS-166</t>
        </is>
      </c>
      <c r="D172" s="66" t="inlineStr">
        <is>
          <t>TSS-0166</t>
        </is>
      </c>
      <c r="E172" s="66" t="inlineStr">
        <is>
          <t>Retained in v0.2</t>
        </is>
      </c>
    </row>
    <row r="173" ht="36" customHeight="1" s="63">
      <c r="A173" s="66" t="inlineStr">
        <is>
          <t>Global_VTS_Inventory_v0.1.xlsx</t>
        </is>
      </c>
      <c r="B173" s="66" t="inlineStr">
        <is>
          <t>TSS</t>
        </is>
      </c>
      <c r="C173" s="66" t="inlineStr">
        <is>
          <t>TSS-167</t>
        </is>
      </c>
      <c r="D173" s="66" t="inlineStr">
        <is>
          <t>TSS-0167</t>
        </is>
      </c>
      <c r="E173" s="66" t="inlineStr">
        <is>
          <t>Retained in v0.2</t>
        </is>
      </c>
    </row>
    <row r="174" ht="36" customHeight="1" s="63">
      <c r="A174" s="66" t="inlineStr">
        <is>
          <t>Global_VTS_Inventory_v0.1.xlsx</t>
        </is>
      </c>
      <c r="B174" s="66" t="inlineStr">
        <is>
          <t>TSS</t>
        </is>
      </c>
      <c r="C174" s="66" t="inlineStr">
        <is>
          <t>TSS-168</t>
        </is>
      </c>
      <c r="D174" s="66" t="inlineStr">
        <is>
          <t>TSS-0168</t>
        </is>
      </c>
      <c r="E174" s="66" t="inlineStr">
        <is>
          <t>Retained in v0.2</t>
        </is>
      </c>
    </row>
    <row r="175" ht="36" customHeight="1" s="63">
      <c r="A175" s="66" t="inlineStr">
        <is>
          <t>Global_VTS_Inventory_v0.1.xlsx</t>
        </is>
      </c>
      <c r="B175" s="66" t="inlineStr">
        <is>
          <t>TSS</t>
        </is>
      </c>
      <c r="C175" s="66" t="inlineStr">
        <is>
          <t>TSS-169</t>
        </is>
      </c>
      <c r="D175" s="66" t="inlineStr">
        <is>
          <t>TSS-0169</t>
        </is>
      </c>
      <c r="E175" s="66" t="inlineStr">
        <is>
          <t>Retained in v0.2</t>
        </is>
      </c>
    </row>
    <row r="176" ht="36" customHeight="1" s="63">
      <c r="A176" s="66" t="inlineStr">
        <is>
          <t>Global_VTS_Inventory_v0.1.xlsx</t>
        </is>
      </c>
      <c r="B176" s="66" t="inlineStr">
        <is>
          <t>TSS</t>
        </is>
      </c>
      <c r="C176" s="66" t="inlineStr">
        <is>
          <t>TSS-170</t>
        </is>
      </c>
      <c r="D176" s="66" t="inlineStr">
        <is>
          <t>TSS-0170</t>
        </is>
      </c>
      <c r="E176" s="66" t="inlineStr">
        <is>
          <t>Retained in v0.2</t>
        </is>
      </c>
    </row>
    <row r="177" ht="36" customHeight="1" s="63">
      <c r="A177" s="66" t="inlineStr">
        <is>
          <t>Global_VTS_Inventory_v0.1.xlsx</t>
        </is>
      </c>
      <c r="B177" s="66" t="inlineStr">
        <is>
          <t>VTS service</t>
        </is>
      </c>
      <c r="C177" s="66" t="inlineStr">
        <is>
          <t>VTS-001</t>
        </is>
      </c>
      <c r="D177" s="66" t="inlineStr">
        <is>
          <t>VTS-001</t>
        </is>
      </c>
      <c r="E177" s="66" t="inlineStr">
        <is>
          <t>Retained in v0.2</t>
        </is>
      </c>
    </row>
    <row r="178" ht="36" customHeight="1" s="63">
      <c r="A178" s="66" t="inlineStr">
        <is>
          <t>Global_VTS_Inventory_v0.1.xlsx</t>
        </is>
      </c>
      <c r="B178" s="66" t="inlineStr">
        <is>
          <t>VTS service</t>
        </is>
      </c>
      <c r="C178" s="66" t="inlineStr">
        <is>
          <t>VTS-002</t>
        </is>
      </c>
      <c r="D178" s="66" t="inlineStr">
        <is>
          <t>VTS-002</t>
        </is>
      </c>
      <c r="E178" s="66" t="inlineStr">
        <is>
          <t>Retained in v0.2</t>
        </is>
      </c>
    </row>
    <row r="179" ht="36" customHeight="1" s="63">
      <c r="A179" s="66" t="inlineStr">
        <is>
          <t>Global_VTS_Inventory_v0.1.xlsx</t>
        </is>
      </c>
      <c r="B179" s="66" t="inlineStr">
        <is>
          <t>VTS service</t>
        </is>
      </c>
      <c r="C179" s="66" t="inlineStr">
        <is>
          <t>VTS-003</t>
        </is>
      </c>
      <c r="D179" s="66" t="inlineStr">
        <is>
          <t>VTS-003</t>
        </is>
      </c>
      <c r="E179" s="66" t="inlineStr">
        <is>
          <t>Retained in v0.2</t>
        </is>
      </c>
    </row>
    <row r="180" ht="36" customHeight="1" s="63">
      <c r="A180" s="66" t="inlineStr">
        <is>
          <t>Global_VTS_Inventory_v0.1.xlsx</t>
        </is>
      </c>
      <c r="B180" s="66" t="inlineStr">
        <is>
          <t>VTS service</t>
        </is>
      </c>
      <c r="C180" s="66" t="inlineStr">
        <is>
          <t>VTS-004</t>
        </is>
      </c>
      <c r="D180" s="66" t="inlineStr">
        <is>
          <t>VTS-004</t>
        </is>
      </c>
      <c r="E180" s="66" t="inlineStr">
        <is>
          <t>Retained in v0.2</t>
        </is>
      </c>
    </row>
    <row r="181" ht="36" customHeight="1" s="63">
      <c r="A181" s="66" t="inlineStr">
        <is>
          <t>Global_VTS_Inventory_v0.1.xlsx</t>
        </is>
      </c>
      <c r="B181" s="66" t="inlineStr">
        <is>
          <t>VTS service</t>
        </is>
      </c>
      <c r="C181" s="66" t="inlineStr">
        <is>
          <t>VTS-005</t>
        </is>
      </c>
      <c r="D181" s="66" t="inlineStr">
        <is>
          <t>VTS-005</t>
        </is>
      </c>
      <c r="E181" s="66" t="inlineStr">
        <is>
          <t>Retained in v0.2</t>
        </is>
      </c>
    </row>
    <row r="182" ht="36" customHeight="1" s="63">
      <c r="A182" s="66" t="inlineStr">
        <is>
          <t>Global_VTS_Inventory_v0.1.xlsx</t>
        </is>
      </c>
      <c r="B182" s="66" t="inlineStr">
        <is>
          <t>VTS service</t>
        </is>
      </c>
      <c r="C182" s="66" t="inlineStr">
        <is>
          <t>VTS-006</t>
        </is>
      </c>
      <c r="D182" s="66" t="inlineStr">
        <is>
          <t>VTS-006</t>
        </is>
      </c>
      <c r="E182" s="66" t="inlineStr">
        <is>
          <t>Retained in v0.2</t>
        </is>
      </c>
    </row>
    <row r="183" ht="36" customHeight="1" s="63">
      <c r="A183" s="66" t="inlineStr">
        <is>
          <t>Global_VTS_Inventory_v0.1.xlsx</t>
        </is>
      </c>
      <c r="B183" s="66" t="inlineStr">
        <is>
          <t>VTS service</t>
        </is>
      </c>
      <c r="C183" s="66" t="inlineStr">
        <is>
          <t>VTS-007</t>
        </is>
      </c>
      <c r="D183" s="66" t="inlineStr">
        <is>
          <t>VTS-007</t>
        </is>
      </c>
      <c r="E183" s="66" t="inlineStr">
        <is>
          <t>Retained in v0.2</t>
        </is>
      </c>
    </row>
    <row r="184" ht="36" customHeight="1" s="63">
      <c r="A184" s="66" t="inlineStr">
        <is>
          <t>Global_VTS_Inventory_v0.1.xlsx</t>
        </is>
      </c>
      <c r="B184" s="66" t="inlineStr">
        <is>
          <t>VTS service</t>
        </is>
      </c>
      <c r="C184" s="66" t="inlineStr">
        <is>
          <t>VTS-008</t>
        </is>
      </c>
      <c r="D184" s="66" t="inlineStr">
        <is>
          <t>VTS-008</t>
        </is>
      </c>
      <c r="E184" s="66" t="inlineStr">
        <is>
          <t>Retained in v0.2</t>
        </is>
      </c>
    </row>
    <row r="185" ht="36" customHeight="1" s="63">
      <c r="A185" s="66" t="inlineStr">
        <is>
          <t>Global_VTS_Inventory_v0.1.xlsx</t>
        </is>
      </c>
      <c r="B185" s="66" t="inlineStr">
        <is>
          <t>VTS service</t>
        </is>
      </c>
      <c r="C185" s="66" t="inlineStr">
        <is>
          <t>VTS-009</t>
        </is>
      </c>
      <c r="D185" s="66" t="inlineStr">
        <is>
          <t>VTS-009</t>
        </is>
      </c>
      <c r="E185" s="66" t="inlineStr">
        <is>
          <t>Retained in v0.2</t>
        </is>
      </c>
    </row>
    <row r="186" ht="36" customHeight="1" s="63">
      <c r="A186" s="66" t="inlineStr">
        <is>
          <t>Global_VTS_Inventory_v0.1.xlsx</t>
        </is>
      </c>
      <c r="B186" s="66" t="inlineStr">
        <is>
          <t>VTS service</t>
        </is>
      </c>
      <c r="C186" s="66" t="inlineStr">
        <is>
          <t>VTS-010</t>
        </is>
      </c>
      <c r="D186" s="66" t="inlineStr">
        <is>
          <t>VTS-010</t>
        </is>
      </c>
      <c r="E186" s="66" t="inlineStr">
        <is>
          <t>Retained in v0.2</t>
        </is>
      </c>
    </row>
    <row r="187" ht="36" customHeight="1" s="63">
      <c r="A187" s="66" t="inlineStr">
        <is>
          <t>Global_VTS_Inventory_v0.1.xlsx</t>
        </is>
      </c>
      <c r="B187" s="66" t="inlineStr">
        <is>
          <t>VTS service</t>
        </is>
      </c>
      <c r="C187" s="66" t="inlineStr">
        <is>
          <t>VTS-011</t>
        </is>
      </c>
      <c r="D187" s="66" t="inlineStr">
        <is>
          <t>VTS-011</t>
        </is>
      </c>
      <c r="E187" s="66" t="inlineStr">
        <is>
          <t>Retained in v0.2</t>
        </is>
      </c>
    </row>
    <row r="188" ht="36" customHeight="1" s="63">
      <c r="A188" s="66" t="inlineStr">
        <is>
          <t>Global_VTS_Inventory_v0.1.xlsx</t>
        </is>
      </c>
      <c r="B188" s="66" t="inlineStr">
        <is>
          <t>VTS service</t>
        </is>
      </c>
      <c r="C188" s="66" t="inlineStr">
        <is>
          <t>VTS-012</t>
        </is>
      </c>
      <c r="D188" s="66" t="inlineStr">
        <is>
          <t>VTS-012</t>
        </is>
      </c>
      <c r="E188" s="66" t="inlineStr">
        <is>
          <t>Retained in v0.2</t>
        </is>
      </c>
    </row>
    <row r="189" ht="36" customHeight="1" s="63">
      <c r="A189" s="66" t="inlineStr">
        <is>
          <t>Global_VTS_Inventory_v0.1.xlsx</t>
        </is>
      </c>
      <c r="B189" s="66" t="inlineStr">
        <is>
          <t>VTS service</t>
        </is>
      </c>
      <c r="C189" s="66" t="inlineStr">
        <is>
          <t>VTS-013</t>
        </is>
      </c>
      <c r="D189" s="66" t="inlineStr">
        <is>
          <t>VTS-013</t>
        </is>
      </c>
      <c r="E189" s="66" t="inlineStr">
        <is>
          <t>Retained in v0.2</t>
        </is>
      </c>
    </row>
    <row r="190" ht="36" customHeight="1" s="63">
      <c r="A190" s="66" t="inlineStr">
        <is>
          <t>Global_VTS_Inventory_v0.1.xlsx</t>
        </is>
      </c>
      <c r="B190" s="66" t="inlineStr">
        <is>
          <t>VTS service</t>
        </is>
      </c>
      <c r="C190" s="66" t="inlineStr">
        <is>
          <t>VTS-014</t>
        </is>
      </c>
      <c r="D190" s="66" t="inlineStr">
        <is>
          <t>VTS-014</t>
        </is>
      </c>
      <c r="E190" s="66" t="inlineStr">
        <is>
          <t>Retained in v0.2</t>
        </is>
      </c>
    </row>
    <row r="191" ht="36" customHeight="1" s="63">
      <c r="A191" s="66" t="inlineStr">
        <is>
          <t>Global_VTS_Inventory_v0.1.xlsx</t>
        </is>
      </c>
      <c r="B191" s="66" t="inlineStr">
        <is>
          <t>Reporting scheme</t>
        </is>
      </c>
      <c r="C191" s="66" t="inlineStr">
        <is>
          <t>RPT-001</t>
        </is>
      </c>
      <c r="D191" s="66" t="inlineStr">
        <is>
          <t>SRS-001</t>
        </is>
      </c>
      <c r="E191" s="66" t="inlineStr">
        <is>
          <t>Retained in v0.2</t>
        </is>
      </c>
    </row>
    <row r="192" ht="36" customHeight="1" s="63">
      <c r="A192" s="66" t="inlineStr">
        <is>
          <t>Global_VTS_Inventory_v0.1.xlsx</t>
        </is>
      </c>
      <c r="B192" s="66" t="inlineStr">
        <is>
          <t>Reporting scheme</t>
        </is>
      </c>
      <c r="C192" s="66" t="inlineStr">
        <is>
          <t>RPT-002</t>
        </is>
      </c>
      <c r="D192" s="66" t="inlineStr">
        <is>
          <t>SRS-002</t>
        </is>
      </c>
      <c r="E192" s="66" t="inlineStr">
        <is>
          <t>Retained in v0.2</t>
        </is>
      </c>
    </row>
    <row r="193" ht="36" customHeight="1" s="63">
      <c r="A193" s="66" t="inlineStr">
        <is>
          <t>Global_VTS_Inventory_v0.1.xlsx</t>
        </is>
      </c>
      <c r="B193" s="66" t="inlineStr">
        <is>
          <t>Reporting scheme</t>
        </is>
      </c>
      <c r="C193" s="66" t="inlineStr">
        <is>
          <t>RPT-003</t>
        </is>
      </c>
      <c r="D193" s="66" t="inlineStr">
        <is>
          <t>SRS-003</t>
        </is>
      </c>
      <c r="E193" s="66" t="inlineStr">
        <is>
          <t>Retained in v0.2</t>
        </is>
      </c>
    </row>
    <row r="194" ht="36" customHeight="1" s="63">
      <c r="A194" s="66" t="inlineStr">
        <is>
          <t>Global_VTS_Inventory_v0.1.xlsx</t>
        </is>
      </c>
      <c r="B194" s="66" t="inlineStr">
        <is>
          <t>Reporting scheme</t>
        </is>
      </c>
      <c r="C194" s="66" t="inlineStr">
        <is>
          <t>RPT-004</t>
        </is>
      </c>
      <c r="D194" s="66" t="inlineStr">
        <is>
          <t>SRS-004</t>
        </is>
      </c>
      <c r="E194" s="66" t="inlineStr">
        <is>
          <t>Retained in v0.2</t>
        </is>
      </c>
    </row>
    <row r="195" ht="36" customHeight="1" s="63">
      <c r="A195" s="66" t="inlineStr">
        <is>
          <t>Global_VTS_Inventory_v0.1.xlsx</t>
        </is>
      </c>
      <c r="B195" s="66" t="inlineStr">
        <is>
          <t>Reporting scheme</t>
        </is>
      </c>
      <c r="C195" s="66" t="inlineStr">
        <is>
          <t>RPT-005</t>
        </is>
      </c>
      <c r="D195" s="66" t="inlineStr">
        <is>
          <t>SRS-005</t>
        </is>
      </c>
      <c r="E195" s="66" t="inlineStr">
        <is>
          <t>Retained in v0.2</t>
        </is>
      </c>
    </row>
    <row r="196" ht="36" customHeight="1" s="63">
      <c r="A196" s="66" t="inlineStr">
        <is>
          <t>Global_VTS_Inventory_v0.1.xlsx</t>
        </is>
      </c>
      <c r="B196" s="66" t="inlineStr">
        <is>
          <t>Reporting scheme</t>
        </is>
      </c>
      <c r="C196" s="66" t="inlineStr">
        <is>
          <t>RPT-006</t>
        </is>
      </c>
      <c r="D196" s="66" t="inlineStr">
        <is>
          <t>SRS-006</t>
        </is>
      </c>
      <c r="E196" s="66" t="inlineStr">
        <is>
          <t>Retained in v0.2</t>
        </is>
      </c>
    </row>
    <row r="197" ht="36" customHeight="1" s="63">
      <c r="A197" s="66" t="inlineStr">
        <is>
          <t>Global_VTS_Inventory_v0.1.xlsx</t>
        </is>
      </c>
      <c r="B197" s="66" t="inlineStr">
        <is>
          <t>Reporting scheme</t>
        </is>
      </c>
      <c r="C197" s="66" t="inlineStr">
        <is>
          <t>RPT-007</t>
        </is>
      </c>
      <c r="D197" s="66" t="inlineStr">
        <is>
          <t>SRS-007</t>
        </is>
      </c>
      <c r="E197" s="66" t="inlineStr">
        <is>
          <t>Retained in v0.2</t>
        </is>
      </c>
    </row>
    <row r="198" ht="36" customHeight="1" s="63">
      <c r="A198" s="66" t="inlineStr">
        <is>
          <t>Global_VTS_Inventory_v0.1.xlsx</t>
        </is>
      </c>
      <c r="B198" s="66" t="inlineStr">
        <is>
          <t>Reporting scheme</t>
        </is>
      </c>
      <c r="C198" s="66" t="inlineStr">
        <is>
          <t>RPT-008</t>
        </is>
      </c>
      <c r="D198" s="66" t="inlineStr">
        <is>
          <t>SRS-008</t>
        </is>
      </c>
      <c r="E198" s="66" t="inlineStr">
        <is>
          <t>Retained in v0.2</t>
        </is>
      </c>
    </row>
    <row r="199" ht="36" customHeight="1" s="63">
      <c r="A199" s="66" t="inlineStr">
        <is>
          <t>Global_VTS_Inventory_v0.1.xlsx</t>
        </is>
      </c>
      <c r="B199" s="66" t="inlineStr">
        <is>
          <t>Source</t>
        </is>
      </c>
      <c r="C199" s="66" t="inlineStr">
        <is>
          <t>S01</t>
        </is>
      </c>
      <c r="D199" s="66" t="inlineStr">
        <is>
          <t>SRC-002</t>
        </is>
      </c>
      <c r="E199" s="66" t="inlineStr">
        <is>
          <t>Retained in v0.2</t>
        </is>
      </c>
    </row>
    <row r="200" ht="36" customHeight="1" s="63">
      <c r="A200" s="66" t="inlineStr">
        <is>
          <t>Global_VTS_Inventory_v0.1.xlsx</t>
        </is>
      </c>
      <c r="B200" s="66" t="inlineStr">
        <is>
          <t>Source</t>
        </is>
      </c>
      <c r="C200" s="66" t="inlineStr">
        <is>
          <t>S02</t>
        </is>
      </c>
      <c r="D200" s="66" t="inlineStr">
        <is>
          <t>SRC-001</t>
        </is>
      </c>
      <c r="E200" s="66" t="inlineStr">
        <is>
          <t>Retained in v0.2</t>
        </is>
      </c>
    </row>
    <row r="201" ht="36" customHeight="1" s="63">
      <c r="A201" s="66" t="inlineStr">
        <is>
          <t>Global_VTS_Inventory_v0.1.xlsx</t>
        </is>
      </c>
      <c r="B201" s="66" t="inlineStr">
        <is>
          <t>Source</t>
        </is>
      </c>
      <c r="C201" s="66" t="inlineStr">
        <is>
          <t>S03</t>
        </is>
      </c>
      <c r="D201" s="66" t="inlineStr">
        <is>
          <t>SRC-003</t>
        </is>
      </c>
      <c r="E201" s="66" t="inlineStr">
        <is>
          <t>Retained in v0.2</t>
        </is>
      </c>
    </row>
    <row r="202" ht="36" customHeight="1" s="63">
      <c r="A202" s="66" t="inlineStr">
        <is>
          <t>Global_VTS_Inventory_v0.1.xlsx</t>
        </is>
      </c>
      <c r="B202" s="66" t="inlineStr">
        <is>
          <t>Source</t>
        </is>
      </c>
      <c r="C202" s="66" t="inlineStr">
        <is>
          <t>S04</t>
        </is>
      </c>
      <c r="D202" s="66" t="inlineStr">
        <is>
          <t>SRC-005</t>
        </is>
      </c>
      <c r="E202" s="66" t="inlineStr">
        <is>
          <t>Retained in v0.2</t>
        </is>
      </c>
    </row>
    <row r="203" ht="36" customHeight="1" s="63">
      <c r="A203" s="66" t="inlineStr">
        <is>
          <t>Global_VTS_Inventory_v0.1.xlsx</t>
        </is>
      </c>
      <c r="B203" s="66" t="inlineStr">
        <is>
          <t>Source</t>
        </is>
      </c>
      <c r="C203" s="66" t="inlineStr">
        <is>
          <t>S05</t>
        </is>
      </c>
      <c r="D203" s="66" t="inlineStr">
        <is>
          <t>SRC-008</t>
        </is>
      </c>
      <c r="E203" s="66" t="inlineStr">
        <is>
          <t>Retained in v0.2</t>
        </is>
      </c>
    </row>
    <row r="204" ht="36" customHeight="1" s="63">
      <c r="A204" s="66" t="inlineStr">
        <is>
          <t>Global_VTS_Inventory_v0.1.xlsx</t>
        </is>
      </c>
      <c r="B204" s="66" t="inlineStr">
        <is>
          <t>Source</t>
        </is>
      </c>
      <c r="C204" s="66" t="inlineStr">
        <is>
          <t>S06</t>
        </is>
      </c>
      <c r="D204" s="66" t="inlineStr">
        <is>
          <t>SRC-016</t>
        </is>
      </c>
      <c r="E204" s="66" t="inlineStr">
        <is>
          <t>Retained in v0.2</t>
        </is>
      </c>
    </row>
    <row r="205" ht="36" customHeight="1" s="63">
      <c r="A205" s="66" t="inlineStr">
        <is>
          <t>Global_VTS_Inventory_v0.1.xlsx</t>
        </is>
      </c>
      <c r="B205" s="66" t="inlineStr">
        <is>
          <t>Source</t>
        </is>
      </c>
      <c r="C205" s="66" t="inlineStr">
        <is>
          <t>S07</t>
        </is>
      </c>
      <c r="D205" s="66" t="inlineStr">
        <is>
          <t>SRC-010</t>
        </is>
      </c>
      <c r="E205" s="66" t="inlineStr">
        <is>
          <t>Retained in v0.2</t>
        </is>
      </c>
    </row>
    <row r="206" ht="36" customHeight="1" s="63">
      <c r="A206" s="66" t="inlineStr">
        <is>
          <t>Global_VTS_Inventory_v0.1.xlsx</t>
        </is>
      </c>
      <c r="B206" s="66" t="inlineStr">
        <is>
          <t>Source</t>
        </is>
      </c>
      <c r="C206" s="66" t="inlineStr">
        <is>
          <t>S08</t>
        </is>
      </c>
      <c r="D206" s="66" t="inlineStr">
        <is>
          <t>SRC-006</t>
        </is>
      </c>
      <c r="E206" s="66" t="inlineStr">
        <is>
          <t>Retained in v0.2</t>
        </is>
      </c>
    </row>
    <row r="207" ht="36" customHeight="1" s="63">
      <c r="A207" s="66" t="inlineStr">
        <is>
          <t>Global_VTS_Inventory_v0.1.xlsx</t>
        </is>
      </c>
      <c r="B207" s="66" t="inlineStr">
        <is>
          <t>Source</t>
        </is>
      </c>
      <c r="C207" s="66" t="inlineStr">
        <is>
          <t>S09</t>
        </is>
      </c>
      <c r="D207" s="66" t="inlineStr">
        <is>
          <t>SRC-007</t>
        </is>
      </c>
      <c r="E207" s="66" t="inlineStr">
        <is>
          <t>Retained in v0.2</t>
        </is>
      </c>
    </row>
    <row r="208" ht="36" customHeight="1" s="63">
      <c r="A208" s="66" t="inlineStr">
        <is>
          <t>Global_VTS_Inventory_v0.1.xlsx</t>
        </is>
      </c>
      <c r="B208" s="66" t="inlineStr">
        <is>
          <t>Source</t>
        </is>
      </c>
      <c r="C208" s="66" t="inlineStr">
        <is>
          <t>S10</t>
        </is>
      </c>
      <c r="D208" s="66" t="inlineStr">
        <is>
          <t>SRC-018</t>
        </is>
      </c>
      <c r="E208" s="66" t="inlineStr">
        <is>
          <t>Retained in v0.2</t>
        </is>
      </c>
    </row>
    <row r="209" ht="36" customHeight="1" s="63">
      <c r="A209" s="66" t="inlineStr">
        <is>
          <t>Global_VTS_Inventory_v0.1.xlsx</t>
        </is>
      </c>
      <c r="B209" s="66" t="inlineStr">
        <is>
          <t>Source</t>
        </is>
      </c>
      <c r="C209" s="66" t="inlineStr">
        <is>
          <t>S11</t>
        </is>
      </c>
      <c r="D209" s="66" t="inlineStr">
        <is>
          <t>SRC-017</t>
        </is>
      </c>
      <c r="E209" s="66" t="inlineStr">
        <is>
          <t>Retained in v0.2</t>
        </is>
      </c>
    </row>
    <row r="210" ht="36" customHeight="1" s="63">
      <c r="A210" s="66" t="inlineStr">
        <is>
          <t>Global_VTS_Inventory_v0.1.xlsx</t>
        </is>
      </c>
      <c r="B210" s="66" t="inlineStr">
        <is>
          <t>Source</t>
        </is>
      </c>
      <c r="C210" s="66" t="inlineStr">
        <is>
          <t>S12</t>
        </is>
      </c>
      <c r="D210" s="66" t="inlineStr">
        <is>
          <t>SRC-022</t>
        </is>
      </c>
      <c r="E210" s="66" t="inlineStr">
        <is>
          <t>Preserved; source locator not reverified</t>
        </is>
      </c>
    </row>
    <row r="211" ht="36" customHeight="1" s="63">
      <c r="A211" s="66" t="inlineStr">
        <is>
          <t>Global_VTS_Inventory_v0.1.xlsx</t>
        </is>
      </c>
      <c r="B211" s="66" t="inlineStr">
        <is>
          <t>Source</t>
        </is>
      </c>
      <c r="C211" s="66" t="inlineStr">
        <is>
          <t>S13</t>
        </is>
      </c>
      <c r="D211" s="66" t="inlineStr">
        <is>
          <t>SRC-023</t>
        </is>
      </c>
      <c r="E211" s="66" t="inlineStr">
        <is>
          <t>Preserved; source locator not reverified</t>
        </is>
      </c>
    </row>
    <row r="212">
      <c r="A212" s="68" t="n"/>
      <c r="B212" s="68" t="n"/>
      <c r="C212" s="68" t="n"/>
      <c r="D212" s="68" t="n"/>
      <c r="E212" s="68" t="n"/>
    </row>
  </sheetData>
  <mergeCells count="2">
    <mergeCell ref="A3:E4"/>
    <mergeCell ref="A1:E2"/>
  </mergeCell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cols>
    <col width="17" customWidth="1" style="63" min="1" max="1"/>
    <col width="18" customWidth="1" style="63" min="2" max="2"/>
    <col width="18" customWidth="1" style="63" min="3" max="3"/>
    <col width="18" customWidth="1" style="63" min="4" max="4"/>
    <col width="18" customWidth="1" style="63" min="5" max="5"/>
    <col width="44" customWidth="1" style="63" min="6" max="6"/>
    <col width="19" customWidth="1" style="63" min="7" max="7"/>
    <col width="36" customWidth="1" style="63" min="8" max="8"/>
    <col width="21" customWidth="1" style="63" min="9" max="9"/>
    <col width="46" customWidth="1" style="63" min="10" max="10"/>
    <col width="48" customWidth="1" style="63" min="11" max="11"/>
  </cols>
  <sheetData>
    <row r="1">
      <c r="A1" s="138" t="inlineStr">
        <is>
          <t>GLOBAL VTS | LEGACY LINK AUDIT</t>
        </is>
      </c>
      <c r="B1" s="1" t="n"/>
      <c r="C1" s="1" t="n"/>
      <c r="D1" s="1" t="n"/>
      <c r="E1" s="1" t="n"/>
      <c r="F1" s="1" t="n"/>
      <c r="G1" s="1" t="n"/>
      <c r="H1" s="1" t="n"/>
      <c r="I1" s="68" t="n"/>
      <c r="J1" s="68" t="n"/>
      <c r="K1" s="68" t="n"/>
    </row>
    <row r="2">
      <c r="A2" s="1" t="n"/>
      <c r="B2" s="1" t="n"/>
      <c r="C2" s="1" t="n"/>
      <c r="D2" s="1" t="n"/>
      <c r="E2" s="1" t="n"/>
      <c r="F2" s="1" t="n"/>
      <c r="G2" s="1" t="n"/>
      <c r="H2" s="1" t="n"/>
      <c r="I2" s="68" t="n"/>
      <c r="J2" s="68" t="n"/>
      <c r="K2" s="68" t="n"/>
    </row>
    <row r="3">
      <c r="A3" s="139" t="inlineStr">
        <is>
          <t>v0.3 | All 65 earlier relationships retained with a reconciliation outcome. Archived links are not confirmed coverage.</t>
        </is>
      </c>
      <c r="B3" s="1" t="n"/>
      <c r="C3" s="1" t="n"/>
      <c r="D3" s="1" t="n"/>
      <c r="E3" s="1" t="n"/>
      <c r="F3" s="1" t="n"/>
      <c r="G3" s="1" t="n"/>
      <c r="H3" s="1" t="n"/>
      <c r="I3" s="68" t="n"/>
      <c r="J3" s="68" t="n"/>
      <c r="K3" s="68" t="n"/>
    </row>
    <row r="4">
      <c r="A4" s="1" t="n"/>
      <c r="B4" s="1" t="n"/>
      <c r="C4" s="1" t="n"/>
      <c r="D4" s="1" t="n"/>
      <c r="E4" s="1" t="n"/>
      <c r="F4" s="1" t="n"/>
      <c r="G4" s="1" t="n"/>
      <c r="H4" s="1" t="n"/>
      <c r="I4" s="68" t="n"/>
      <c r="J4" s="68" t="n"/>
      <c r="K4" s="68" t="n"/>
    </row>
    <row r="5">
      <c r="A5" s="68" t="n"/>
      <c r="B5" s="68" t="n"/>
      <c r="C5" s="68" t="n"/>
      <c r="D5" s="68" t="n"/>
      <c r="E5" s="68" t="n"/>
      <c r="F5" s="68" t="n"/>
      <c r="G5" s="68" t="n"/>
      <c r="H5" s="68" t="n"/>
      <c r="I5" s="68" t="n"/>
      <c r="J5" s="68" t="n"/>
      <c r="K5" s="68" t="n"/>
    </row>
    <row r="6" ht="34" customHeight="1" s="63">
      <c r="A6" s="65" t="inlineStr">
        <is>
          <t>Legacy link ID</t>
        </is>
      </c>
      <c r="B6" s="65" t="inlineStr">
        <is>
          <t>Original from</t>
        </is>
      </c>
      <c r="C6" s="65" t="inlineStr">
        <is>
          <t>Original to</t>
        </is>
      </c>
      <c r="D6" s="65" t="inlineStr">
        <is>
          <t>Canonical from</t>
        </is>
      </c>
      <c r="E6" s="65" t="inlineStr">
        <is>
          <t>Canonical to</t>
        </is>
      </c>
      <c r="F6" s="65" t="inlineStr">
        <is>
          <t>Disposition</t>
        </is>
      </c>
      <c r="G6" s="65" t="inlineStr">
        <is>
          <t>Current link ID</t>
        </is>
      </c>
      <c r="H6" s="65" t="inlineStr">
        <is>
          <t>Current evidence status</t>
        </is>
      </c>
      <c r="I6" s="65" t="inlineStr">
        <is>
          <t>Legacy source IDs</t>
        </is>
      </c>
      <c r="J6" s="65" t="inlineStr">
        <is>
          <t>Legacy source URLs</t>
        </is>
      </c>
      <c r="K6" s="65" t="inlineStr">
        <is>
          <t>Reconciliation note</t>
        </is>
      </c>
    </row>
    <row r="7" ht="106.5" customHeight="1" s="63">
      <c r="A7" s="66" t="inlineStr">
        <is>
          <t>REL-001</t>
        </is>
      </c>
      <c r="B7" s="66" t="inlineStr">
        <is>
          <t>VTS-001</t>
        </is>
      </c>
      <c r="C7" s="66" t="inlineStr">
        <is>
          <t>RPT-001</t>
        </is>
      </c>
      <c r="D7" s="66" t="inlineStr">
        <is>
          <t>VTS-001</t>
        </is>
      </c>
      <c r="E7" s="66" t="inlineStr">
        <is>
          <t>SRS-001</t>
        </is>
      </c>
      <c r="F7" s="66" t="inlineStr">
        <is>
          <t>Retained with reviewed evidence status</t>
        </is>
      </c>
      <c r="G7" s="66" t="inlineStr">
        <is>
          <t>LNK-0001</t>
        </is>
      </c>
      <c r="H7" s="66" t="inlineStr">
        <is>
          <t>Authority-supported identity</t>
        </is>
      </c>
      <c r="I7" s="66" t="inlineStr">
        <is>
          <t>S04</t>
        </is>
      </c>
      <c r="J7" s="67" t="inlineStr">
        <is>
          <t>https://www.gov.uk/government/publications/mgn-364-mf-amendment-2-navigation-safety-traffic-separation-schemes-application-of-rule-10-and-navigation-in-the-dover-strait/mgn-364-mf-amendment-2-navigation-safety-traffic-separation-schemes-application-of-rule-10-and-navigation-in-the-dover-strait</t>
        </is>
      </c>
      <c r="K7" s="66" t="inlineStr">
        <is>
          <t>This relationship does not establish the boundaries of any TSS.</t>
        </is>
      </c>
    </row>
    <row r="8" ht="79.5" customHeight="1" s="63">
      <c r="A8" s="66" t="inlineStr">
        <is>
          <t>REL-002</t>
        </is>
      </c>
      <c r="B8" s="66" t="inlineStr">
        <is>
          <t>VTS-002</t>
        </is>
      </c>
      <c r="C8" s="66" t="inlineStr">
        <is>
          <t>RPT-002</t>
        </is>
      </c>
      <c r="D8" s="66" t="inlineStr">
        <is>
          <t>VTS-002</t>
        </is>
      </c>
      <c r="E8" s="66" t="inlineStr">
        <is>
          <t>SRS-002</t>
        </is>
      </c>
      <c r="F8" s="66" t="inlineStr">
        <is>
          <t>Retained with reviewed evidence status</t>
        </is>
      </c>
      <c r="G8" s="66" t="inlineStr">
        <is>
          <t>LNK-0002</t>
        </is>
      </c>
      <c r="H8" s="66" t="inlineStr">
        <is>
          <t>Authority-supported identity</t>
        </is>
      </c>
      <c r="I8" s="66" t="inlineStr">
        <is>
          <t>S05; S06</t>
        </is>
      </c>
      <c r="J8" s="67" t="inlineStr">
        <is>
          <t>https://www.forsvaret.dk/da/organisation/soevaernet/civile-opgaver/beltrep/
https://www.brs.dk/da/om-os/organisation/sikre-farvande/obligatoriske-skibsmeldesystemer-msrs-og-skibstrafiktjenester-vts/</t>
        </is>
      </c>
      <c r="K8" s="66" t="inlineStr">
        <is>
          <t>This relationship does not establish the boundaries of any TSS.</t>
        </is>
      </c>
    </row>
    <row r="9" ht="93" customHeight="1" s="63">
      <c r="A9" s="66" t="inlineStr">
        <is>
          <t>REL-003</t>
        </is>
      </c>
      <c r="B9" s="66" t="inlineStr">
        <is>
          <t>VTS-003</t>
        </is>
      </c>
      <c r="C9" s="66" t="inlineStr">
        <is>
          <t>RPT-003</t>
        </is>
      </c>
      <c r="D9" s="66" t="inlineStr">
        <is>
          <t>VTS-003</t>
        </is>
      </c>
      <c r="E9" s="66" t="inlineStr">
        <is>
          <t>SRS-003</t>
        </is>
      </c>
      <c r="F9" s="66" t="inlineStr">
        <is>
          <t>Retained with reviewed evidence status</t>
        </is>
      </c>
      <c r="G9" s="66" t="inlineStr">
        <is>
          <t>LNK-0003</t>
        </is>
      </c>
      <c r="H9" s="66" t="inlineStr">
        <is>
          <t>Authority-supported identity</t>
        </is>
      </c>
      <c r="I9" s="66" t="inlineStr">
        <is>
          <t>S06; S07</t>
        </is>
      </c>
      <c r="J9" s="67" t="inlineStr">
        <is>
          <t>https://www.brs.dk/da/om-os/organisation/sikre-farvande/obligatoriske-skibsmeldesystemer-msrs-og-skibstrafiktjenester-vts/
https://www.transportstyrelsen.se/sv/sjofart/sjotrafik-och-hamnar/sjotrafikrapporteringssystem-srs/</t>
        </is>
      </c>
      <c r="K9" s="66" t="inlineStr">
        <is>
          <t>This relationship does not establish the boundaries of any TSS.</t>
        </is>
      </c>
    </row>
    <row r="10" ht="79.5" customHeight="1" s="63">
      <c r="A10" s="66" t="inlineStr">
        <is>
          <t>REL-004</t>
        </is>
      </c>
      <c r="B10" s="66" t="inlineStr">
        <is>
          <t>VTS-004</t>
        </is>
      </c>
      <c r="C10" s="66" t="inlineStr">
        <is>
          <t>RPT-004</t>
        </is>
      </c>
      <c r="D10" s="66" t="inlineStr">
        <is>
          <t>VTS-004</t>
        </is>
      </c>
      <c r="E10" s="66" t="inlineStr">
        <is>
          <t>SRS-004</t>
        </is>
      </c>
      <c r="F10" s="66" t="inlineStr">
        <is>
          <t>Retained with reviewed evidence status</t>
        </is>
      </c>
      <c r="G10" s="66" t="inlineStr">
        <is>
          <t>LNK-0004</t>
        </is>
      </c>
      <c r="H10" s="66" t="inlineStr">
        <is>
          <t>Authority-supported identity</t>
        </is>
      </c>
      <c r="I10" s="66" t="inlineStr">
        <is>
          <t>S08; S09</t>
        </is>
      </c>
      <c r="J10" s="67" t="inlineStr">
        <is>
          <t>https://www.mpa.gov.sg/port-marine-ops/operations/vessel-traffic-information-system
https://www.mpa.gov.sg/port-marine-ops/operations/vessel-traffic-information-system/operational-areas</t>
        </is>
      </c>
      <c r="K10" s="66" t="inlineStr">
        <is>
          <t>This relationship does not establish the boundaries of any TSS.</t>
        </is>
      </c>
    </row>
    <row r="11" ht="79.5" customHeight="1" s="63">
      <c r="A11" s="66" t="inlineStr">
        <is>
          <t>REL-005</t>
        </is>
      </c>
      <c r="B11" s="66" t="inlineStr">
        <is>
          <t>VTS-005</t>
        </is>
      </c>
      <c r="C11" s="66" t="inlineStr">
        <is>
          <t>RPT-004</t>
        </is>
      </c>
      <c r="D11" s="66" t="inlineStr">
        <is>
          <t>VTS-005</t>
        </is>
      </c>
      <c r="E11" s="66" t="inlineStr">
        <is>
          <t>SRS-004</t>
        </is>
      </c>
      <c r="F11" s="66" t="inlineStr">
        <is>
          <t>Retained with reviewed evidence status</t>
        </is>
      </c>
      <c r="G11" s="66" t="inlineStr">
        <is>
          <t>LNK-0005</t>
        </is>
      </c>
      <c r="H11" s="66" t="inlineStr">
        <is>
          <t>Authority-supported identity</t>
        </is>
      </c>
      <c r="I11" s="66" t="inlineStr">
        <is>
          <t>S08; S09</t>
        </is>
      </c>
      <c r="J11" s="67" t="inlineStr">
        <is>
          <t>https://www.mpa.gov.sg/port-marine-ops/operations/vessel-traffic-information-system
https://www.mpa.gov.sg/port-marine-ops/operations/vessel-traffic-information-system/operational-areas</t>
        </is>
      </c>
      <c r="K11" s="66" t="inlineStr">
        <is>
          <t>This relationship does not establish the boundaries of any TSS.</t>
        </is>
      </c>
    </row>
    <row r="12" ht="79.5" customHeight="1" s="63">
      <c r="A12" s="66" t="inlineStr">
        <is>
          <t>REL-006</t>
        </is>
      </c>
      <c r="B12" s="66" t="inlineStr">
        <is>
          <t>VTS-006</t>
        </is>
      </c>
      <c r="C12" s="66" t="inlineStr">
        <is>
          <t>RPT-004</t>
        </is>
      </c>
      <c r="D12" s="66" t="inlineStr">
        <is>
          <t>VTS-006</t>
        </is>
      </c>
      <c r="E12" s="66" t="inlineStr">
        <is>
          <t>SRS-004</t>
        </is>
      </c>
      <c r="F12" s="66" t="inlineStr">
        <is>
          <t>Retained with reviewed evidence status</t>
        </is>
      </c>
      <c r="G12" s="66" t="inlineStr">
        <is>
          <t>LNK-0006</t>
        </is>
      </c>
      <c r="H12" s="66" t="inlineStr">
        <is>
          <t>Authority-supported identity</t>
        </is>
      </c>
      <c r="I12" s="66" t="inlineStr">
        <is>
          <t>S08; S09</t>
        </is>
      </c>
      <c r="J12" s="67" t="inlineStr">
        <is>
          <t>https://www.mpa.gov.sg/port-marine-ops/operations/vessel-traffic-information-system
https://www.mpa.gov.sg/port-marine-ops/operations/vessel-traffic-information-system/operational-areas</t>
        </is>
      </c>
      <c r="K12" s="66" t="inlineStr">
        <is>
          <t>This relationship does not establish the boundaries of any TSS.</t>
        </is>
      </c>
    </row>
    <row r="13" ht="60" customHeight="1" s="63">
      <c r="A13" s="66" t="inlineStr">
        <is>
          <t>REL-007</t>
        </is>
      </c>
      <c r="B13" s="66" t="inlineStr">
        <is>
          <t>VTS-007</t>
        </is>
      </c>
      <c r="C13" s="66" t="inlineStr">
        <is>
          <t>RPT-005</t>
        </is>
      </c>
      <c r="D13" s="66" t="inlineStr">
        <is>
          <t>VTS-007</t>
        </is>
      </c>
      <c r="E13" s="66" t="inlineStr">
        <is>
          <t>SRS-005</t>
        </is>
      </c>
      <c r="F13" s="66" t="inlineStr">
        <is>
          <t>Retained with reviewed evidence status</t>
        </is>
      </c>
      <c r="G13" s="66" t="inlineStr">
        <is>
          <t>LNK-0007</t>
        </is>
      </c>
      <c r="H13" s="66" t="inlineStr">
        <is>
          <t>Authority-supported identity</t>
        </is>
      </c>
      <c r="I13" s="66" t="inlineStr">
        <is>
          <t>S10</t>
        </is>
      </c>
      <c r="J13" s="67" t="inlineStr">
        <is>
          <t>https://www.msq.qld.gov.au/shipping/reefvts</t>
        </is>
      </c>
      <c r="K13" s="66" t="inlineStr">
        <is>
          <t>This relationship does not establish the boundaries of any TSS.</t>
        </is>
      </c>
    </row>
    <row r="14" ht="60" customHeight="1" s="63">
      <c r="A14" s="66" t="inlineStr">
        <is>
          <t>REL-008</t>
        </is>
      </c>
      <c r="B14" s="66" t="inlineStr">
        <is>
          <t>VTS-011</t>
        </is>
      </c>
      <c r="C14" s="66" t="inlineStr">
        <is>
          <t>RPT-008</t>
        </is>
      </c>
      <c r="D14" s="66" t="inlineStr">
        <is>
          <t>VTS-011</t>
        </is>
      </c>
      <c r="E14" s="66" t="inlineStr">
        <is>
          <t>SRS-008</t>
        </is>
      </c>
      <c r="F14" s="66" t="inlineStr">
        <is>
          <t>Retained with reviewed evidence status</t>
        </is>
      </c>
      <c r="G14" s="66" t="inlineStr">
        <is>
          <t>LNK-0040</t>
        </is>
      </c>
      <c r="H14" s="66" t="inlineStr">
        <is>
          <t>Authority-supported identity</t>
        </is>
      </c>
      <c r="I14" s="66" t="inlineStr">
        <is>
          <t>S11</t>
        </is>
      </c>
      <c r="J14" s="67" t="inlineStr">
        <is>
          <t>https://www.navcen.uscg.gov/vessel-traffic-services-locations</t>
        </is>
      </c>
      <c r="K14" s="66" t="inlineStr">
        <is>
          <t>This relationship does not establish the boundaries of any TSS.</t>
        </is>
      </c>
    </row>
    <row r="15" ht="106.5" customHeight="1" s="63">
      <c r="A15" s="66" t="inlineStr">
        <is>
          <t>REL-009</t>
        </is>
      </c>
      <c r="B15" s="66" t="inlineStr">
        <is>
          <t>TSS-005</t>
        </is>
      </c>
      <c r="C15" s="66" t="inlineStr">
        <is>
          <t>VTS-001</t>
        </is>
      </c>
      <c r="D15" s="66" t="inlineStr">
        <is>
          <t>TSS-0005</t>
        </is>
      </c>
      <c r="E15" s="66" t="inlineStr">
        <is>
          <t>VTS-001</t>
        </is>
      </c>
      <c r="F15" s="66" t="inlineStr">
        <is>
          <t>Retained with reviewed evidence status</t>
        </is>
      </c>
      <c r="G15" s="66" t="inlineStr">
        <is>
          <t>LNK-0008</t>
        </is>
      </c>
      <c r="H15" s="66" t="inlineStr">
        <is>
          <t>Authority-supported association</t>
        </is>
      </c>
      <c r="I15" s="66" t="inlineStr">
        <is>
          <t>S04</t>
        </is>
      </c>
      <c r="J15" s="67" t="inlineStr">
        <is>
          <t>https://www.gov.uk/government/publications/mgn-364-mf-amendment-2-navigation-safety-traffic-separation-schemes-application-of-rule-10-and-navigation-in-the-dover-strait/mgn-364-mf-amendment-2-navigation-safety-traffic-separation-schemes-application-of-rule-10-and-navigation-in-the-dover-strait</t>
        </is>
      </c>
      <c r="K15" s="66" t="inlineStr">
        <is>
          <t>Dover TSS association identified in MCA guidance.</t>
        </is>
      </c>
    </row>
    <row r="16" ht="79.5" customHeight="1" s="63">
      <c r="A16" s="66" t="inlineStr">
        <is>
          <t>REL-010</t>
        </is>
      </c>
      <c r="B16" s="66" t="inlineStr">
        <is>
          <t>TSS-038</t>
        </is>
      </c>
      <c r="C16" s="66" t="inlineStr">
        <is>
          <t>VTS-002</t>
        </is>
      </c>
      <c r="D16" s="66" t="inlineStr">
        <is>
          <t>TSS-0038</t>
        </is>
      </c>
      <c r="E16" s="66" t="inlineStr">
        <is>
          <t>VTS-002</t>
        </is>
      </c>
      <c r="F16" s="66" t="inlineStr">
        <is>
          <t>Retained with reviewed evidence status</t>
        </is>
      </c>
      <c r="G16" s="66" t="inlineStr">
        <is>
          <t>LNK-0026</t>
        </is>
      </c>
      <c r="H16" s="66" t="inlineStr">
        <is>
          <t>Authority-supported identity</t>
        </is>
      </c>
      <c r="I16" s="66" t="inlineStr">
        <is>
          <t>S05; S06</t>
        </is>
      </c>
      <c r="J16" s="67" t="inlineStr">
        <is>
          <t>https://www.forsvaret.dk/da/organisation/soevaernet/civile-opgaver/beltrep/
https://www.brs.dk/da/om-os/organisation/sikre-farvande/obligatoriske-skibsmeldesystemer-msrs-og-skibstrafiktjenester-vts/</t>
        </is>
      </c>
      <c r="K16" s="66" t="inlineStr">
        <is>
          <t>Search lead only. No full or partial TSS coverage has been concluded.</t>
        </is>
      </c>
    </row>
    <row r="17" ht="79.5" customHeight="1" s="63">
      <c r="A17" s="66" t="inlineStr">
        <is>
          <t>REL-011</t>
        </is>
      </c>
      <c r="B17" s="66" t="inlineStr">
        <is>
          <t>TSS-039</t>
        </is>
      </c>
      <c r="C17" s="66" t="inlineStr">
        <is>
          <t>VTS-002</t>
        </is>
      </c>
      <c r="D17" s="66" t="inlineStr">
        <is>
          <t>TSS-0039</t>
        </is>
      </c>
      <c r="E17" s="66" t="inlineStr">
        <is>
          <t>VTS-002</t>
        </is>
      </c>
      <c r="F17" s="66" t="inlineStr">
        <is>
          <t>Retained with reviewed evidence status</t>
        </is>
      </c>
      <c r="G17" s="66" t="inlineStr">
        <is>
          <t>LNK-0027</t>
        </is>
      </c>
      <c r="H17" s="66" t="inlineStr">
        <is>
          <t>Authority-supported identity</t>
        </is>
      </c>
      <c r="I17" s="66" t="inlineStr">
        <is>
          <t>S05; S06</t>
        </is>
      </c>
      <c r="J17" s="67" t="inlineStr">
        <is>
          <t>https://www.forsvaret.dk/da/organisation/soevaernet/civile-opgaver/beltrep/
https://www.brs.dk/da/om-os/organisation/sikre-farvande/obligatoriske-skibsmeldesystemer-msrs-og-skibstrafiktjenester-vts/</t>
        </is>
      </c>
      <c r="K17" s="66" t="inlineStr">
        <is>
          <t>Search lead only. No full or partial TSS coverage has been concluded.</t>
        </is>
      </c>
    </row>
    <row r="18" ht="93" customHeight="1" s="63">
      <c r="A18" s="66" t="inlineStr">
        <is>
          <t>REL-012</t>
        </is>
      </c>
      <c r="B18" s="66" t="inlineStr">
        <is>
          <t>TSS-040</t>
        </is>
      </c>
      <c r="C18" s="66" t="inlineStr">
        <is>
          <t>VTS-003</t>
        </is>
      </c>
      <c r="D18" s="66" t="inlineStr">
        <is>
          <t>TSS-0040</t>
        </is>
      </c>
      <c r="E18" s="66" t="inlineStr">
        <is>
          <t>VTS-003</t>
        </is>
      </c>
      <c r="F18" s="66" t="inlineStr">
        <is>
          <t>Retained with reviewed evidence status</t>
        </is>
      </c>
      <c r="G18" s="66" t="inlineStr">
        <is>
          <t>LNK-0028</t>
        </is>
      </c>
      <c r="H18" s="66" t="inlineStr">
        <is>
          <t>Authority-supported identity</t>
        </is>
      </c>
      <c r="I18" s="66" t="inlineStr">
        <is>
          <t>S06; S07</t>
        </is>
      </c>
      <c r="J18" s="67" t="inlineStr">
        <is>
          <t>https://www.brs.dk/da/om-os/organisation/sikre-farvande/obligatoriske-skibsmeldesystemer-msrs-og-skibstrafiktjenester-vts/
https://www.transportstyrelsen.se/sv/sjofart/sjotrafik-och-hamnar/sjotrafikrapporteringssystem-srs/</t>
        </is>
      </c>
      <c r="K18" s="66" t="inlineStr">
        <is>
          <t>Search lead only. No full or partial TSS coverage has been concluded.</t>
        </is>
      </c>
    </row>
    <row r="19" ht="93" customHeight="1" s="63">
      <c r="A19" s="66" t="inlineStr">
        <is>
          <t>REL-013</t>
        </is>
      </c>
      <c r="B19" s="66" t="inlineStr">
        <is>
          <t>TSS-041</t>
        </is>
      </c>
      <c r="C19" s="66" t="inlineStr">
        <is>
          <t>VTS-003</t>
        </is>
      </c>
      <c r="D19" s="66" t="inlineStr">
        <is>
          <t>TSS-0041</t>
        </is>
      </c>
      <c r="E19" s="66" t="inlineStr">
        <is>
          <t>VTS-003</t>
        </is>
      </c>
      <c r="F19" s="66" t="inlineStr">
        <is>
          <t>Retained with reviewed evidence status</t>
        </is>
      </c>
      <c r="G19" s="66" t="inlineStr">
        <is>
          <t>LNK-0029</t>
        </is>
      </c>
      <c r="H19" s="66" t="inlineStr">
        <is>
          <t>Authority-supported identity</t>
        </is>
      </c>
      <c r="I19" s="66" t="inlineStr">
        <is>
          <t>S06; S07</t>
        </is>
      </c>
      <c r="J19" s="67" t="inlineStr">
        <is>
          <t>https://www.brs.dk/da/om-os/organisation/sikre-farvande/obligatoriske-skibsmeldesystemer-msrs-og-skibstrafiktjenester-vts/
https://www.transportstyrelsen.se/sv/sjofart/sjotrafik-och-hamnar/sjotrafikrapporteringssystem-srs/</t>
        </is>
      </c>
      <c r="K19" s="66" t="inlineStr">
        <is>
          <t>Search lead only. No full or partial TSS coverage has been concluded.</t>
        </is>
      </c>
    </row>
    <row r="20" ht="66" customHeight="1" s="63">
      <c r="A20" s="66" t="inlineStr">
        <is>
          <t>REL-014</t>
        </is>
      </c>
      <c r="B20" s="66" t="inlineStr">
        <is>
          <t>TSS-107</t>
        </is>
      </c>
      <c r="C20" s="66" t="inlineStr">
        <is>
          <t>VTS-004</t>
        </is>
      </c>
      <c r="D20" s="66" t="inlineStr">
        <is>
          <t>TSS-0107</t>
        </is>
      </c>
      <c r="E20" s="66" t="inlineStr">
        <is>
          <t>VTS-004</t>
        </is>
      </c>
      <c r="F20" s="66" t="inlineStr">
        <is>
          <t>Archived: component allocation unverified</t>
        </is>
      </c>
      <c r="G20" s="66" t="str"/>
      <c r="H20" s="66" t="inlineStr">
        <is>
          <t>Not an active component-to-service link</t>
        </is>
      </c>
      <c r="I20" s="66" t="inlineStr">
        <is>
          <t>S09</t>
        </is>
      </c>
      <c r="J20" s="67" t="inlineStr">
        <is>
          <t>https://www.mpa.gov.sg/port-marine-ops/operations/vessel-traffic-information-system/operational-areas</t>
        </is>
      </c>
      <c r="K20" s="66" t="inlineStr">
        <is>
          <t>Original assigned each of eight TSS segments to all three STRAITREP authorities. Only parent-system and sector/service links are retained pending boundary allocation.</t>
        </is>
      </c>
    </row>
    <row r="21" ht="66" customHeight="1" s="63">
      <c r="A21" s="66" t="inlineStr">
        <is>
          <t>REL-015</t>
        </is>
      </c>
      <c r="B21" s="66" t="inlineStr">
        <is>
          <t>TSS-108</t>
        </is>
      </c>
      <c r="C21" s="66" t="inlineStr">
        <is>
          <t>VTS-004</t>
        </is>
      </c>
      <c r="D21" s="66" t="inlineStr">
        <is>
          <t>TSS-0108</t>
        </is>
      </c>
      <c r="E21" s="66" t="inlineStr">
        <is>
          <t>VTS-004</t>
        </is>
      </c>
      <c r="F21" s="66" t="inlineStr">
        <is>
          <t>Archived: component allocation unverified</t>
        </is>
      </c>
      <c r="G21" s="66" t="str"/>
      <c r="H21" s="66" t="inlineStr">
        <is>
          <t>Not an active component-to-service link</t>
        </is>
      </c>
      <c r="I21" s="66" t="inlineStr">
        <is>
          <t>S09</t>
        </is>
      </c>
      <c r="J21" s="67" t="inlineStr">
        <is>
          <t>https://www.mpa.gov.sg/port-marine-ops/operations/vessel-traffic-information-system/operational-areas</t>
        </is>
      </c>
      <c r="K21" s="66" t="inlineStr">
        <is>
          <t>Original assigned each of eight TSS segments to all three STRAITREP authorities. Only parent-system and sector/service links are retained pending boundary allocation.</t>
        </is>
      </c>
    </row>
    <row r="22" ht="66" customHeight="1" s="63">
      <c r="A22" s="66" t="inlineStr">
        <is>
          <t>REL-016</t>
        </is>
      </c>
      <c r="B22" s="66" t="inlineStr">
        <is>
          <t>TSS-109</t>
        </is>
      </c>
      <c r="C22" s="66" t="inlineStr">
        <is>
          <t>VTS-004</t>
        </is>
      </c>
      <c r="D22" s="66" t="inlineStr">
        <is>
          <t>TSS-0109</t>
        </is>
      </c>
      <c r="E22" s="66" t="inlineStr">
        <is>
          <t>VTS-004</t>
        </is>
      </c>
      <c r="F22" s="66" t="inlineStr">
        <is>
          <t>Archived: component allocation unverified</t>
        </is>
      </c>
      <c r="G22" s="66" t="str"/>
      <c r="H22" s="66" t="inlineStr">
        <is>
          <t>Not an active component-to-service link</t>
        </is>
      </c>
      <c r="I22" s="66" t="inlineStr">
        <is>
          <t>S09</t>
        </is>
      </c>
      <c r="J22" s="67" t="inlineStr">
        <is>
          <t>https://www.mpa.gov.sg/port-marine-ops/operations/vessel-traffic-information-system/operational-areas</t>
        </is>
      </c>
      <c r="K22" s="66" t="inlineStr">
        <is>
          <t>Original assigned each of eight TSS segments to all three STRAITREP authorities. Only parent-system and sector/service links are retained pending boundary allocation.</t>
        </is>
      </c>
    </row>
    <row r="23" ht="66" customHeight="1" s="63">
      <c r="A23" s="66" t="inlineStr">
        <is>
          <t>REL-017</t>
        </is>
      </c>
      <c r="B23" s="66" t="inlineStr">
        <is>
          <t>TSS-110</t>
        </is>
      </c>
      <c r="C23" s="66" t="inlineStr">
        <is>
          <t>VTS-004</t>
        </is>
      </c>
      <c r="D23" s="66" t="inlineStr">
        <is>
          <t>TSS-0110</t>
        </is>
      </c>
      <c r="E23" s="66" t="inlineStr">
        <is>
          <t>VTS-004</t>
        </is>
      </c>
      <c r="F23" s="66" t="inlineStr">
        <is>
          <t>Archived: component allocation unverified</t>
        </is>
      </c>
      <c r="G23" s="66" t="str"/>
      <c r="H23" s="66" t="inlineStr">
        <is>
          <t>Not an active component-to-service link</t>
        </is>
      </c>
      <c r="I23" s="66" t="inlineStr">
        <is>
          <t>S09</t>
        </is>
      </c>
      <c r="J23" s="67" t="inlineStr">
        <is>
          <t>https://www.mpa.gov.sg/port-marine-ops/operations/vessel-traffic-information-system/operational-areas</t>
        </is>
      </c>
      <c r="K23" s="66" t="inlineStr">
        <is>
          <t>Original assigned each of eight TSS segments to all three STRAITREP authorities. Only parent-system and sector/service links are retained pending boundary allocation.</t>
        </is>
      </c>
    </row>
    <row r="24" ht="66" customHeight="1" s="63">
      <c r="A24" s="66" t="inlineStr">
        <is>
          <t>REL-018</t>
        </is>
      </c>
      <c r="B24" s="66" t="inlineStr">
        <is>
          <t>TSS-111</t>
        </is>
      </c>
      <c r="C24" s="66" t="inlineStr">
        <is>
          <t>VTS-004</t>
        </is>
      </c>
      <c r="D24" s="66" t="inlineStr">
        <is>
          <t>TSS-0111</t>
        </is>
      </c>
      <c r="E24" s="66" t="inlineStr">
        <is>
          <t>VTS-004</t>
        </is>
      </c>
      <c r="F24" s="66" t="inlineStr">
        <is>
          <t>Archived: component allocation unverified</t>
        </is>
      </c>
      <c r="G24" s="66" t="str"/>
      <c r="H24" s="66" t="inlineStr">
        <is>
          <t>Not an active component-to-service link</t>
        </is>
      </c>
      <c r="I24" s="66" t="inlineStr">
        <is>
          <t>S09</t>
        </is>
      </c>
      <c r="J24" s="67" t="inlineStr">
        <is>
          <t>https://www.mpa.gov.sg/port-marine-ops/operations/vessel-traffic-information-system/operational-areas</t>
        </is>
      </c>
      <c r="K24" s="66" t="inlineStr">
        <is>
          <t>Original assigned each of eight TSS segments to all three STRAITREP authorities. Only parent-system and sector/service links are retained pending boundary allocation.</t>
        </is>
      </c>
    </row>
    <row r="25" ht="66" customHeight="1" s="63">
      <c r="A25" s="66" t="inlineStr">
        <is>
          <t>REL-019</t>
        </is>
      </c>
      <c r="B25" s="66" t="inlineStr">
        <is>
          <t>TSS-112</t>
        </is>
      </c>
      <c r="C25" s="66" t="inlineStr">
        <is>
          <t>VTS-004</t>
        </is>
      </c>
      <c r="D25" s="66" t="inlineStr">
        <is>
          <t>TSS-0112</t>
        </is>
      </c>
      <c r="E25" s="66" t="inlineStr">
        <is>
          <t>VTS-004</t>
        </is>
      </c>
      <c r="F25" s="66" t="inlineStr">
        <is>
          <t>Archived: component allocation unverified</t>
        </is>
      </c>
      <c r="G25" s="66" t="str"/>
      <c r="H25" s="66" t="inlineStr">
        <is>
          <t>Not an active component-to-service link</t>
        </is>
      </c>
      <c r="I25" s="66" t="inlineStr">
        <is>
          <t>S09</t>
        </is>
      </c>
      <c r="J25" s="67" t="inlineStr">
        <is>
          <t>https://www.mpa.gov.sg/port-marine-ops/operations/vessel-traffic-information-system/operational-areas</t>
        </is>
      </c>
      <c r="K25" s="66" t="inlineStr">
        <is>
          <t>Original assigned each of eight TSS segments to all three STRAITREP authorities. Only parent-system and sector/service links are retained pending boundary allocation.</t>
        </is>
      </c>
    </row>
    <row r="26" ht="66" customHeight="1" s="63">
      <c r="A26" s="66" t="inlineStr">
        <is>
          <t>REL-020</t>
        </is>
      </c>
      <c r="B26" s="66" t="inlineStr">
        <is>
          <t>TSS-113</t>
        </is>
      </c>
      <c r="C26" s="66" t="inlineStr">
        <is>
          <t>VTS-004</t>
        </is>
      </c>
      <c r="D26" s="66" t="inlineStr">
        <is>
          <t>TSS-0113</t>
        </is>
      </c>
      <c r="E26" s="66" t="inlineStr">
        <is>
          <t>VTS-004</t>
        </is>
      </c>
      <c r="F26" s="66" t="inlineStr">
        <is>
          <t>Archived: component allocation unverified</t>
        </is>
      </c>
      <c r="G26" s="66" t="str"/>
      <c r="H26" s="66" t="inlineStr">
        <is>
          <t>Not an active component-to-service link</t>
        </is>
      </c>
      <c r="I26" s="66" t="inlineStr">
        <is>
          <t>S09</t>
        </is>
      </c>
      <c r="J26" s="67" t="inlineStr">
        <is>
          <t>https://www.mpa.gov.sg/port-marine-ops/operations/vessel-traffic-information-system/operational-areas</t>
        </is>
      </c>
      <c r="K26" s="66" t="inlineStr">
        <is>
          <t>Original assigned each of eight TSS segments to all three STRAITREP authorities. Only parent-system and sector/service links are retained pending boundary allocation.</t>
        </is>
      </c>
    </row>
    <row r="27" ht="66" customHeight="1" s="63">
      <c r="A27" s="66" t="inlineStr">
        <is>
          <t>REL-021</t>
        </is>
      </c>
      <c r="B27" s="66" t="inlineStr">
        <is>
          <t>TSS-114</t>
        </is>
      </c>
      <c r="C27" s="66" t="inlineStr">
        <is>
          <t>VTS-004</t>
        </is>
      </c>
      <c r="D27" s="66" t="inlineStr">
        <is>
          <t>TSS-0114</t>
        </is>
      </c>
      <c r="E27" s="66" t="inlineStr">
        <is>
          <t>VTS-004</t>
        </is>
      </c>
      <c r="F27" s="66" t="inlineStr">
        <is>
          <t>Archived: component allocation unverified</t>
        </is>
      </c>
      <c r="G27" s="66" t="str"/>
      <c r="H27" s="66" t="inlineStr">
        <is>
          <t>Not an active component-to-service link</t>
        </is>
      </c>
      <c r="I27" s="66" t="inlineStr">
        <is>
          <t>S09</t>
        </is>
      </c>
      <c r="J27" s="67" t="inlineStr">
        <is>
          <t>https://www.mpa.gov.sg/port-marine-ops/operations/vessel-traffic-information-system/operational-areas</t>
        </is>
      </c>
      <c r="K27" s="66" t="inlineStr">
        <is>
          <t>Original assigned each of eight TSS segments to all three STRAITREP authorities. Only parent-system and sector/service links are retained pending boundary allocation.</t>
        </is>
      </c>
    </row>
    <row r="28" ht="66" customHeight="1" s="63">
      <c r="A28" s="66" t="inlineStr">
        <is>
          <t>REL-022</t>
        </is>
      </c>
      <c r="B28" s="66" t="inlineStr">
        <is>
          <t>TSS-107</t>
        </is>
      </c>
      <c r="C28" s="66" t="inlineStr">
        <is>
          <t>VTS-005</t>
        </is>
      </c>
      <c r="D28" s="66" t="inlineStr">
        <is>
          <t>TSS-0107</t>
        </is>
      </c>
      <c r="E28" s="66" t="inlineStr">
        <is>
          <t>VTS-005</t>
        </is>
      </c>
      <c r="F28" s="66" t="inlineStr">
        <is>
          <t>Archived: component allocation unverified</t>
        </is>
      </c>
      <c r="G28" s="66" t="str"/>
      <c r="H28" s="66" t="inlineStr">
        <is>
          <t>Not an active component-to-service link</t>
        </is>
      </c>
      <c r="I28" s="66" t="inlineStr">
        <is>
          <t>S09</t>
        </is>
      </c>
      <c r="J28" s="67" t="inlineStr">
        <is>
          <t>https://www.mpa.gov.sg/port-marine-ops/operations/vessel-traffic-information-system/operational-areas</t>
        </is>
      </c>
      <c r="K28" s="66" t="inlineStr">
        <is>
          <t>Original assigned each of eight TSS segments to all three STRAITREP authorities. Only parent-system and sector/service links are retained pending boundary allocation.</t>
        </is>
      </c>
    </row>
    <row r="29" ht="66" customHeight="1" s="63">
      <c r="A29" s="66" t="inlineStr">
        <is>
          <t>REL-023</t>
        </is>
      </c>
      <c r="B29" s="66" t="inlineStr">
        <is>
          <t>TSS-108</t>
        </is>
      </c>
      <c r="C29" s="66" t="inlineStr">
        <is>
          <t>VTS-005</t>
        </is>
      </c>
      <c r="D29" s="66" t="inlineStr">
        <is>
          <t>TSS-0108</t>
        </is>
      </c>
      <c r="E29" s="66" t="inlineStr">
        <is>
          <t>VTS-005</t>
        </is>
      </c>
      <c r="F29" s="66" t="inlineStr">
        <is>
          <t>Archived: component allocation unverified</t>
        </is>
      </c>
      <c r="G29" s="66" t="str"/>
      <c r="H29" s="66" t="inlineStr">
        <is>
          <t>Not an active component-to-service link</t>
        </is>
      </c>
      <c r="I29" s="66" t="inlineStr">
        <is>
          <t>S09</t>
        </is>
      </c>
      <c r="J29" s="67" t="inlineStr">
        <is>
          <t>https://www.mpa.gov.sg/port-marine-ops/operations/vessel-traffic-information-system/operational-areas</t>
        </is>
      </c>
      <c r="K29" s="66" t="inlineStr">
        <is>
          <t>Original assigned each of eight TSS segments to all three STRAITREP authorities. Only parent-system and sector/service links are retained pending boundary allocation.</t>
        </is>
      </c>
    </row>
    <row r="30" ht="66" customHeight="1" s="63">
      <c r="A30" s="66" t="inlineStr">
        <is>
          <t>REL-024</t>
        </is>
      </c>
      <c r="B30" s="66" t="inlineStr">
        <is>
          <t>TSS-109</t>
        </is>
      </c>
      <c r="C30" s="66" t="inlineStr">
        <is>
          <t>VTS-005</t>
        </is>
      </c>
      <c r="D30" s="66" t="inlineStr">
        <is>
          <t>TSS-0109</t>
        </is>
      </c>
      <c r="E30" s="66" t="inlineStr">
        <is>
          <t>VTS-005</t>
        </is>
      </c>
      <c r="F30" s="66" t="inlineStr">
        <is>
          <t>Archived: component allocation unverified</t>
        </is>
      </c>
      <c r="G30" s="66" t="str"/>
      <c r="H30" s="66" t="inlineStr">
        <is>
          <t>Not an active component-to-service link</t>
        </is>
      </c>
      <c r="I30" s="66" t="inlineStr">
        <is>
          <t>S09</t>
        </is>
      </c>
      <c r="J30" s="67" t="inlineStr">
        <is>
          <t>https://www.mpa.gov.sg/port-marine-ops/operations/vessel-traffic-information-system/operational-areas</t>
        </is>
      </c>
      <c r="K30" s="66" t="inlineStr">
        <is>
          <t>Original assigned each of eight TSS segments to all three STRAITREP authorities. Only parent-system and sector/service links are retained pending boundary allocation.</t>
        </is>
      </c>
    </row>
    <row r="31" ht="66" customHeight="1" s="63">
      <c r="A31" s="66" t="inlineStr">
        <is>
          <t>REL-025</t>
        </is>
      </c>
      <c r="B31" s="66" t="inlineStr">
        <is>
          <t>TSS-110</t>
        </is>
      </c>
      <c r="C31" s="66" t="inlineStr">
        <is>
          <t>VTS-005</t>
        </is>
      </c>
      <c r="D31" s="66" t="inlineStr">
        <is>
          <t>TSS-0110</t>
        </is>
      </c>
      <c r="E31" s="66" t="inlineStr">
        <is>
          <t>VTS-005</t>
        </is>
      </c>
      <c r="F31" s="66" t="inlineStr">
        <is>
          <t>Archived: component allocation unverified</t>
        </is>
      </c>
      <c r="G31" s="66" t="str"/>
      <c r="H31" s="66" t="inlineStr">
        <is>
          <t>Not an active component-to-service link</t>
        </is>
      </c>
      <c r="I31" s="66" t="inlineStr">
        <is>
          <t>S09</t>
        </is>
      </c>
      <c r="J31" s="67" t="inlineStr">
        <is>
          <t>https://www.mpa.gov.sg/port-marine-ops/operations/vessel-traffic-information-system/operational-areas</t>
        </is>
      </c>
      <c r="K31" s="66" t="inlineStr">
        <is>
          <t>Original assigned each of eight TSS segments to all three STRAITREP authorities. Only parent-system and sector/service links are retained pending boundary allocation.</t>
        </is>
      </c>
    </row>
    <row r="32" ht="66" customHeight="1" s="63">
      <c r="A32" s="66" t="inlineStr">
        <is>
          <t>REL-026</t>
        </is>
      </c>
      <c r="B32" s="66" t="inlineStr">
        <is>
          <t>TSS-111</t>
        </is>
      </c>
      <c r="C32" s="66" t="inlineStr">
        <is>
          <t>VTS-005</t>
        </is>
      </c>
      <c r="D32" s="66" t="inlineStr">
        <is>
          <t>TSS-0111</t>
        </is>
      </c>
      <c r="E32" s="66" t="inlineStr">
        <is>
          <t>VTS-005</t>
        </is>
      </c>
      <c r="F32" s="66" t="inlineStr">
        <is>
          <t>Archived: component allocation unverified</t>
        </is>
      </c>
      <c r="G32" s="66" t="str"/>
      <c r="H32" s="66" t="inlineStr">
        <is>
          <t>Not an active component-to-service link</t>
        </is>
      </c>
      <c r="I32" s="66" t="inlineStr">
        <is>
          <t>S09</t>
        </is>
      </c>
      <c r="J32" s="67" t="inlineStr">
        <is>
          <t>https://www.mpa.gov.sg/port-marine-ops/operations/vessel-traffic-information-system/operational-areas</t>
        </is>
      </c>
      <c r="K32" s="66" t="inlineStr">
        <is>
          <t>Original assigned each of eight TSS segments to all three STRAITREP authorities. Only parent-system and sector/service links are retained pending boundary allocation.</t>
        </is>
      </c>
    </row>
    <row r="33" ht="66" customHeight="1" s="63">
      <c r="A33" s="66" t="inlineStr">
        <is>
          <t>REL-027</t>
        </is>
      </c>
      <c r="B33" s="66" t="inlineStr">
        <is>
          <t>TSS-112</t>
        </is>
      </c>
      <c r="C33" s="66" t="inlineStr">
        <is>
          <t>VTS-005</t>
        </is>
      </c>
      <c r="D33" s="66" t="inlineStr">
        <is>
          <t>TSS-0112</t>
        </is>
      </c>
      <c r="E33" s="66" t="inlineStr">
        <is>
          <t>VTS-005</t>
        </is>
      </c>
      <c r="F33" s="66" t="inlineStr">
        <is>
          <t>Archived: component allocation unverified</t>
        </is>
      </c>
      <c r="G33" s="66" t="str"/>
      <c r="H33" s="66" t="inlineStr">
        <is>
          <t>Not an active component-to-service link</t>
        </is>
      </c>
      <c r="I33" s="66" t="inlineStr">
        <is>
          <t>S09</t>
        </is>
      </c>
      <c r="J33" s="67" t="inlineStr">
        <is>
          <t>https://www.mpa.gov.sg/port-marine-ops/operations/vessel-traffic-information-system/operational-areas</t>
        </is>
      </c>
      <c r="K33" s="66" t="inlineStr">
        <is>
          <t>Original assigned each of eight TSS segments to all three STRAITREP authorities. Only parent-system and sector/service links are retained pending boundary allocation.</t>
        </is>
      </c>
    </row>
    <row r="34" ht="66" customHeight="1" s="63">
      <c r="A34" s="66" t="inlineStr">
        <is>
          <t>REL-028</t>
        </is>
      </c>
      <c r="B34" s="66" t="inlineStr">
        <is>
          <t>TSS-113</t>
        </is>
      </c>
      <c r="C34" s="66" t="inlineStr">
        <is>
          <t>VTS-005</t>
        </is>
      </c>
      <c r="D34" s="66" t="inlineStr">
        <is>
          <t>TSS-0113</t>
        </is>
      </c>
      <c r="E34" s="66" t="inlineStr">
        <is>
          <t>VTS-005</t>
        </is>
      </c>
      <c r="F34" s="66" t="inlineStr">
        <is>
          <t>Archived: component allocation unverified</t>
        </is>
      </c>
      <c r="G34" s="66" t="str"/>
      <c r="H34" s="66" t="inlineStr">
        <is>
          <t>Not an active component-to-service link</t>
        </is>
      </c>
      <c r="I34" s="66" t="inlineStr">
        <is>
          <t>S09</t>
        </is>
      </c>
      <c r="J34" s="67" t="inlineStr">
        <is>
          <t>https://www.mpa.gov.sg/port-marine-ops/operations/vessel-traffic-information-system/operational-areas</t>
        </is>
      </c>
      <c r="K34" s="66" t="inlineStr">
        <is>
          <t>Original assigned each of eight TSS segments to all three STRAITREP authorities. Only parent-system and sector/service links are retained pending boundary allocation.</t>
        </is>
      </c>
    </row>
    <row r="35" ht="66" customHeight="1" s="63">
      <c r="A35" s="66" t="inlineStr">
        <is>
          <t>REL-029</t>
        </is>
      </c>
      <c r="B35" s="66" t="inlineStr">
        <is>
          <t>TSS-114</t>
        </is>
      </c>
      <c r="C35" s="66" t="inlineStr">
        <is>
          <t>VTS-005</t>
        </is>
      </c>
      <c r="D35" s="66" t="inlineStr">
        <is>
          <t>TSS-0114</t>
        </is>
      </c>
      <c r="E35" s="66" t="inlineStr">
        <is>
          <t>VTS-005</t>
        </is>
      </c>
      <c r="F35" s="66" t="inlineStr">
        <is>
          <t>Archived: component allocation unverified</t>
        </is>
      </c>
      <c r="G35" s="66" t="str"/>
      <c r="H35" s="66" t="inlineStr">
        <is>
          <t>Not an active component-to-service link</t>
        </is>
      </c>
      <c r="I35" s="66" t="inlineStr">
        <is>
          <t>S09</t>
        </is>
      </c>
      <c r="J35" s="67" t="inlineStr">
        <is>
          <t>https://www.mpa.gov.sg/port-marine-ops/operations/vessel-traffic-information-system/operational-areas</t>
        </is>
      </c>
      <c r="K35" s="66" t="inlineStr">
        <is>
          <t>Original assigned each of eight TSS segments to all three STRAITREP authorities. Only parent-system and sector/service links are retained pending boundary allocation.</t>
        </is>
      </c>
    </row>
    <row r="36" ht="79.5" customHeight="1" s="63">
      <c r="A36" s="66" t="inlineStr">
        <is>
          <t>REL-030</t>
        </is>
      </c>
      <c r="B36" s="66" t="inlineStr">
        <is>
          <t>TSS-107</t>
        </is>
      </c>
      <c r="C36" s="66" t="inlineStr">
        <is>
          <t>VTS-006</t>
        </is>
      </c>
      <c r="D36" s="66" t="inlineStr">
        <is>
          <t>TSS-0107</t>
        </is>
      </c>
      <c r="E36" s="66" t="inlineStr">
        <is>
          <t>VTS-006</t>
        </is>
      </c>
      <c r="F36" s="66" t="inlineStr">
        <is>
          <t>Archived: component allocation unverified</t>
        </is>
      </c>
      <c r="G36" s="66" t="str"/>
      <c r="H36" s="66" t="inlineStr">
        <is>
          <t>Not an active component-to-service link</t>
        </is>
      </c>
      <c r="I36" s="66" t="inlineStr">
        <is>
          <t>S08; S09</t>
        </is>
      </c>
      <c r="J36" s="67" t="inlineStr">
        <is>
          <t>https://www.mpa.gov.sg/port-marine-ops/operations/vessel-traffic-information-system
https://www.mpa.gov.sg/port-marine-ops/operations/vessel-traffic-information-system/operational-areas</t>
        </is>
      </c>
      <c r="K36" s="66" t="inlineStr">
        <is>
          <t>Original assigned each of eight TSS segments to all three STRAITREP authorities. Only parent-system and sector/service links are retained pending boundary allocation.</t>
        </is>
      </c>
    </row>
    <row r="37" ht="79.5" customHeight="1" s="63">
      <c r="A37" s="66" t="inlineStr">
        <is>
          <t>REL-031</t>
        </is>
      </c>
      <c r="B37" s="66" t="inlineStr">
        <is>
          <t>TSS-108</t>
        </is>
      </c>
      <c r="C37" s="66" t="inlineStr">
        <is>
          <t>VTS-006</t>
        </is>
      </c>
      <c r="D37" s="66" t="inlineStr">
        <is>
          <t>TSS-0108</t>
        </is>
      </c>
      <c r="E37" s="66" t="inlineStr">
        <is>
          <t>VTS-006</t>
        </is>
      </c>
      <c r="F37" s="66" t="inlineStr">
        <is>
          <t>Archived: component allocation unverified</t>
        </is>
      </c>
      <c r="G37" s="66" t="str"/>
      <c r="H37" s="66" t="inlineStr">
        <is>
          <t>Not an active component-to-service link</t>
        </is>
      </c>
      <c r="I37" s="66" t="inlineStr">
        <is>
          <t>S08; S09</t>
        </is>
      </c>
      <c r="J37" s="67" t="inlineStr">
        <is>
          <t>https://www.mpa.gov.sg/port-marine-ops/operations/vessel-traffic-information-system
https://www.mpa.gov.sg/port-marine-ops/operations/vessel-traffic-information-system/operational-areas</t>
        </is>
      </c>
      <c r="K37" s="66" t="inlineStr">
        <is>
          <t>Original assigned each of eight TSS segments to all three STRAITREP authorities. Only parent-system and sector/service links are retained pending boundary allocation.</t>
        </is>
      </c>
    </row>
    <row r="38" ht="79.5" customHeight="1" s="63">
      <c r="A38" s="66" t="inlineStr">
        <is>
          <t>REL-032</t>
        </is>
      </c>
      <c r="B38" s="66" t="inlineStr">
        <is>
          <t>TSS-109</t>
        </is>
      </c>
      <c r="C38" s="66" t="inlineStr">
        <is>
          <t>VTS-006</t>
        </is>
      </c>
      <c r="D38" s="66" t="inlineStr">
        <is>
          <t>TSS-0109</t>
        </is>
      </c>
      <c r="E38" s="66" t="inlineStr">
        <is>
          <t>VTS-006</t>
        </is>
      </c>
      <c r="F38" s="66" t="inlineStr">
        <is>
          <t>Archived: component allocation unverified</t>
        </is>
      </c>
      <c r="G38" s="66" t="str"/>
      <c r="H38" s="66" t="inlineStr">
        <is>
          <t>Not an active component-to-service link</t>
        </is>
      </c>
      <c r="I38" s="66" t="inlineStr">
        <is>
          <t>S08; S09</t>
        </is>
      </c>
      <c r="J38" s="67" t="inlineStr">
        <is>
          <t>https://www.mpa.gov.sg/port-marine-ops/operations/vessel-traffic-information-system
https://www.mpa.gov.sg/port-marine-ops/operations/vessel-traffic-information-system/operational-areas</t>
        </is>
      </c>
      <c r="K38" s="66" t="inlineStr">
        <is>
          <t>Original assigned each of eight TSS segments to all three STRAITREP authorities. Only parent-system and sector/service links are retained pending boundary allocation.</t>
        </is>
      </c>
    </row>
    <row r="39" ht="79.5" customHeight="1" s="63">
      <c r="A39" s="66" t="inlineStr">
        <is>
          <t>REL-033</t>
        </is>
      </c>
      <c r="B39" s="66" t="inlineStr">
        <is>
          <t>TSS-110</t>
        </is>
      </c>
      <c r="C39" s="66" t="inlineStr">
        <is>
          <t>VTS-006</t>
        </is>
      </c>
      <c r="D39" s="66" t="inlineStr">
        <is>
          <t>TSS-0110</t>
        </is>
      </c>
      <c r="E39" s="66" t="inlineStr">
        <is>
          <t>VTS-006</t>
        </is>
      </c>
      <c r="F39" s="66" t="inlineStr">
        <is>
          <t>Archived: component allocation unverified</t>
        </is>
      </c>
      <c r="G39" s="66" t="str"/>
      <c r="H39" s="66" t="inlineStr">
        <is>
          <t>Not an active component-to-service link</t>
        </is>
      </c>
      <c r="I39" s="66" t="inlineStr">
        <is>
          <t>S08; S09</t>
        </is>
      </c>
      <c r="J39" s="67" t="inlineStr">
        <is>
          <t>https://www.mpa.gov.sg/port-marine-ops/operations/vessel-traffic-information-system
https://www.mpa.gov.sg/port-marine-ops/operations/vessel-traffic-information-system/operational-areas</t>
        </is>
      </c>
      <c r="K39" s="66" t="inlineStr">
        <is>
          <t>Original assigned each of eight TSS segments to all three STRAITREP authorities. Only parent-system and sector/service links are retained pending boundary allocation.</t>
        </is>
      </c>
    </row>
    <row r="40" ht="79.5" customHeight="1" s="63">
      <c r="A40" s="66" t="inlineStr">
        <is>
          <t>REL-034</t>
        </is>
      </c>
      <c r="B40" s="66" t="inlineStr">
        <is>
          <t>TSS-111</t>
        </is>
      </c>
      <c r="C40" s="66" t="inlineStr">
        <is>
          <t>VTS-006</t>
        </is>
      </c>
      <c r="D40" s="66" t="inlineStr">
        <is>
          <t>TSS-0111</t>
        </is>
      </c>
      <c r="E40" s="66" t="inlineStr">
        <is>
          <t>VTS-006</t>
        </is>
      </c>
      <c r="F40" s="66" t="inlineStr">
        <is>
          <t>Archived: component allocation unverified</t>
        </is>
      </c>
      <c r="G40" s="66" t="str"/>
      <c r="H40" s="66" t="inlineStr">
        <is>
          <t>Not an active component-to-service link</t>
        </is>
      </c>
      <c r="I40" s="66" t="inlineStr">
        <is>
          <t>S08; S09</t>
        </is>
      </c>
      <c r="J40" s="67" t="inlineStr">
        <is>
          <t>https://www.mpa.gov.sg/port-marine-ops/operations/vessel-traffic-information-system
https://www.mpa.gov.sg/port-marine-ops/operations/vessel-traffic-information-system/operational-areas</t>
        </is>
      </c>
      <c r="K40" s="66" t="inlineStr">
        <is>
          <t>Original assigned each of eight TSS segments to all three STRAITREP authorities. Only parent-system and sector/service links are retained pending boundary allocation.</t>
        </is>
      </c>
    </row>
    <row r="41" ht="79.5" customHeight="1" s="63">
      <c r="A41" s="66" t="inlineStr">
        <is>
          <t>REL-035</t>
        </is>
      </c>
      <c r="B41" s="66" t="inlineStr">
        <is>
          <t>TSS-112</t>
        </is>
      </c>
      <c r="C41" s="66" t="inlineStr">
        <is>
          <t>VTS-006</t>
        </is>
      </c>
      <c r="D41" s="66" t="inlineStr">
        <is>
          <t>TSS-0112</t>
        </is>
      </c>
      <c r="E41" s="66" t="inlineStr">
        <is>
          <t>VTS-006</t>
        </is>
      </c>
      <c r="F41" s="66" t="inlineStr">
        <is>
          <t>Archived: component allocation unverified</t>
        </is>
      </c>
      <c r="G41" s="66" t="str"/>
      <c r="H41" s="66" t="inlineStr">
        <is>
          <t>Not an active component-to-service link</t>
        </is>
      </c>
      <c r="I41" s="66" t="inlineStr">
        <is>
          <t>S08; S09</t>
        </is>
      </c>
      <c r="J41" s="67" t="inlineStr">
        <is>
          <t>https://www.mpa.gov.sg/port-marine-ops/operations/vessel-traffic-information-system
https://www.mpa.gov.sg/port-marine-ops/operations/vessel-traffic-information-system/operational-areas</t>
        </is>
      </c>
      <c r="K41" s="66" t="inlineStr">
        <is>
          <t>Original assigned each of eight TSS segments to all three STRAITREP authorities. Only parent-system and sector/service links are retained pending boundary allocation.</t>
        </is>
      </c>
    </row>
    <row r="42" ht="79.5" customHeight="1" s="63">
      <c r="A42" s="66" t="inlineStr">
        <is>
          <t>REL-036</t>
        </is>
      </c>
      <c r="B42" s="66" t="inlineStr">
        <is>
          <t>TSS-113</t>
        </is>
      </c>
      <c r="C42" s="66" t="inlineStr">
        <is>
          <t>VTS-006</t>
        </is>
      </c>
      <c r="D42" s="66" t="inlineStr">
        <is>
          <t>TSS-0113</t>
        </is>
      </c>
      <c r="E42" s="66" t="inlineStr">
        <is>
          <t>VTS-006</t>
        </is>
      </c>
      <c r="F42" s="66" t="inlineStr">
        <is>
          <t>Archived: component allocation unverified</t>
        </is>
      </c>
      <c r="G42" s="66" t="str"/>
      <c r="H42" s="66" t="inlineStr">
        <is>
          <t>Not an active component-to-service link</t>
        </is>
      </c>
      <c r="I42" s="66" t="inlineStr">
        <is>
          <t>S08; S09</t>
        </is>
      </c>
      <c r="J42" s="67" t="inlineStr">
        <is>
          <t>https://www.mpa.gov.sg/port-marine-ops/operations/vessel-traffic-information-system
https://www.mpa.gov.sg/port-marine-ops/operations/vessel-traffic-information-system/operational-areas</t>
        </is>
      </c>
      <c r="K42" s="66" t="inlineStr">
        <is>
          <t>Original assigned each of eight TSS segments to all three STRAITREP authorities. Only parent-system and sector/service links are retained pending boundary allocation.</t>
        </is>
      </c>
    </row>
    <row r="43" ht="79.5" customHeight="1" s="63">
      <c r="A43" s="66" t="inlineStr">
        <is>
          <t>REL-037</t>
        </is>
      </c>
      <c r="B43" s="66" t="inlineStr">
        <is>
          <t>TSS-114</t>
        </is>
      </c>
      <c r="C43" s="66" t="inlineStr">
        <is>
          <t>VTS-006</t>
        </is>
      </c>
      <c r="D43" s="66" t="inlineStr">
        <is>
          <t>TSS-0114</t>
        </is>
      </c>
      <c r="E43" s="66" t="inlineStr">
        <is>
          <t>VTS-006</t>
        </is>
      </c>
      <c r="F43" s="66" t="inlineStr">
        <is>
          <t>Archived: component allocation unverified</t>
        </is>
      </c>
      <c r="G43" s="66" t="str"/>
      <c r="H43" s="66" t="inlineStr">
        <is>
          <t>Not an active component-to-service link</t>
        </is>
      </c>
      <c r="I43" s="66" t="inlineStr">
        <is>
          <t>S08; S09</t>
        </is>
      </c>
      <c r="J43" s="67" t="inlineStr">
        <is>
          <t>https://www.mpa.gov.sg/port-marine-ops/operations/vessel-traffic-information-system
https://www.mpa.gov.sg/port-marine-ops/operations/vessel-traffic-information-system/operational-areas</t>
        </is>
      </c>
      <c r="K43" s="66" t="inlineStr">
        <is>
          <t>Original assigned each of eight TSS segments to all three STRAITREP authorities. Only parent-system and sector/service links are retained pending boundary allocation.</t>
        </is>
      </c>
    </row>
    <row r="44" ht="60" customHeight="1" s="63">
      <c r="A44" s="66" t="inlineStr">
        <is>
          <t>REL-038</t>
        </is>
      </c>
      <c r="B44" s="66" t="inlineStr">
        <is>
          <t>TSS-129</t>
        </is>
      </c>
      <c r="C44" s="66" t="inlineStr">
        <is>
          <t>VTS-009</t>
        </is>
      </c>
      <c r="D44" s="66" t="inlineStr">
        <is>
          <t>TSS-0129</t>
        </is>
      </c>
      <c r="E44" s="66" t="inlineStr">
        <is>
          <t>VTS-009</t>
        </is>
      </c>
      <c r="F44" s="66" t="inlineStr">
        <is>
          <t>Retained with reviewed evidence status</t>
        </is>
      </c>
      <c r="G44" s="66" t="inlineStr">
        <is>
          <t>LNK-0032</t>
        </is>
      </c>
      <c r="H44" s="66" t="inlineStr">
        <is>
          <t>Proposed; boundary evidence pending</t>
        </is>
      </c>
      <c r="I44" s="66" t="inlineStr">
        <is>
          <t>S11</t>
        </is>
      </c>
      <c r="J44" s="67" t="inlineStr">
        <is>
          <t>https://www.navcen.uscg.gov/vessel-traffic-services-locations</t>
        </is>
      </c>
      <c r="K44" s="66" t="inlineStr">
        <is>
          <t>Search lead only. No full or partial TSS coverage has been concluded.</t>
        </is>
      </c>
    </row>
    <row r="45" ht="60" customHeight="1" s="63">
      <c r="A45" s="66" t="inlineStr">
        <is>
          <t>REL-039</t>
        </is>
      </c>
      <c r="B45" s="66" t="inlineStr">
        <is>
          <t>TSS-130</t>
        </is>
      </c>
      <c r="C45" s="66" t="inlineStr">
        <is>
          <t>VTS-010</t>
        </is>
      </c>
      <c r="D45" s="66" t="inlineStr">
        <is>
          <t>TSS-0130</t>
        </is>
      </c>
      <c r="E45" s="66" t="inlineStr">
        <is>
          <t>VTS-010</t>
        </is>
      </c>
      <c r="F45" s="66" t="inlineStr">
        <is>
          <t>Retained with reviewed evidence status</t>
        </is>
      </c>
      <c r="G45" s="66" t="inlineStr">
        <is>
          <t>LNK-0033</t>
        </is>
      </c>
      <c r="H45" s="66" t="inlineStr">
        <is>
          <t>Proposed; boundary evidence pending</t>
        </is>
      </c>
      <c r="I45" s="66" t="inlineStr">
        <is>
          <t>S11; S12</t>
        </is>
      </c>
      <c r="J45" s="67" t="inlineStr">
        <is>
          <t>https://www.navcen.uscg.gov/vessel-traffic-services-locations
https://www.pacificarea.uscg.mil/VTSPugetSound/</t>
        </is>
      </c>
      <c r="K45" s="66" t="inlineStr">
        <is>
          <t>Search lead only. No full or partial TSS coverage has been concluded.</t>
        </is>
      </c>
    </row>
    <row r="46" ht="60" customHeight="1" s="63">
      <c r="A46" s="66" t="inlineStr">
        <is>
          <t>REL-040</t>
        </is>
      </c>
      <c r="B46" s="66" t="inlineStr">
        <is>
          <t>TSS-131</t>
        </is>
      </c>
      <c r="C46" s="66" t="inlineStr">
        <is>
          <t>VTS-010</t>
        </is>
      </c>
      <c r="D46" s="66" t="inlineStr">
        <is>
          <t>TSS-0131</t>
        </is>
      </c>
      <c r="E46" s="66" t="inlineStr">
        <is>
          <t>VTS-010</t>
        </is>
      </c>
      <c r="F46" s="66" t="inlineStr">
        <is>
          <t>Retained with reviewed evidence status</t>
        </is>
      </c>
      <c r="G46" s="66" t="inlineStr">
        <is>
          <t>LNK-0034</t>
        </is>
      </c>
      <c r="H46" s="66" t="inlineStr">
        <is>
          <t>Proposed; boundary evidence pending</t>
        </is>
      </c>
      <c r="I46" s="66" t="inlineStr">
        <is>
          <t>S11; S12</t>
        </is>
      </c>
      <c r="J46" s="67" t="inlineStr">
        <is>
          <t>https://www.navcen.uscg.gov/vessel-traffic-services-locations
https://www.pacificarea.uscg.mil/VTSPugetSound/</t>
        </is>
      </c>
      <c r="K46" s="66" t="inlineStr">
        <is>
          <t>Search lead only. No full or partial TSS coverage has been concluded.</t>
        </is>
      </c>
    </row>
    <row r="47" ht="60" customHeight="1" s="63">
      <c r="A47" s="66" t="inlineStr">
        <is>
          <t>REL-041</t>
        </is>
      </c>
      <c r="B47" s="66" t="inlineStr">
        <is>
          <t>TSS-132</t>
        </is>
      </c>
      <c r="C47" s="66" t="inlineStr">
        <is>
          <t>VTS-011</t>
        </is>
      </c>
      <c r="D47" s="66" t="inlineStr">
        <is>
          <t>TSS-0132</t>
        </is>
      </c>
      <c r="E47" s="66" t="inlineStr">
        <is>
          <t>VTS-011</t>
        </is>
      </c>
      <c r="F47" s="66" t="inlineStr">
        <is>
          <t>Retained with reviewed evidence status</t>
        </is>
      </c>
      <c r="G47" s="66" t="inlineStr">
        <is>
          <t>LNK-0035</t>
        </is>
      </c>
      <c r="H47" s="66" t="inlineStr">
        <is>
          <t>Proposed; boundary evidence pending</t>
        </is>
      </c>
      <c r="I47" s="66" t="inlineStr">
        <is>
          <t>S11</t>
        </is>
      </c>
      <c r="J47" s="67" t="inlineStr">
        <is>
          <t>https://www.navcen.uscg.gov/vessel-traffic-services-locations</t>
        </is>
      </c>
      <c r="K47" s="66" t="inlineStr">
        <is>
          <t>Search lead only. No full or partial TSS coverage has been concluded.</t>
        </is>
      </c>
    </row>
    <row r="48" ht="60" customHeight="1" s="63">
      <c r="A48" s="66" t="inlineStr">
        <is>
          <t>REL-042</t>
        </is>
      </c>
      <c r="B48" s="66" t="inlineStr">
        <is>
          <t>TSS-133</t>
        </is>
      </c>
      <c r="C48" s="66" t="inlineStr">
        <is>
          <t>VTS-012</t>
        </is>
      </c>
      <c r="D48" s="66" t="inlineStr">
        <is>
          <t>TSS-0133</t>
        </is>
      </c>
      <c r="E48" s="66" t="inlineStr">
        <is>
          <t>VTS-012</t>
        </is>
      </c>
      <c r="F48" s="66" t="inlineStr">
        <is>
          <t>Retained with reviewed evidence status</t>
        </is>
      </c>
      <c r="G48" s="66" t="inlineStr">
        <is>
          <t>LNK-0036</t>
        </is>
      </c>
      <c r="H48" s="66" t="inlineStr">
        <is>
          <t>Proposed; boundary evidence pending</t>
        </is>
      </c>
      <c r="I48" s="66" t="inlineStr">
        <is>
          <t>S11</t>
        </is>
      </c>
      <c r="J48" s="67" t="inlineStr">
        <is>
          <t>https://www.navcen.uscg.gov/vessel-traffic-services-locations</t>
        </is>
      </c>
      <c r="K48" s="66" t="inlineStr">
        <is>
          <t>Search lead only. No full or partial TSS coverage has been concluded.</t>
        </is>
      </c>
    </row>
    <row r="49" ht="60" customHeight="1" s="63">
      <c r="A49" s="66" t="inlineStr">
        <is>
          <t>REL-043</t>
        </is>
      </c>
      <c r="B49" s="66" t="inlineStr">
        <is>
          <t>TSS-160</t>
        </is>
      </c>
      <c r="C49" s="66" t="inlineStr">
        <is>
          <t>VTS-013</t>
        </is>
      </c>
      <c r="D49" s="66" t="inlineStr">
        <is>
          <t>TSS-0160</t>
        </is>
      </c>
      <c r="E49" s="66" t="inlineStr">
        <is>
          <t>VTS-013</t>
        </is>
      </c>
      <c r="F49" s="66" t="inlineStr">
        <is>
          <t>Retained with reviewed evidence status</t>
        </is>
      </c>
      <c r="G49" s="66" t="inlineStr">
        <is>
          <t>LNK-0037</t>
        </is>
      </c>
      <c r="H49" s="66" t="inlineStr">
        <is>
          <t>Proposed; boundary evidence pending</t>
        </is>
      </c>
      <c r="I49" s="66" t="inlineStr">
        <is>
          <t>S11</t>
        </is>
      </c>
      <c r="J49" s="67" t="inlineStr">
        <is>
          <t>https://www.navcen.uscg.gov/vessel-traffic-services-locations</t>
        </is>
      </c>
      <c r="K49" s="66" t="inlineStr">
        <is>
          <t>Search lead only. No full or partial TSS coverage has been concluded.</t>
        </is>
      </c>
    </row>
    <row r="50" ht="60" customHeight="1" s="63">
      <c r="A50" s="66" t="inlineStr">
        <is>
          <t>REL-044</t>
        </is>
      </c>
      <c r="B50" s="66" t="inlineStr">
        <is>
          <t>TSS-165</t>
        </is>
      </c>
      <c r="C50" s="66" t="inlineStr">
        <is>
          <t>VTS-014</t>
        </is>
      </c>
      <c r="D50" s="66" t="inlineStr">
        <is>
          <t>TSS-0165</t>
        </is>
      </c>
      <c r="E50" s="66" t="inlineStr">
        <is>
          <t>VTS-014</t>
        </is>
      </c>
      <c r="F50" s="66" t="inlineStr">
        <is>
          <t>Retained with reviewed evidence status</t>
        </is>
      </c>
      <c r="G50" s="66" t="inlineStr">
        <is>
          <t>LNK-0038</t>
        </is>
      </c>
      <c r="H50" s="66" t="inlineStr">
        <is>
          <t>Proposed; boundary evidence pending</t>
        </is>
      </c>
      <c r="I50" s="66" t="inlineStr">
        <is>
          <t>S11</t>
        </is>
      </c>
      <c r="J50" s="67" t="inlineStr">
        <is>
          <t>https://www.navcen.uscg.gov/vessel-traffic-services-locations</t>
        </is>
      </c>
      <c r="K50" s="66" t="inlineStr">
        <is>
          <t>Search lead only. No full or partial TSS coverage has been concluded.</t>
        </is>
      </c>
    </row>
    <row r="51" ht="106.5" customHeight="1" s="63">
      <c r="A51" s="66" t="inlineStr">
        <is>
          <t>REL-045</t>
        </is>
      </c>
      <c r="B51" s="66" t="inlineStr">
        <is>
          <t>TSS-005</t>
        </is>
      </c>
      <c r="C51" s="66" t="inlineStr">
        <is>
          <t>RPT-001</t>
        </is>
      </c>
      <c r="D51" s="66" t="inlineStr">
        <is>
          <t>TSS-0005</t>
        </is>
      </c>
      <c r="E51" s="66" t="inlineStr">
        <is>
          <t>SRS-001</t>
        </is>
      </c>
      <c r="F51" s="66" t="inlineStr">
        <is>
          <t>Retained with reviewed evidence status</t>
        </is>
      </c>
      <c r="G51" s="66" t="inlineStr">
        <is>
          <t>LNK-0009</t>
        </is>
      </c>
      <c r="H51" s="66" t="inlineStr">
        <is>
          <t>Authority-supported association</t>
        </is>
      </c>
      <c r="I51" s="66" t="inlineStr">
        <is>
          <t>S04</t>
        </is>
      </c>
      <c r="J51" s="67" t="inlineStr">
        <is>
          <t>https://www.gov.uk/government/publications/mgn-364-mf-amendment-2-navigation-safety-traffic-separation-schemes-application-of-rule-10-and-navigation-in-the-dover-strait/mgn-364-mf-amendment-2-navigation-safety-traffic-separation-schemes-application-of-rule-10-and-navigation-in-the-dover-strait</t>
        </is>
      </c>
      <c r="K51" s="66" t="inlineStr">
        <is>
          <t>Confirm geographic coverage and applicable vessel categories before publication.</t>
        </is>
      </c>
    </row>
    <row r="52" ht="79.5" customHeight="1" s="63">
      <c r="A52" s="66" t="inlineStr">
        <is>
          <t>REL-046</t>
        </is>
      </c>
      <c r="B52" s="66" t="inlineStr">
        <is>
          <t>TSS-038</t>
        </is>
      </c>
      <c r="C52" s="66" t="inlineStr">
        <is>
          <t>RPT-002</t>
        </is>
      </c>
      <c r="D52" s="66" t="inlineStr">
        <is>
          <t>TSS-0038</t>
        </is>
      </c>
      <c r="E52" s="66" t="inlineStr">
        <is>
          <t>SRS-002</t>
        </is>
      </c>
      <c r="F52" s="66" t="inlineStr">
        <is>
          <t>Retained with reviewed evidence status</t>
        </is>
      </c>
      <c r="G52" s="66" t="inlineStr">
        <is>
          <t>LNK-0010</t>
        </is>
      </c>
      <c r="H52" s="66" t="inlineStr">
        <is>
          <t>Authority-supported identity</t>
        </is>
      </c>
      <c r="I52" s="66" t="inlineStr">
        <is>
          <t>S05; S06</t>
        </is>
      </c>
      <c r="J52" s="67" t="inlineStr">
        <is>
          <t>https://www.forsvaret.dk/da/organisation/soevaernet/civile-opgaver/beltrep/
https://www.brs.dk/da/om-os/organisation/sikre-farvande/obligatoriske-skibsmeldesystemer-msrs-og-skibstrafiktjenester-vts/</t>
        </is>
      </c>
      <c r="K52" s="66" t="inlineStr">
        <is>
          <t>Confirm geographic coverage and applicable vessel categories before publication.</t>
        </is>
      </c>
    </row>
    <row r="53" ht="79.5" customHeight="1" s="63">
      <c r="A53" s="66" t="inlineStr">
        <is>
          <t>REL-047</t>
        </is>
      </c>
      <c r="B53" s="66" t="inlineStr">
        <is>
          <t>TSS-039</t>
        </is>
      </c>
      <c r="C53" s="66" t="inlineStr">
        <is>
          <t>RPT-002</t>
        </is>
      </c>
      <c r="D53" s="66" t="inlineStr">
        <is>
          <t>TSS-0039</t>
        </is>
      </c>
      <c r="E53" s="66" t="inlineStr">
        <is>
          <t>SRS-002</t>
        </is>
      </c>
      <c r="F53" s="66" t="inlineStr">
        <is>
          <t>Retained with reviewed evidence status</t>
        </is>
      </c>
      <c r="G53" s="66" t="inlineStr">
        <is>
          <t>LNK-0011</t>
        </is>
      </c>
      <c r="H53" s="66" t="inlineStr">
        <is>
          <t>Authority-supported identity</t>
        </is>
      </c>
      <c r="I53" s="66" t="inlineStr">
        <is>
          <t>S05; S06</t>
        </is>
      </c>
      <c r="J53" s="67" t="inlineStr">
        <is>
          <t>https://www.forsvaret.dk/da/organisation/soevaernet/civile-opgaver/beltrep/
https://www.brs.dk/da/om-os/organisation/sikre-farvande/obligatoriske-skibsmeldesystemer-msrs-og-skibstrafiktjenester-vts/</t>
        </is>
      </c>
      <c r="K53" s="66" t="inlineStr">
        <is>
          <t>Confirm geographic coverage and applicable vessel categories before publication.</t>
        </is>
      </c>
    </row>
    <row r="54" ht="93" customHeight="1" s="63">
      <c r="A54" s="66" t="inlineStr">
        <is>
          <t>REL-048</t>
        </is>
      </c>
      <c r="B54" s="66" t="inlineStr">
        <is>
          <t>TSS-040</t>
        </is>
      </c>
      <c r="C54" s="66" t="inlineStr">
        <is>
          <t>RPT-003</t>
        </is>
      </c>
      <c r="D54" s="66" t="inlineStr">
        <is>
          <t>TSS-0040</t>
        </is>
      </c>
      <c r="E54" s="66" t="inlineStr">
        <is>
          <t>SRS-003</t>
        </is>
      </c>
      <c r="F54" s="66" t="inlineStr">
        <is>
          <t>Retained with reviewed evidence status</t>
        </is>
      </c>
      <c r="G54" s="66" t="inlineStr">
        <is>
          <t>LNK-0012</t>
        </is>
      </c>
      <c r="H54" s="66" t="inlineStr">
        <is>
          <t>Authority-supported identity</t>
        </is>
      </c>
      <c r="I54" s="66" t="inlineStr">
        <is>
          <t>S06; S07</t>
        </is>
      </c>
      <c r="J54" s="67" t="inlineStr">
        <is>
          <t>https://www.brs.dk/da/om-os/organisation/sikre-farvande/obligatoriske-skibsmeldesystemer-msrs-og-skibstrafiktjenester-vts/
https://www.transportstyrelsen.se/sv/sjofart/sjotrafik-och-hamnar/sjotrafikrapporteringssystem-srs/</t>
        </is>
      </c>
      <c r="K54" s="66" t="inlineStr">
        <is>
          <t>Confirm geographic coverage and applicable vessel categories before publication.</t>
        </is>
      </c>
    </row>
    <row r="55" ht="93" customHeight="1" s="63">
      <c r="A55" s="66" t="inlineStr">
        <is>
          <t>REL-049</t>
        </is>
      </c>
      <c r="B55" s="66" t="inlineStr">
        <is>
          <t>TSS-041</t>
        </is>
      </c>
      <c r="C55" s="66" t="inlineStr">
        <is>
          <t>RPT-003</t>
        </is>
      </c>
      <c r="D55" s="66" t="inlineStr">
        <is>
          <t>TSS-0041</t>
        </is>
      </c>
      <c r="E55" s="66" t="inlineStr">
        <is>
          <t>SRS-003</t>
        </is>
      </c>
      <c r="F55" s="66" t="inlineStr">
        <is>
          <t>Retained with reviewed evidence status</t>
        </is>
      </c>
      <c r="G55" s="66" t="inlineStr">
        <is>
          <t>LNK-0031</t>
        </is>
      </c>
      <c r="H55" s="66" t="inlineStr">
        <is>
          <t>Authority-supported identity</t>
        </is>
      </c>
      <c r="I55" s="66" t="inlineStr">
        <is>
          <t>S06; S07</t>
        </is>
      </c>
      <c r="J55" s="67" t="inlineStr">
        <is>
          <t>https://www.brs.dk/da/om-os/organisation/sikre-farvande/obligatoriske-skibsmeldesystemer-msrs-og-skibstrafiktjenester-vts/
https://www.transportstyrelsen.se/sv/sjofart/sjotrafik-och-hamnar/sjotrafikrapporteringssystem-srs/</t>
        </is>
      </c>
      <c r="K55" s="66" t="inlineStr">
        <is>
          <t>Confirm geographic coverage and applicable vessel categories before publication.</t>
        </is>
      </c>
    </row>
    <row r="56" ht="79.5" customHeight="1" s="63">
      <c r="A56" s="66" t="inlineStr">
        <is>
          <t>REL-050</t>
        </is>
      </c>
      <c r="B56" s="66" t="inlineStr">
        <is>
          <t>TSS-107</t>
        </is>
      </c>
      <c r="C56" s="66" t="inlineStr">
        <is>
          <t>RPT-004</t>
        </is>
      </c>
      <c r="D56" s="66" t="inlineStr">
        <is>
          <t>TSS-0107</t>
        </is>
      </c>
      <c r="E56" s="66" t="inlineStr">
        <is>
          <t>SRS-004</t>
        </is>
      </c>
      <c r="F56" s="66" t="inlineStr">
        <is>
          <t>Retained with reviewed evidence status</t>
        </is>
      </c>
      <c r="G56" s="66" t="inlineStr">
        <is>
          <t>LNK-0017</t>
        </is>
      </c>
      <c r="H56" s="66" t="inlineStr">
        <is>
          <t>System-level only; component mapping pending</t>
        </is>
      </c>
      <c r="I56" s="66" t="inlineStr">
        <is>
          <t>S08; S09</t>
        </is>
      </c>
      <c r="J56" s="67" t="inlineStr">
        <is>
          <t>https://www.mpa.gov.sg/port-marine-ops/operations/vessel-traffic-information-system
https://www.mpa.gov.sg/port-marine-ops/operations/vessel-traffic-information-system/operational-areas</t>
        </is>
      </c>
      <c r="K56" s="66" t="inlineStr">
        <is>
          <t>Confirm geographic coverage and applicable vessel categories before publication.</t>
        </is>
      </c>
    </row>
    <row r="57" ht="79.5" customHeight="1" s="63">
      <c r="A57" s="66" t="inlineStr">
        <is>
          <t>REL-051</t>
        </is>
      </c>
      <c r="B57" s="66" t="inlineStr">
        <is>
          <t>TSS-108</t>
        </is>
      </c>
      <c r="C57" s="66" t="inlineStr">
        <is>
          <t>RPT-004</t>
        </is>
      </c>
      <c r="D57" s="66" t="inlineStr">
        <is>
          <t>TSS-0108</t>
        </is>
      </c>
      <c r="E57" s="66" t="inlineStr">
        <is>
          <t>SRS-004</t>
        </is>
      </c>
      <c r="F57" s="66" t="inlineStr">
        <is>
          <t>Retained with reviewed evidence status</t>
        </is>
      </c>
      <c r="G57" s="66" t="inlineStr">
        <is>
          <t>LNK-0018</t>
        </is>
      </c>
      <c r="H57" s="66" t="inlineStr">
        <is>
          <t>System-level only; component mapping pending</t>
        </is>
      </c>
      <c r="I57" s="66" t="inlineStr">
        <is>
          <t>S08; S09</t>
        </is>
      </c>
      <c r="J57" s="67" t="inlineStr">
        <is>
          <t>https://www.mpa.gov.sg/port-marine-ops/operations/vessel-traffic-information-system
https://www.mpa.gov.sg/port-marine-ops/operations/vessel-traffic-information-system/operational-areas</t>
        </is>
      </c>
      <c r="K57" s="66" t="inlineStr">
        <is>
          <t>Confirm geographic coverage and applicable vessel categories before publication.</t>
        </is>
      </c>
    </row>
    <row r="58" ht="79.5" customHeight="1" s="63">
      <c r="A58" s="66" t="inlineStr">
        <is>
          <t>REL-052</t>
        </is>
      </c>
      <c r="B58" s="66" t="inlineStr">
        <is>
          <t>TSS-109</t>
        </is>
      </c>
      <c r="C58" s="66" t="inlineStr">
        <is>
          <t>RPT-004</t>
        </is>
      </c>
      <c r="D58" s="66" t="inlineStr">
        <is>
          <t>TSS-0109</t>
        </is>
      </c>
      <c r="E58" s="66" t="inlineStr">
        <is>
          <t>SRS-004</t>
        </is>
      </c>
      <c r="F58" s="66" t="inlineStr">
        <is>
          <t>Retained with reviewed evidence status</t>
        </is>
      </c>
      <c r="G58" s="66" t="inlineStr">
        <is>
          <t>LNK-0019</t>
        </is>
      </c>
      <c r="H58" s="66" t="inlineStr">
        <is>
          <t>System-level only; component mapping pending</t>
        </is>
      </c>
      <c r="I58" s="66" t="inlineStr">
        <is>
          <t>S08; S09</t>
        </is>
      </c>
      <c r="J58" s="67" t="inlineStr">
        <is>
          <t>https://www.mpa.gov.sg/port-marine-ops/operations/vessel-traffic-information-system
https://www.mpa.gov.sg/port-marine-ops/operations/vessel-traffic-information-system/operational-areas</t>
        </is>
      </c>
      <c r="K58" s="66" t="inlineStr">
        <is>
          <t>Confirm geographic coverage and applicable vessel categories before publication.</t>
        </is>
      </c>
    </row>
    <row r="59" ht="79.5" customHeight="1" s="63">
      <c r="A59" s="66" t="inlineStr">
        <is>
          <t>REL-053</t>
        </is>
      </c>
      <c r="B59" s="66" t="inlineStr">
        <is>
          <t>TSS-110</t>
        </is>
      </c>
      <c r="C59" s="66" t="inlineStr">
        <is>
          <t>RPT-004</t>
        </is>
      </c>
      <c r="D59" s="66" t="inlineStr">
        <is>
          <t>TSS-0110</t>
        </is>
      </c>
      <c r="E59" s="66" t="inlineStr">
        <is>
          <t>SRS-004</t>
        </is>
      </c>
      <c r="F59" s="66" t="inlineStr">
        <is>
          <t>Retained with reviewed evidence status</t>
        </is>
      </c>
      <c r="G59" s="66" t="inlineStr">
        <is>
          <t>LNK-0020</t>
        </is>
      </c>
      <c r="H59" s="66" t="inlineStr">
        <is>
          <t>System-level only; component mapping pending</t>
        </is>
      </c>
      <c r="I59" s="66" t="inlineStr">
        <is>
          <t>S08; S09</t>
        </is>
      </c>
      <c r="J59" s="67" t="inlineStr">
        <is>
          <t>https://www.mpa.gov.sg/port-marine-ops/operations/vessel-traffic-information-system
https://www.mpa.gov.sg/port-marine-ops/operations/vessel-traffic-information-system/operational-areas</t>
        </is>
      </c>
      <c r="K59" s="66" t="inlineStr">
        <is>
          <t>Confirm geographic coverage and applicable vessel categories before publication.</t>
        </is>
      </c>
    </row>
    <row r="60" ht="79.5" customHeight="1" s="63">
      <c r="A60" s="66" t="inlineStr">
        <is>
          <t>REL-054</t>
        </is>
      </c>
      <c r="B60" s="66" t="inlineStr">
        <is>
          <t>TSS-111</t>
        </is>
      </c>
      <c r="C60" s="66" t="inlineStr">
        <is>
          <t>RPT-004</t>
        </is>
      </c>
      <c r="D60" s="66" t="inlineStr">
        <is>
          <t>TSS-0111</t>
        </is>
      </c>
      <c r="E60" s="66" t="inlineStr">
        <is>
          <t>SRS-004</t>
        </is>
      </c>
      <c r="F60" s="66" t="inlineStr">
        <is>
          <t>Retained with reviewed evidence status</t>
        </is>
      </c>
      <c r="G60" s="66" t="inlineStr">
        <is>
          <t>LNK-0021</t>
        </is>
      </c>
      <c r="H60" s="66" t="inlineStr">
        <is>
          <t>System-level only; component mapping pending</t>
        </is>
      </c>
      <c r="I60" s="66" t="inlineStr">
        <is>
          <t>S08; S09</t>
        </is>
      </c>
      <c r="J60" s="67" t="inlineStr">
        <is>
          <t>https://www.mpa.gov.sg/port-marine-ops/operations/vessel-traffic-information-system
https://www.mpa.gov.sg/port-marine-ops/operations/vessel-traffic-information-system/operational-areas</t>
        </is>
      </c>
      <c r="K60" s="66" t="inlineStr">
        <is>
          <t>Confirm geographic coverage and applicable vessel categories before publication.</t>
        </is>
      </c>
    </row>
    <row r="61" ht="79.5" customHeight="1" s="63">
      <c r="A61" s="66" t="inlineStr">
        <is>
          <t>REL-055</t>
        </is>
      </c>
      <c r="B61" s="66" t="inlineStr">
        <is>
          <t>TSS-112</t>
        </is>
      </c>
      <c r="C61" s="66" t="inlineStr">
        <is>
          <t>RPT-004</t>
        </is>
      </c>
      <c r="D61" s="66" t="inlineStr">
        <is>
          <t>TSS-0112</t>
        </is>
      </c>
      <c r="E61" s="66" t="inlineStr">
        <is>
          <t>SRS-004</t>
        </is>
      </c>
      <c r="F61" s="66" t="inlineStr">
        <is>
          <t>Retained with reviewed evidence status</t>
        </is>
      </c>
      <c r="G61" s="66" t="inlineStr">
        <is>
          <t>LNK-0022</t>
        </is>
      </c>
      <c r="H61" s="66" t="inlineStr">
        <is>
          <t>System-level only; component mapping pending</t>
        </is>
      </c>
      <c r="I61" s="66" t="inlineStr">
        <is>
          <t>S08; S09</t>
        </is>
      </c>
      <c r="J61" s="67" t="inlineStr">
        <is>
          <t>https://www.mpa.gov.sg/port-marine-ops/operations/vessel-traffic-information-system
https://www.mpa.gov.sg/port-marine-ops/operations/vessel-traffic-information-system/operational-areas</t>
        </is>
      </c>
      <c r="K61" s="66" t="inlineStr">
        <is>
          <t>Confirm geographic coverage and applicable vessel categories before publication.</t>
        </is>
      </c>
    </row>
    <row r="62" ht="79.5" customHeight="1" s="63">
      <c r="A62" s="66" t="inlineStr">
        <is>
          <t>REL-056</t>
        </is>
      </c>
      <c r="B62" s="66" t="inlineStr">
        <is>
          <t>TSS-113</t>
        </is>
      </c>
      <c r="C62" s="66" t="inlineStr">
        <is>
          <t>RPT-004</t>
        </is>
      </c>
      <c r="D62" s="66" t="inlineStr">
        <is>
          <t>TSS-0113</t>
        </is>
      </c>
      <c r="E62" s="66" t="inlineStr">
        <is>
          <t>SRS-004</t>
        </is>
      </c>
      <c r="F62" s="66" t="inlineStr">
        <is>
          <t>Retained with reviewed evidence status</t>
        </is>
      </c>
      <c r="G62" s="66" t="inlineStr">
        <is>
          <t>LNK-0023</t>
        </is>
      </c>
      <c r="H62" s="66" t="inlineStr">
        <is>
          <t>System-level only; component mapping pending</t>
        </is>
      </c>
      <c r="I62" s="66" t="inlineStr">
        <is>
          <t>S08; S09</t>
        </is>
      </c>
      <c r="J62" s="67" t="inlineStr">
        <is>
          <t>https://www.mpa.gov.sg/port-marine-ops/operations/vessel-traffic-information-system
https://www.mpa.gov.sg/port-marine-ops/operations/vessel-traffic-information-system/operational-areas</t>
        </is>
      </c>
      <c r="K62" s="66" t="inlineStr">
        <is>
          <t>Confirm geographic coverage and applicable vessel categories before publication.</t>
        </is>
      </c>
    </row>
    <row r="63" ht="79.5" customHeight="1" s="63">
      <c r="A63" s="66" t="inlineStr">
        <is>
          <t>REL-057</t>
        </is>
      </c>
      <c r="B63" s="66" t="inlineStr">
        <is>
          <t>TSS-114</t>
        </is>
      </c>
      <c r="C63" s="66" t="inlineStr">
        <is>
          <t>RPT-004</t>
        </is>
      </c>
      <c r="D63" s="66" t="inlineStr">
        <is>
          <t>TSS-0114</t>
        </is>
      </c>
      <c r="E63" s="66" t="inlineStr">
        <is>
          <t>SRS-004</t>
        </is>
      </c>
      <c r="F63" s="66" t="inlineStr">
        <is>
          <t>Retained with reviewed evidence status</t>
        </is>
      </c>
      <c r="G63" s="66" t="inlineStr">
        <is>
          <t>LNK-0024</t>
        </is>
      </c>
      <c r="H63" s="66" t="inlineStr">
        <is>
          <t>System-level only; component mapping pending</t>
        </is>
      </c>
      <c r="I63" s="66" t="inlineStr">
        <is>
          <t>S08; S09</t>
        </is>
      </c>
      <c r="J63" s="67" t="inlineStr">
        <is>
          <t>https://www.mpa.gov.sg/port-marine-ops/operations/vessel-traffic-information-system
https://www.mpa.gov.sg/port-marine-ops/operations/vessel-traffic-information-system/operational-areas</t>
        </is>
      </c>
      <c r="K63" s="66" t="inlineStr">
        <is>
          <t>Confirm geographic coverage and applicable vessel categories before publication.</t>
        </is>
      </c>
    </row>
    <row r="64" ht="60" customHeight="1" s="63">
      <c r="A64" s="66" t="inlineStr">
        <is>
          <t>REL-058</t>
        </is>
      </c>
      <c r="B64" s="66" t="inlineStr">
        <is>
          <t>TSS-021</t>
        </is>
      </c>
      <c r="C64" s="66" t="inlineStr">
        <is>
          <t>RPT-006</t>
        </is>
      </c>
      <c r="D64" s="66" t="inlineStr">
        <is>
          <t>TSS-0021</t>
        </is>
      </c>
      <c r="E64" s="66" t="inlineStr">
        <is>
          <t>SRS-006</t>
        </is>
      </c>
      <c r="F64" s="66" t="inlineStr">
        <is>
          <t>Retained with reviewed evidence status</t>
        </is>
      </c>
      <c r="G64" s="66" t="inlineStr">
        <is>
          <t>LNK-0042</t>
        </is>
      </c>
      <c r="H64" s="66" t="inlineStr">
        <is>
          <t>Unverified legacy hypothesis</t>
        </is>
      </c>
      <c r="I64" s="66" t="inlineStr">
        <is>
          <t>S07</t>
        </is>
      </c>
      <c r="J64" s="67" t="inlineStr">
        <is>
          <t>https://www.transportstyrelsen.se/sv/sjofart/sjotrafik-och-hamnar/sjotrafikrapporteringssystem-srs/</t>
        </is>
      </c>
      <c r="K64" s="66" t="inlineStr">
        <is>
          <t>Confirm geographic coverage and applicable vessel categories before publication.</t>
        </is>
      </c>
    </row>
    <row r="65" ht="60" customHeight="1" s="63">
      <c r="A65" s="66" t="inlineStr">
        <is>
          <t>REL-059</t>
        </is>
      </c>
      <c r="B65" s="66" t="inlineStr">
        <is>
          <t>TSS-022</t>
        </is>
      </c>
      <c r="C65" s="66" t="inlineStr">
        <is>
          <t>RPT-006</t>
        </is>
      </c>
      <c r="D65" s="66" t="inlineStr">
        <is>
          <t>TSS-0022</t>
        </is>
      </c>
      <c r="E65" s="66" t="inlineStr">
        <is>
          <t>SRS-006</t>
        </is>
      </c>
      <c r="F65" s="66" t="inlineStr">
        <is>
          <t>Retained with reviewed evidence status</t>
        </is>
      </c>
      <c r="G65" s="66" t="inlineStr">
        <is>
          <t>LNK-0043</t>
        </is>
      </c>
      <c r="H65" s="66" t="inlineStr">
        <is>
          <t>Unverified legacy hypothesis</t>
        </is>
      </c>
      <c r="I65" s="66" t="inlineStr">
        <is>
          <t>S07</t>
        </is>
      </c>
      <c r="J65" s="67" t="inlineStr">
        <is>
          <t>https://www.transportstyrelsen.se/sv/sjofart/sjotrafik-och-hamnar/sjotrafikrapporteringssystem-srs/</t>
        </is>
      </c>
      <c r="K65" s="66" t="inlineStr">
        <is>
          <t>Confirm geographic coverage and applicable vessel categories before publication.</t>
        </is>
      </c>
    </row>
    <row r="66" ht="60" customHeight="1" s="63">
      <c r="A66" s="66" t="inlineStr">
        <is>
          <t>REL-060</t>
        </is>
      </c>
      <c r="B66" s="66" t="inlineStr">
        <is>
          <t>TSS-023</t>
        </is>
      </c>
      <c r="C66" s="66" t="inlineStr">
        <is>
          <t>RPT-006</t>
        </is>
      </c>
      <c r="D66" s="66" t="inlineStr">
        <is>
          <t>TSS-0023</t>
        </is>
      </c>
      <c r="E66" s="66" t="inlineStr">
        <is>
          <t>SRS-006</t>
        </is>
      </c>
      <c r="F66" s="66" t="inlineStr">
        <is>
          <t>Retained with reviewed evidence status</t>
        </is>
      </c>
      <c r="G66" s="66" t="inlineStr">
        <is>
          <t>LNK-0044</t>
        </is>
      </c>
      <c r="H66" s="66" t="inlineStr">
        <is>
          <t>Unverified legacy hypothesis</t>
        </is>
      </c>
      <c r="I66" s="66" t="inlineStr">
        <is>
          <t>S07</t>
        </is>
      </c>
      <c r="J66" s="67" t="inlineStr">
        <is>
          <t>https://www.transportstyrelsen.se/sv/sjofart/sjotrafik-och-hamnar/sjotrafikrapporteringssystem-srs/</t>
        </is>
      </c>
      <c r="K66" s="66" t="inlineStr">
        <is>
          <t>Confirm geographic coverage and applicable vessel categories before publication.</t>
        </is>
      </c>
    </row>
    <row r="67" ht="60" customHeight="1" s="63">
      <c r="A67" s="66" t="inlineStr">
        <is>
          <t>REL-061</t>
        </is>
      </c>
      <c r="B67" s="66" t="inlineStr">
        <is>
          <t>TSS-024</t>
        </is>
      </c>
      <c r="C67" s="66" t="inlineStr">
        <is>
          <t>RPT-006</t>
        </is>
      </c>
      <c r="D67" s="66" t="inlineStr">
        <is>
          <t>TSS-0024</t>
        </is>
      </c>
      <c r="E67" s="66" t="inlineStr">
        <is>
          <t>SRS-006</t>
        </is>
      </c>
      <c r="F67" s="66" t="inlineStr">
        <is>
          <t>Retained with reviewed evidence status</t>
        </is>
      </c>
      <c r="G67" s="66" t="inlineStr">
        <is>
          <t>LNK-0013</t>
        </is>
      </c>
      <c r="H67" s="66" t="inlineStr">
        <is>
          <t>Authority-supported association</t>
        </is>
      </c>
      <c r="I67" s="66" t="inlineStr">
        <is>
          <t>S07</t>
        </is>
      </c>
      <c r="J67" s="67" t="inlineStr">
        <is>
          <t>https://www.transportstyrelsen.se/sv/sjofart/sjotrafik-och-hamnar/sjotrafikrapporteringssystem-srs/</t>
        </is>
      </c>
      <c r="K67" s="66" t="inlineStr">
        <is>
          <t>Confirm geographic coverage and applicable vessel categories before publication.</t>
        </is>
      </c>
    </row>
    <row r="68" ht="60" customHeight="1" s="63">
      <c r="A68" s="66" t="inlineStr">
        <is>
          <t>REL-062</t>
        </is>
      </c>
      <c r="B68" s="66" t="inlineStr">
        <is>
          <t>TSS-025</t>
        </is>
      </c>
      <c r="C68" s="66" t="inlineStr">
        <is>
          <t>RPT-006</t>
        </is>
      </c>
      <c r="D68" s="66" t="inlineStr">
        <is>
          <t>TSS-0025</t>
        </is>
      </c>
      <c r="E68" s="66" t="inlineStr">
        <is>
          <t>SRS-006</t>
        </is>
      </c>
      <c r="F68" s="66" t="inlineStr">
        <is>
          <t>Retained with reviewed evidence status</t>
        </is>
      </c>
      <c r="G68" s="66" t="inlineStr">
        <is>
          <t>LNK-0014</t>
        </is>
      </c>
      <c r="H68" s="66" t="inlineStr">
        <is>
          <t>Authority-supported association</t>
        </is>
      </c>
      <c r="I68" s="66" t="inlineStr">
        <is>
          <t>S07</t>
        </is>
      </c>
      <c r="J68" s="67" t="inlineStr">
        <is>
          <t>https://www.transportstyrelsen.se/sv/sjofart/sjotrafik-och-hamnar/sjotrafikrapporteringssystem-srs/</t>
        </is>
      </c>
      <c r="K68" s="66" t="inlineStr">
        <is>
          <t>Confirm geographic coverage and applicable vessel categories before publication.</t>
        </is>
      </c>
    </row>
    <row r="69" ht="60" customHeight="1" s="63">
      <c r="A69" s="66" t="inlineStr">
        <is>
          <t>REL-063</t>
        </is>
      </c>
      <c r="B69" s="66" t="inlineStr">
        <is>
          <t>TSS-026</t>
        </is>
      </c>
      <c r="C69" s="66" t="inlineStr">
        <is>
          <t>RPT-006</t>
        </is>
      </c>
      <c r="D69" s="66" t="inlineStr">
        <is>
          <t>TSS-0026</t>
        </is>
      </c>
      <c r="E69" s="66" t="inlineStr">
        <is>
          <t>SRS-006</t>
        </is>
      </c>
      <c r="F69" s="66" t="inlineStr">
        <is>
          <t>Retained with reviewed evidence status</t>
        </is>
      </c>
      <c r="G69" s="66" t="inlineStr">
        <is>
          <t>LNK-0015</t>
        </is>
      </c>
      <c r="H69" s="66" t="inlineStr">
        <is>
          <t>Authority-supported association</t>
        </is>
      </c>
      <c r="I69" s="66" t="inlineStr">
        <is>
          <t>S07</t>
        </is>
      </c>
      <c r="J69" s="67" t="inlineStr">
        <is>
          <t>https://www.transportstyrelsen.se/sv/sjofart/sjotrafik-och-hamnar/sjotrafikrapporteringssystem-srs/</t>
        </is>
      </c>
      <c r="K69" s="66" t="inlineStr">
        <is>
          <t>Confirm geographic coverage and applicable vessel categories before publication.</t>
        </is>
      </c>
    </row>
    <row r="70" ht="60" customHeight="1" s="63">
      <c r="A70" s="66" t="inlineStr">
        <is>
          <t>REL-064</t>
        </is>
      </c>
      <c r="B70" s="66" t="inlineStr">
        <is>
          <t>TSS-043</t>
        </is>
      </c>
      <c r="C70" s="66" t="inlineStr">
        <is>
          <t>RPT-007</t>
        </is>
      </c>
      <c r="D70" s="66" t="inlineStr">
        <is>
          <t>TSS-0043</t>
        </is>
      </c>
      <c r="E70" s="66" t="inlineStr">
        <is>
          <t>SRS-007</t>
        </is>
      </c>
      <c r="F70" s="66" t="inlineStr">
        <is>
          <t>Retained with reviewed evidence status</t>
        </is>
      </c>
      <c r="G70" s="66" t="inlineStr">
        <is>
          <t>LNK-0025</t>
        </is>
      </c>
      <c r="H70" s="66" t="inlineStr">
        <is>
          <t>Authority-supported identity</t>
        </is>
      </c>
      <c r="I70" s="66" t="inlineStr">
        <is>
          <t>S07</t>
        </is>
      </c>
      <c r="J70" s="67" t="inlineStr">
        <is>
          <t>https://www.transportstyrelsen.se/sv/sjofart/sjotrafik-och-hamnar/sjotrafikrapporteringssystem-srs/</t>
        </is>
      </c>
      <c r="K70" s="66" t="inlineStr">
        <is>
          <t>Confirm geographic coverage and applicable vessel categories before publication.</t>
        </is>
      </c>
    </row>
    <row r="71" ht="60" customHeight="1" s="63">
      <c r="A71" s="66" t="inlineStr">
        <is>
          <t>REL-065</t>
        </is>
      </c>
      <c r="B71" s="66" t="inlineStr">
        <is>
          <t>TSS-132</t>
        </is>
      </c>
      <c r="C71" s="66" t="inlineStr">
        <is>
          <t>RPT-008</t>
        </is>
      </c>
      <c r="D71" s="66" t="inlineStr">
        <is>
          <t>TSS-0132</t>
        </is>
      </c>
      <c r="E71" s="66" t="inlineStr">
        <is>
          <t>SRS-008</t>
        </is>
      </c>
      <c r="F71" s="66" t="inlineStr">
        <is>
          <t>Retained with reviewed evidence status</t>
        </is>
      </c>
      <c r="G71" s="66" t="inlineStr">
        <is>
          <t>LNK-0039</t>
        </is>
      </c>
      <c r="H71" s="66" t="inlineStr">
        <is>
          <t>Proposed; boundary evidence pending</t>
        </is>
      </c>
      <c r="I71" s="66" t="inlineStr">
        <is>
          <t>S11</t>
        </is>
      </c>
      <c r="J71" s="67" t="inlineStr">
        <is>
          <t>https://www.navcen.uscg.gov/vessel-traffic-services-locations</t>
        </is>
      </c>
      <c r="K71" s="66" t="inlineStr">
        <is>
          <t>Confirm geographic coverage and applicable vessel categories before publication.</t>
        </is>
      </c>
    </row>
    <row r="72">
      <c r="A72" s="68" t="n"/>
      <c r="B72" s="68" t="n"/>
      <c r="C72" s="68" t="n"/>
      <c r="D72" s="68" t="n"/>
      <c r="E72" s="68" t="n"/>
      <c r="F72" s="68" t="n"/>
      <c r="G72" s="68" t="n"/>
      <c r="H72" s="68" t="n"/>
      <c r="I72" s="68" t="n"/>
      <c r="J72" s="68" t="n"/>
      <c r="K72" s="68" t="n"/>
    </row>
  </sheetData>
  <mergeCells count="2">
    <mergeCell ref="A1:H2"/>
    <mergeCell ref="A3:H4"/>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2026-09-29T11:08:31Z</dcterms:created>
  <dcterms:modified xsi:type="dcterms:W3CDTF">2026-09-29T11:08:31Z</dcterms:modified>
</cp:coreProperties>
</file>
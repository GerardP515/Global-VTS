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d8a366794d44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525b3b75f2824fb6"/>
    <x:sheet xmlns:r="http://schemas.openxmlformats.org/officeDocument/2006/relationships" name="TSS Candidates" sheetId="2" r:id="R95abedd0cb3b4288"/>
    <x:sheet xmlns:r="http://schemas.openxmlformats.org/officeDocument/2006/relationships" name="VTS Services" sheetId="3" r:id="R3e23ec5fc0fe4502"/>
    <x:sheet xmlns:r="http://schemas.openxmlformats.org/officeDocument/2006/relationships" name="Reporting Schemes" sheetId="4" r:id="R62a684ff7797461a"/>
    <x:sheet xmlns:r="http://schemas.openxmlformats.org/officeDocument/2006/relationships" name="Relationships" sheetId="5" r:id="R542aa6450022445c"/>
    <x:sheet xmlns:r="http://schemas.openxmlformats.org/officeDocument/2006/relationships" name="Sources" sheetId="6" r:id="R9ba950afa77c4fbe"/>
    <x:sheet xmlns:r="http://schemas.openxmlformats.org/officeDocument/2006/relationships" name="Issues" sheetId="7" r:id="R9eccba548ad44ffe"/>
    <x:sheet xmlns:r="http://schemas.openxmlformats.org/officeDocument/2006/relationships" name="Batches" sheetId="8" r:id="R1868b2f7591a4e4a"/>
    <x:sheet xmlns:r="http://schemas.openxmlformats.org/officeDocument/2006/relationships" name="Definitions" sheetId="9" r:id="R04a26323ff324d6a"/>
    <x:sheet xmlns:r="http://schemas.openxmlformats.org/officeDocument/2006/relationships" name="Audit Findings" sheetId="10" r:id="R98c58a21880b453e"/>
    <x:sheet xmlns:r="http://schemas.openxmlformats.org/officeDocument/2006/relationships" name="TSS Components" sheetId="11" r:id="Rd92463773f0948d1"/>
    <x:sheet xmlns:r="http://schemas.openxmlformats.org/officeDocument/2006/relationships" name="ID Crosswalk" sheetId="12" r:id="Re83d00bf13794200"/>
    <x:sheet xmlns:r="http://schemas.openxmlformats.org/officeDocument/2006/relationships" name="Legacy Links" sheetId="13" r:id="R236dc75fc1c34c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3">
    <x:font>
      <x:sz val="11"/>
      <x:name val="Carlito"/>
    </x:font>
    <x:font>
      <x:sz val="11"/>
      <x:color rgb="FF223446"/>
      <x:name val="Carlito"/>
    </x:font>
    <x:font>
      <x:b/>
      <x:sz val="22"/>
      <x:color rgb="FFFFFFFF"/>
      <x:name val="Carlito"/>
    </x:font>
    <x:font>
      <x:b/>
      <x:sz val="10"/>
      <x:color rgb="FFFFFFFF"/>
      <x:name val="Carlito"/>
    </x:font>
    <x:font>
      <x:b/>
      <x:sz val="32"/>
      <x:color rgb="FF17324D"/>
      <x:name val="Carlito"/>
    </x:font>
    <x:font>
      <x:b/>
      <x:sz val="11"/>
      <x:color rgb="FF223446"/>
      <x:name val="Carlito"/>
    </x:font>
    <x:font>
      <x:b/>
      <x:sz val="11"/>
      <x:color rgb="FFFFFFFF"/>
      <x:name val="Carlito"/>
    </x:font>
    <x:font>
      <x:b/>
      <x:sz val="11"/>
      <x:color rgb="FF176B72"/>
      <x:name val="Carlito"/>
    </x:font>
    <x:font>
      <x:b/>
      <x:sz val="18"/>
      <x:color rgb="FFFFFFFF"/>
      <x:name val="Carlito"/>
    </x:font>
    <x:font>
      <x:sz val="10"/>
      <x:color rgb="FF223446"/>
      <x:name val="Carlito"/>
    </x:font>
    <x:font>
      <x:b/>
      <x:sz val="10"/>
      <x:color rgb="FFFFFFFF"/>
      <x:name val="Aptos"/>
    </x:font>
    <x:font>
      <x:sz val="10"/>
      <x:color rgb="FF18344E"/>
      <x:name val="Aptos"/>
    </x:font>
    <x:font>
      <x:sz val="9"/>
      <x:color rgb="FF17627A"/>
      <x:name val="Aptos"/>
    </x:font>
    <x:font>
      <x:b/>
      <x:sz val="20"/>
      <x:color rgb="FFFFFFFF"/>
      <x:name val="Aptos"/>
    </x:font>
    <x:font>
      <x:b/>
      <x:sz val="11"/>
      <x:color rgb="FF18344E"/>
      <x:name val="Aptos"/>
    </x:font>
    <x:font>
      <x:sz val="11"/>
      <x:color rgb="FF18344E"/>
      <x:name val="Aptos"/>
    </x:font>
    <x:font>
      <x:b/>
      <x:sz val="23"/>
      <x:color rgb="FFFFFFFF"/>
      <x:name val="Aptos"/>
    </x:font>
    <x:font>
      <x:sz val="11"/>
      <x:color rgb="FF18344E"/>
      <x:name val="Aptos"/>
    </x:font>
    <x:font>
      <x:b/>
      <x:sz val="30"/>
      <x:color rgb="FF18344E"/>
      <x:name val="Aptos"/>
    </x:font>
    <x:font>
      <x:b/>
      <x:sz val="11"/>
      <x:color rgb="FFFFFFFF"/>
      <x:name val="Aptos"/>
    </x:font>
    <x:font>
      <x:sz val="10"/>
      <x:color rgb="FF18344E"/>
      <x:name val="Aptos"/>
    </x:font>
    <x:font>
      <x:b/>
      <x:sz val="12"/>
      <x:color rgb="FF1B6D75"/>
      <x:name val="Aptos"/>
    </x:font>
    <x:font>
      <x:b/>
      <x:sz val="10"/>
      <x:color rgb="FF18344E"/>
      <x:name val="Aptos"/>
    </x:font>
  </x:fonts>
  <x:fills count="12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4"/>
      </x:patternFill>
    </x:fill>
    <x:fill>
      <x:patternFill patternType="solid">
        <x:fgColor rgb="FF176B72"/>
      </x:patternFill>
    </x:fill>
    <x:fill>
      <x:patternFill patternType="solid">
        <x:fgColor rgb="FFFFF2D6"/>
      </x:patternFill>
    </x:fill>
    <x:fill>
      <x:patternFill patternType="solid">
        <x:fgColor rgb="FF1B6D75"/>
      </x:patternFill>
    </x:fill>
    <x:fill>
      <x:patternFill patternType="solid">
        <x:fgColor rgb="FFF3F7FA"/>
      </x:patternFill>
    </x:fill>
    <x:fill>
      <x:patternFill patternType="solid">
        <x:fgColor rgb="FF18344E"/>
      </x:patternFill>
    </x:fill>
    <x:fill>
      <x:patternFill patternType="solid">
        <x:fgColor rgb="FFEAF2F6"/>
      </x:patternFill>
    </x:fill>
    <x:fill>
      <x:patternFill patternType="solid">
        <x:fgColor rgb="FFFFFFFF"/>
      </x:patternFill>
    </x:fill>
    <x:fill>
      <x:patternFill patternType="solid">
        <x:fgColor rgb="FFFFF2D5"/>
      </x:patternFill>
    </x:fill>
  </x:fills>
  <x:borders count="2">
    <x:border/>
    <x:border/>
  </x:borders>
  <x:cellStyleXfs count="1">
    <x:xf numFmtId="0" fontId="0" fillId="0" borderId="0"/>
  </x:cellStyleXfs>
  <x:cellXfs count="12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3" fillId="4" borderId="0" xfId="0" applyNumberFormat="1" applyFont="1" applyFill="1" applyBorder="1"/>
    <x:xf numFmtId="0" fontId="1" fillId="4" borderId="1" xfId="0" applyNumberFormat="1" applyFont="1" applyFill="1" applyBorder="1"/>
    <x:xf numFmtId="0" fontId="3" fillId="4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horizontal="center"/>
    </x:xf>
    <x:xf numFmtId="0" fontId="4" fillId="3" borderId="1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8" fillId="2" borderId="1" xfId="0" applyNumberFormat="1" applyFont="1" applyFill="1" applyBorder="1"/>
    <x:xf numFmtId="0" fontId="8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vertical="top" wrapText="1"/>
    </x:xf>
    <x:xf numFmtId="0" fontId="9" fillId="0" borderId="1" xfId="0" applyNumberFormat="1" applyFont="1" applyFill="1" applyBorder="1"/>
    <x:xf numFmtId="0" fontId="9" fillId="0" borderId="1" xfId="0" applyNumberFormat="1" applyFont="1" applyFill="1" applyBorder="1" applyAlignment="1">
      <x:alignment wrapText="1"/>
    </x:xf>
    <x:xf numFmtId="0" fontId="9" fillId="0" borderId="1" xfId="0" applyNumberFormat="1" applyFont="1" applyFill="1" applyBorder="1" applyAlignment="1">
      <x:alignment vertical="top" wrapText="1"/>
    </x:xf>
    <x:xf numFmtId="0" fontId="9" fillId="5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3" fillId="6" borderId="0" xfId="0" applyNumberFormat="1" applyFont="1" applyFill="1" applyBorder="1" applyAlignment="1">
      <x:alignment vertical="center" wrapText="1"/>
    </x:xf>
    <x:xf numFmtId="0" fontId="10" fillId="6" borderId="0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 applyAlignment="1">
      <x:alignment vertical="top" wrapText="1"/>
    </x:xf>
    <x:xf numFmtId="0" fontId="12" fillId="0" borderId="0" xfId="0" applyNumberFormat="1" applyFont="1" applyFill="1" applyBorder="1" applyAlignment="1">
      <x:alignment vertical="top" wrapText="1"/>
    </x:xf>
    <x:xf numFmtId="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vertical="top"/>
    </x:xf>
    <x:xf numFmtId="0" fontId="11" fillId="7" borderId="0" xfId="0" applyNumberFormat="1" applyFont="1" applyFill="1" applyBorder="1" applyAlignment="1">
      <x:alignment vertical="top" wrapText="1"/>
    </x:xf>
    <x:xf numFmtId="0" fontId="12" fillId="7" borderId="0" xfId="0" applyNumberFormat="1" applyFont="1" applyFill="1" applyBorder="1" applyAlignment="1">
      <x:alignment vertical="top" wrapText="1"/>
    </x:xf>
    <x:xf numFmtId="0" fontId="11" fillId="5" borderId="0" xfId="0" applyNumberFormat="1" applyFont="1" applyFill="1" applyBorder="1" applyAlignment="1">
      <x:alignment vertical="top" wrapText="1"/>
    </x:xf>
    <x:xf numFmtId="0" fontId="12" fillId="5" borderId="0" xfId="0" applyNumberFormat="1" applyFont="1" applyFill="1" applyBorder="1" applyAlignment="1">
      <x:alignment vertical="top" wrapText="1"/>
    </x:xf>
    <x:xf numFmtId="0" fontId="11" fillId="8" borderId="0" xfId="0" applyNumberFormat="1" applyFont="1" applyFill="1" applyBorder="1"/>
    <x:xf numFmtId="0" fontId="13" fillId="8" borderId="0" xfId="0" applyNumberFormat="1" applyFont="1" applyFill="1" applyBorder="1"/>
    <x:xf numFmtId="0" fontId="13" fillId="8" borderId="0" xfId="0" applyNumberFormat="1" applyFont="1" applyFill="1" applyBorder="1" applyAlignment="1">
      <x:alignment vertical="center"/>
    </x:xf>
    <x:xf numFmtId="0" fontId="11" fillId="9" borderId="0" xfId="0" applyNumberFormat="1" applyFont="1" applyFill="1" applyBorder="1"/>
    <x:xf numFmtId="0" fontId="11" fillId="9" borderId="0" xfId="0" applyNumberFormat="1" applyFont="1" applyFill="1" applyBorder="1" applyAlignment="1">
      <x:alignment wrapText="1"/>
    </x:xf>
    <x:xf numFmtId="0" fontId="11" fillId="9" borderId="0" xfId="0" applyNumberFormat="1" applyFont="1" applyFill="1" applyBorder="1" applyAlignment="1">
      <x:alignment vertical="center" wrapText="1"/>
    </x:xf>
    <x:xf numFmtId="0" fontId="11" fillId="6" borderId="0" xfId="0" applyNumberFormat="1" applyFont="1" applyFill="1" applyBorder="1"/>
    <x:xf numFmtId="0" fontId="10" fillId="6" borderId="0" xfId="0" applyNumberFormat="1" applyFont="1" applyFill="1" applyBorder="1"/>
    <x:xf numFmtId="0" fontId="10" fillId="6" borderId="0" xfId="0" applyNumberFormat="1" applyFont="1" applyFill="1" applyBorder="1" applyAlignment="1">
      <x:alignment wrapText="1"/>
    </x:xf>
    <x:xf numFmtId="0" fontId="2" fillId="10" borderId="0" xfId="0" applyNumberFormat="1" applyFont="1" applyFill="1" applyBorder="1" applyAlignment="1">
      <x:alignment vertical="center"/>
    </x:xf>
    <x:xf numFmtId="0" fontId="1" fillId="10" borderId="0" xfId="0" applyNumberFormat="1" applyFont="1" applyFill="1" applyBorder="1" applyAlignment="1">
      <x:alignment vertical="center" wrapText="1"/>
    </x:xf>
    <x:xf numFmtId="0" fontId="1" fillId="10" borderId="0" xfId="0" applyNumberFormat="1" applyFont="1" applyFill="1" applyBorder="1"/>
    <x:xf numFmtId="0" fontId="3" fillId="10" borderId="0" xfId="0" applyNumberFormat="1" applyFont="1" applyFill="1" applyBorder="1"/>
    <x:xf numFmtId="0" fontId="4" fillId="10" borderId="0" xfId="0" applyNumberFormat="1" applyFont="1" applyFill="1" applyBorder="1" applyAlignment="1">
      <x:alignment horizontal="center" vertical="center"/>
    </x:xf>
    <x:xf numFmtId="0" fontId="5" fillId="10" borderId="0" xfId="0" applyNumberFormat="1" applyFont="1" applyFill="1" applyBorder="1" applyAlignment="1">
      <x:alignment vertical="center" wrapText="1"/>
    </x:xf>
    <x:xf numFmtId="0" fontId="6" fillId="10" borderId="0" xfId="0" applyNumberFormat="1" applyFont="1" applyFill="1" applyBorder="1"/>
    <x:xf numFmtId="0" fontId="7" fillId="10" borderId="0" xfId="0" applyNumberFormat="1" applyFont="1" applyFill="1" applyBorder="1"/>
    <x:xf numFmtId="0" fontId="0" fillId="10" borderId="0" xfId="0" applyNumberFormat="1" applyFont="1" applyFill="1" applyBorder="1"/>
    <x:xf numFmtId="0" fontId="14" fillId="10" borderId="0" xfId="0" applyNumberFormat="1" applyFont="1" applyFill="1" applyBorder="1" applyAlignment="1">
      <x:alignment vertical="center"/>
    </x:xf>
    <x:xf numFmtId="0" fontId="15" fillId="10" borderId="0" xfId="0" applyNumberFormat="1" applyFont="1" applyFill="1" applyBorder="1" applyAlignment="1">
      <x:alignment vertical="center" wrapText="1"/>
    </x:xf>
    <x:xf numFmtId="0" fontId="15" fillId="10" borderId="0" xfId="0" applyNumberFormat="1" applyFont="1" applyFill="1" applyBorder="1"/>
    <x:xf numFmtId="0" fontId="14" fillId="10" borderId="0" xfId="0" applyNumberFormat="1" applyFont="1" applyFill="1" applyBorder="1"/>
    <x:xf numFmtId="0" fontId="14" fillId="10" borderId="0" xfId="0" applyNumberFormat="1" applyFont="1" applyFill="1" applyBorder="1" applyAlignment="1">
      <x:alignment horizontal="center" vertical="center"/>
    </x:xf>
    <x:xf numFmtId="0" fontId="14" fillId="10" borderId="0" xfId="0" applyNumberFormat="1" applyFont="1" applyFill="1" applyBorder="1" applyAlignment="1">
      <x:alignment vertical="center" wrapText="1"/>
    </x:xf>
    <x:xf numFmtId="0" fontId="15" fillId="10" borderId="0" xfId="0" applyNumberFormat="1" applyFont="1" applyFill="1" applyBorder="1" applyAlignment="1">
      <x:alignment wrapText="1"/>
    </x:xf>
    <x:xf numFmtId="0" fontId="14" fillId="10" borderId="0" xfId="0" applyNumberFormat="1" applyFont="1" applyFill="1" applyBorder="1" applyAlignment="1">
      <x:alignment wrapText="1"/>
    </x:xf>
    <x:xf numFmtId="0" fontId="14" fillId="10" borderId="0" xfId="0" applyNumberFormat="1" applyFont="1" applyFill="1" applyBorder="1" applyAlignment="1">
      <x:alignment horizontal="center" vertical="center" wrapText="1"/>
    </x:xf>
    <x:xf numFmtId="0" fontId="14" fillId="8" borderId="0" xfId="0" applyNumberFormat="1" applyFont="1" applyFill="1" applyBorder="1" applyAlignment="1">
      <x:alignment vertical="center" wrapText="1"/>
    </x:xf>
    <x:xf numFmtId="0" fontId="16" fillId="8" borderId="0" xfId="0" applyNumberFormat="1" applyFont="1" applyFill="1" applyBorder="1" applyAlignment="1">
      <x:alignment vertical="center" wrapText="1"/>
    </x:xf>
    <x:xf numFmtId="0" fontId="16" fillId="8" borderId="0" xfId="0" applyNumberFormat="1" applyFont="1" applyFill="1" applyBorder="1" applyAlignment="1">
      <x:alignment horizontal="left" vertical="center" wrapText="1"/>
    </x:xf>
    <x:xf numFmtId="0" fontId="15" fillId="9" borderId="0" xfId="0" applyNumberFormat="1" applyFont="1" applyFill="1" applyBorder="1" applyAlignment="1">
      <x:alignment vertical="center" wrapText="1"/>
    </x:xf>
    <x:xf numFmtId="0" fontId="17" fillId="9" borderId="0" xfId="0" applyNumberFormat="1" applyFont="1" applyFill="1" applyBorder="1" applyAlignment="1">
      <x:alignment vertical="center" wrapText="1"/>
    </x:xf>
    <x:xf numFmtId="0" fontId="17" fillId="9" borderId="0" xfId="0" applyNumberFormat="1" applyFont="1" applyFill="1" applyBorder="1" applyAlignment="1">
      <x:alignment horizontal="left" vertical="center" wrapText="1"/>
    </x:xf>
    <x:xf numFmtId="0" fontId="14" fillId="6" borderId="0" xfId="0" applyNumberFormat="1" applyFont="1" applyFill="1" applyBorder="1" applyAlignment="1">
      <x:alignment vertical="center" wrapText="1"/>
    </x:xf>
    <x:xf numFmtId="0" fontId="10" fillId="6" borderId="0" xfId="0" applyNumberFormat="1" applyFont="1" applyFill="1" applyBorder="1" applyAlignment="1">
      <x:alignment horizontal="left" vertical="center" wrapText="1"/>
    </x:xf>
    <x:xf numFmtId="0" fontId="14" fillId="9" borderId="0" xfId="0" applyNumberFormat="1" applyFont="1" applyFill="1" applyBorder="1" applyAlignment="1">
      <x:alignment horizontal="center" vertical="center" wrapText="1"/>
    </x:xf>
    <x:xf numFmtId="0" fontId="18" fillId="9" borderId="0" xfId="0" applyNumberFormat="1" applyFont="1" applyFill="1" applyBorder="1" applyAlignment="1">
      <x:alignment horizontal="center" vertical="center" wrapText="1"/>
    </x:xf>
    <x:xf numFmtId="0" fontId="14" fillId="11" borderId="0" xfId="0" applyNumberFormat="1" applyFont="1" applyFill="1" applyBorder="1" applyAlignment="1">
      <x:alignment vertical="center" wrapText="1"/>
    </x:xf>
    <x:xf numFmtId="0" fontId="14" fillId="11" borderId="0" xfId="0" applyNumberFormat="1" applyFont="1" applyFill="1" applyBorder="1" applyAlignment="1">
      <x:alignment horizontal="left" vertical="center" wrapText="1"/>
    </x:xf>
    <x:xf numFmtId="0" fontId="19" fillId="8" borderId="0" xfId="0" applyNumberFormat="1" applyFont="1" applyFill="1" applyBorder="1" applyAlignment="1">
      <x:alignment vertical="center" wrapText="1"/>
    </x:xf>
    <x:xf numFmtId="0" fontId="19" fillId="8" borderId="0" xfId="0" applyNumberFormat="1" applyFont="1" applyFill="1" applyBorder="1" applyAlignment="1">
      <x:alignment horizontal="left" vertical="center" wrapText="1"/>
    </x:xf>
    <x:xf numFmtId="0" fontId="20" fillId="10" borderId="0" xfId="0" applyNumberFormat="1" applyFont="1" applyFill="1" applyBorder="1" applyAlignment="1">
      <x:alignment vertical="center" wrapText="1"/>
    </x:xf>
    <x:xf numFmtId="0" fontId="20" fillId="10" borderId="0" xfId="0" applyNumberFormat="1" applyFont="1" applyFill="1" applyBorder="1" applyAlignment="1">
      <x:alignment horizontal="left" vertical="center" wrapText="1"/>
    </x:xf>
    <x:xf numFmtId="0" fontId="21" fillId="10" borderId="0" xfId="0" applyNumberFormat="1" applyFont="1" applyFill="1" applyBorder="1" applyAlignment="1">
      <x:alignment vertical="center" wrapText="1"/>
    </x:xf>
    <x:xf numFmtId="0" fontId="21" fillId="10" borderId="0" xfId="0" applyNumberFormat="1" applyFont="1" applyFill="1" applyBorder="1" applyAlignment="1">
      <x:alignment horizontal="right" vertical="center" wrapText="1"/>
    </x:xf>
    <x:xf numFmtId="0" fontId="20" fillId="9" borderId="0" xfId="0" applyNumberFormat="1" applyFont="1" applyFill="1" applyBorder="1" applyAlignment="1">
      <x:alignment vertical="center" wrapText="1"/>
    </x:xf>
    <x:xf numFmtId="0" fontId="20" fillId="9" borderId="0" xfId="0" applyNumberFormat="1" applyFont="1" applyFill="1" applyBorder="1" applyAlignment="1">
      <x:alignment horizontal="left" vertical="center" wrapText="1"/>
    </x:xf>
    <x:xf numFmtId="0" fontId="21" fillId="9" borderId="0" xfId="0" applyNumberFormat="1" applyFont="1" applyFill="1" applyBorder="1" applyAlignment="1">
      <x:alignment vertical="center" wrapText="1"/>
    </x:xf>
    <x:xf numFmtId="0" fontId="21" fillId="9" borderId="0" xfId="0" applyNumberFormat="1" applyFont="1" applyFill="1" applyBorder="1" applyAlignment="1">
      <x:alignment horizontal="center" vertical="center" wrapText="1"/>
    </x:xf>
    <x:xf numFmtId="0" fontId="22" fillId="9" borderId="0" xfId="0" applyNumberFormat="1" applyFont="1" applyFill="1" applyBorder="1" applyAlignment="1">
      <x:alignment vertical="center" wrapText="1"/>
    </x:xf>
    <x:xf numFmtId="0" fontId="22" fillId="9" borderId="0" xfId="0" applyNumberFormat="1" applyFont="1" applyFill="1" applyBorder="1" applyAlignment="1">
      <x:alignment horizontal="left" vertical="center" wrapText="1"/>
    </x:xf>
    <x:xf numFmtId="0" fontId="15" fillId="11" borderId="0" xfId="0" applyNumberFormat="1" applyFont="1" applyFill="1" applyBorder="1" applyAlignment="1">
      <x:alignment vertical="center" wrapText="1"/>
    </x:xf>
    <x:xf numFmtId="0" fontId="22" fillId="11" borderId="0" xfId="0" applyNumberFormat="1" applyFont="1" applyFill="1" applyBorder="1" applyAlignment="1">
      <x:alignment vertical="center" wrapText="1"/>
    </x:xf>
    <x:xf numFmtId="0" fontId="22" fillId="11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3">
    <x:dxf>
      <x:fill>
        <x:patternFill>
          <x:bgColor rgb="FFFFF2D6"/>
        </x:patternFill>
      </x:fill>
    </x:dxf>
    <x:dxf>
      <x:fill>
        <x:patternFill>
          <x:bgColor rgb="FFE2F0E9"/>
        </x:patternFill>
      </x:fill>
    </x:dxf>
    <x:dxf>
      <x:fill>
        <x:patternFill>
          <x:bgColor rgb="FFFFF2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1d74206606455c" /><Relationship Type="http://schemas.openxmlformats.org/officeDocument/2006/relationships/theme" Target="/xl/theme/theme1.xml" Id="Ra06e52de22fc4ca3" /><Relationship Type="http://schemas.openxmlformats.org/officeDocument/2006/relationships/sharedStrings" Target="/xl/sharedStrings.xml" Id="R6dd80ce64aae4074" /><Relationship Type="http://schemas.openxmlformats.org/officeDocument/2006/relationships/worksheet" Target="/xl/worksheets/sheet1.xml" Id="R525b3b75f2824fb6" /><Relationship Type="http://schemas.openxmlformats.org/officeDocument/2006/relationships/worksheet" Target="/xl/worksheets/sheet2.xml" Id="R95abedd0cb3b4288" /><Relationship Type="http://schemas.openxmlformats.org/officeDocument/2006/relationships/worksheet" Target="/xl/worksheets/sheet3.xml" Id="R3e23ec5fc0fe4502" /><Relationship Type="http://schemas.openxmlformats.org/officeDocument/2006/relationships/worksheet" Target="/xl/worksheets/sheet4.xml" Id="R62a684ff7797461a" /><Relationship Type="http://schemas.openxmlformats.org/officeDocument/2006/relationships/worksheet" Target="/xl/worksheets/sheet5.xml" Id="R542aa6450022445c" /><Relationship Type="http://schemas.openxmlformats.org/officeDocument/2006/relationships/worksheet" Target="/xl/worksheets/sheet6.xml" Id="R9ba950afa77c4fbe" /><Relationship Type="http://schemas.openxmlformats.org/officeDocument/2006/relationships/worksheet" Target="/xl/worksheets/sheet7.xml" Id="R9eccba548ad44ffe" /><Relationship Type="http://schemas.openxmlformats.org/officeDocument/2006/relationships/worksheet" Target="/xl/worksheets/sheet8.xml" Id="R1868b2f7591a4e4a" /><Relationship Type="http://schemas.openxmlformats.org/officeDocument/2006/relationships/worksheet" Target="/xl/worksheets/sheet9.xml" Id="R04a26323ff324d6a" /><Relationship Type="http://schemas.openxmlformats.org/officeDocument/2006/relationships/worksheet" Target="/xl/worksheets/sheet10.xml" Id="R98c58a21880b453e" /><Relationship Type="http://schemas.openxmlformats.org/officeDocument/2006/relationships/worksheet" Target="/xl/worksheets/sheet11.xml" Id="Rd92463773f0948d1" /><Relationship Type="http://schemas.openxmlformats.org/officeDocument/2006/relationships/worksheet" Target="/xl/worksheets/sheet12.xml" Id="Re83d00bf13794200" /><Relationship Type="http://schemas.openxmlformats.org/officeDocument/2006/relationships/worksheet" Target="/xl/worksheets/sheet13.xml" Id="R236dc75fc1c34ca0" /></Relationships>
</file>

<file path=xl/tables/table1.xml><?xml version="1.0" encoding="utf-8"?>
<x:table xmlns:x="http://schemas.openxmlformats.org/spreadsheetml/2006/main" id="9" name="TSSCandidatesData" displayName="TSSCandidatesData" ref="A6:S176" headerRowCount="1" totalsRowCount="0" totalsRowShown="0">
  <x:tableColumns count="19">
    <x:tableColumn id="1" name="Record ID"/>
    <x:tableColumn id="2" name="Region"/>
    <x:tableColumn id="3" name="Candidate source label"/>
    <x:tableColumn id="4" name="Record type"/>
    <x:tableColumn id="5" name="Baseline status"/>
    <x:tableColumn id="6" name="VTS screening"/>
    <x:tableColumn id="7" name="Reporting screening"/>
    <x:tableColumn id="8" name="Related service IDs"/>
    <x:tableColumn id="9" name="Related reporting IDs"/>
    <x:tableColumn id="10" name="Grouping / reconciliation note"/>
    <x:tableColumn id="11" name="Source ID"/>
    <x:tableColumn id="12" name="Source URL"/>
    <x:tableColumn id="13" name="Source locator"/>
    <x:tableColumn id="14" name="Source limitation"/>
    <x:tableColumn id="15" name="Additional evidence IDs"/>
    <x:tableColumn id="16" name="Additional evidence URLs"/>
    <x:tableColumn id="17" name="Batch"/>
    <x:tableColumn id="18" name="Review stage"/>
    <x:tableColumn id="19" name="Last record check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0" name="VTSServicesData" displayName="VTSServicesData" ref="A6:L21" headerRowCount="1" totalsRowCount="0" totalsRowShown="0">
  <x:tableColumns count="12">
    <x:tableColumn id="1" name="Service ID"/>
    <x:tableColumn id="2" name="Service name"/>
    <x:tableColumn id="3" name="Area label"/>
    <x:tableColumn id="4" name="Authority / jurisdiction"/>
    <x:tableColumn id="5" name="Centre / sectors"/>
    <x:tableColumn id="6" name="Scope"/>
    <x:tableColumn id="7" name="Evidence status"/>
    <x:tableColumn id="8" name="Confirmed area count"/>
    <x:tableColumn id="9" name="Source IDs"/>
    <x:tableColumn id="10" name="Source URLs"/>
    <x:tableColumn id="11" name="Counting / review note"/>
    <x:tableColumn id="12" name="Accesse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1" name="ReportingSchemesData" displayName="ReportingSchemesData" ref="A6:K14" headerRowCount="1" totalsRowCount="0" totalsRowShown="0">
  <x:tableColumns count="11">
    <x:tableColumn id="1" name="Reporting ID"/>
    <x:tableColumn id="2" name="Scheme"/>
    <x:tableColumn id="3" name="Area label"/>
    <x:tableColumn id="4" name="Participation"/>
    <x:tableColumn id="5" name="Related service IDs"/>
    <x:tableColumn id="6" name="Scope"/>
    <x:tableColumn id="7" name="Evidence status"/>
    <x:tableColumn id="8" name="Source IDs"/>
    <x:tableColumn id="9" name="Source URLs"/>
    <x:tableColumn id="10" name="Counting / review note"/>
    <x:tableColumn id="11" name="Accesse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12" name="RelationshipsData" displayName="RelationshipsData" ref="A6:H50" headerRowCount="1" totalsRowCount="0" totalsRowShown="0">
  <x:tableColumns count="8">
    <x:tableColumn id="1" name="Link ID"/>
    <x:tableColumn id="2" name="From ID"/>
    <x:tableColumn id="3" name="To ID"/>
    <x:tableColumn id="4" name="Relationship"/>
    <x:tableColumn id="5" name="Evidence status"/>
    <x:tableColumn id="6" name="Source IDs"/>
    <x:tableColumn id="7" name="Source URLs"/>
    <x:tableColumn id="8" name="Limit / next check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13" name="SourcesData" displayName="SourcesData" ref="A6:H29" headerRowCount="1" totalsRowCount="0" totalsRowShown="0">
  <x:tableColumns count="8">
    <x:tableColumn id="1" name="Source ID"/>
    <x:tableColumn id="2" name="Title"/>
    <x:tableColumn id="3" name="Authority / origin"/>
    <x:tableColumn id="4" name="URL"/>
    <x:tableColumn id="5" name="Edition / date shown"/>
    <x:tableColumn id="6" name="Evidence class"/>
    <x:tableColumn id="7" name="Scope / limitation"/>
    <x:tableColumn id="8" name="Access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14" name="IssuesData" displayName="IssuesData" ref="A6:H23" headerRowCount="1" totalsRowCount="0" totalsRowShown="0">
  <x:tableColumns count="8">
    <x:tableColumn id="1" name="Issue ID"/>
    <x:tableColumn id="2" name="Priority"/>
    <x:tableColumn id="3" name="Category"/>
    <x:tableColumn id="4" name="Affected records"/>
    <x:tableColumn id="5" name="Status"/>
    <x:tableColumn id="6" name="Required action"/>
    <x:tableColumn id="7" name="Counting / research effect"/>
    <x:tableColumn id="8" name="Source ID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15" name="BatchesData" displayName="BatchesData" ref="A6:H40" headerRowCount="1" totalsRowCount="0" totalsRowShown="0">
  <x:tableColumns count="8">
    <x:tableColumn id="1" name="Batch"/>
    <x:tableColumn id="2" name="First record"/>
    <x:tableColumn id="3" name="Last record"/>
    <x:tableColumn id="4" name="Candidate rows"/>
    <x:tableColumn id="5" name="Identification started"/>
    <x:tableColumn id="6" name="Areas in batch"/>
    <x:tableColumn id="7" name="Status"/>
    <x:tableColumn id="8" name="Next actio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16" name="DefinitionsData" displayName="DefinitionsData" ref="A6:B30" headerRowCount="1" totalsRowCount="0" totalsRowShown="0">
  <x:tableColumns count="2">
    <x:tableColumn id="1" name="Rule"/>
    <x:tableColumn id="2" name="Definition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17" name="AuditFindingsData" displayName="AuditFindingsData" ref="A6:G23" headerRowCount="1" totalsRowCount="0" totalsRowShown="0">
  <x:tableColumns count="7">
    <x:tableColumn id="1" name="Audit ID"/>
    <x:tableColumn id="2" name="Check"/>
    <x:tableColumn id="3" name="Finding"/>
    <x:tableColumn id="4" name="Action / status"/>
    <x:tableColumn id="5" name="Source IDs"/>
    <x:tableColumn id="6" name="Source URLs"/>
    <x:tableColumn id="7" name="Residual limitation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8" name="TSSComponentsData" displayName="TSSComponentsData" ref="A6:J8" headerRowCount="1" totalsRowCount="0" totalsRowShown="0">
  <x:tableColumns count="10">
    <x:tableColumn id="1" name="Component ID"/>
    <x:tableColumn id="2" name="Parent record ID"/>
    <x:tableColumn id="3" name="Authority label"/>
    <x:tableColumn id="4" name="Associated VTS"/>
    <x:tableColumn id="5" name="Associated reporting scheme"/>
    <x:tableColumn id="6" name="Evidence status"/>
    <x:tableColumn id="7" name="Counting treatment"/>
    <x:tableColumn id="8" name="Source IDs"/>
    <x:tableColumn id="9" name="Source URLs"/>
    <x:tableColumn id="10" name="Remaining check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9" name="IDCrosswalkData" displayName="IDCrosswalkData" ref="A6:E211" headerRowCount="1" totalsRowCount="0" totalsRowShown="0">
  <x:tableColumns count="5">
    <x:tableColumn id="1" name="Original release"/>
    <x:tableColumn id="2" name="Entity"/>
    <x:tableColumn id="3" name="Old ID"/>
    <x:tableColumn id="4" name="Canonical ID"/>
    <x:tableColumn id="5" name="Disposition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20" name="LegacyLinksData" displayName="LegacyLinksData" ref="A6:K71" headerRowCount="1" totalsRowCount="0" totalsRowShown="0">
  <x:tableColumns count="11">
    <x:tableColumn id="1" name="Legacy link ID"/>
    <x:tableColumn id="2" name="Original from"/>
    <x:tableColumn id="3" name="Original to"/>
    <x:tableColumn id="4" name="Canonical from"/>
    <x:tableColumn id="5" name="Canonical to"/>
    <x:tableColumn id="6" name="Disposition"/>
    <x:tableColumn id="7" name="Current link ID"/>
    <x:tableColumn id="8" name="Current evidence status"/>
    <x:tableColumn id="9" name="Legacy source IDs"/>
    <x:tableColumn id="10" name="Legacy source URLs"/>
    <x:tableColumn id="11" name="Reconciliation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6a65cfa0d5c460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3e1803f1f78448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f480da212dc4cf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d5d8489d2c1409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b4932350a6c419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822ea80d87046f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6dc366025074c9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c9d254875954c1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98f78ceba19944f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6e9f79467396420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0c77149ced48492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dbdf90b670c3495a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21" customHeight="1">
      <x:c r="A1" s="103" t="str">
        <x:v>GLOBAL VTS | RECONCILED INVENTORY</x:v>
      </x:c>
      <x:c r="B1" s="103"/>
      <x:c r="C1" s="103"/>
      <x:c r="D1" s="103"/>
      <x:c r="E1" s="103"/>
      <x:c r="F1" s="103"/>
      <x:c r="G1" s="103"/>
      <x:c r="H1" s="103"/>
      <x:c r="I1" s="103"/>
      <x:c r="J1" s="103"/>
      <x:c r="K1" s="103"/>
      <x:c r="L1" s="103"/>
    </x:row>
    <x:row r="2" ht="21" customHeight="1">
      <x:c r="A2" s="103"/>
      <x:c r="B2" s="103"/>
      <x:c r="C2" s="103"/>
      <x:c r="D2" s="103"/>
      <x:c r="E2" s="103"/>
      <x:c r="F2" s="103"/>
      <x:c r="G2" s="103"/>
      <x:c r="H2" s="103"/>
      <x:c r="I2" s="103"/>
      <x:c r="J2" s="103"/>
      <x:c r="K2" s="103"/>
      <x:c r="L2" s="103"/>
    </x:row>
    <x:row r="3" ht="21" customHeight="1">
      <x:c r="A3" s="106" t="str">
        <x:v>Version 0.2 | 29 September 2026 | Supersedes both v0.1 workbooks. Research counts, not a verified worldwide census.</x:v>
      </x:c>
      <x:c r="B3" s="106"/>
      <x:c r="C3" s="106"/>
      <x:c r="D3" s="106"/>
      <x:c r="E3" s="106"/>
      <x:c r="F3" s="106"/>
      <x:c r="G3" s="106"/>
      <x:c r="H3" s="106"/>
      <x:c r="I3" s="106"/>
      <x:c r="J3" s="106"/>
      <x:c r="K3" s="106"/>
      <x:c r="L3" s="106"/>
    </x:row>
    <x:row r="4" ht="21" customHeight="1">
      <x:c r="A4" s="106"/>
      <x:c r="B4" s="106"/>
      <x:c r="C4" s="106"/>
      <x:c r="D4" s="106"/>
      <x:c r="E4" s="106"/>
      <x:c r="F4" s="106"/>
      <x:c r="G4" s="106"/>
      <x:c r="H4" s="106"/>
      <x:c r="I4" s="106"/>
      <x:c r="J4" s="106"/>
      <x:c r="K4" s="106"/>
      <x:c r="L4" s="106"/>
    </x:row>
    <x:row r="5" ht="21" customHeight="1">
      <x:c r="A5" s="93"/>
      <x:c r="B5" s="93"/>
      <x:c r="C5" s="93"/>
      <x:c r="D5" s="93"/>
      <x:c r="E5" s="93"/>
      <x:c r="F5" s="93"/>
      <x:c r="G5" s="93"/>
      <x:c r="H5" s="93"/>
      <x:c r="I5" s="93"/>
      <x:c r="J5" s="93"/>
      <x:c r="K5" s="93"/>
      <x:c r="L5" s="93"/>
    </x:row>
    <x:row r="6" ht="28" customHeight="1">
      <x:c r="A6" s="108" t="str">
        <x:v>TSS SOURCE ENTRIES</x:v>
      </x:c>
      <x:c r="B6" s="108"/>
      <x:c r="C6" s="108"/>
      <x:c r="D6" s="108"/>
      <x:c r="E6" s="108" t="str">
        <x:v>VTS SERVICE RECORDS</x:v>
      </x:c>
      <x:c r="F6" s="108"/>
      <x:c r="G6" s="108"/>
      <x:c r="H6" s="108"/>
      <x:c r="I6" s="108" t="str">
        <x:v>REPORTING SCHEME RECORDS</x:v>
      </x:c>
      <x:c r="J6" s="108"/>
      <x:c r="K6" s="108"/>
      <x:c r="L6" s="108"/>
    </x:row>
    <x:row r="7" ht="21" customHeight="1">
      <x:c r="A7" s="110" t="n">
        <x:f>COUNTA('TSS Candidates'!A7:A176)</x:f>
        <x:v>170</x:v>
      </x:c>
      <x:c r="B7" s="110"/>
      <x:c r="C7" s="110"/>
      <x:c r="D7" s="110"/>
      <x:c r="E7" s="110" t="n">
        <x:f>COUNTA('VTS Services'!A7:A21)</x:f>
        <x:v>15</x:v>
      </x:c>
      <x:c r="F7" s="110"/>
      <x:c r="G7" s="110"/>
      <x:c r="H7" s="110"/>
      <x:c r="I7" s="110" t="n">
        <x:f>COUNTA('Reporting Schemes'!A7:A14)</x:f>
        <x:v>8</x:v>
      </x:c>
      <x:c r="J7" s="110"/>
      <x:c r="K7" s="110"/>
      <x:c r="L7" s="110"/>
    </x:row>
    <x:row r="8" ht="21" customHeight="1">
      <x:c r="A8" s="110"/>
      <x:c r="B8" s="110"/>
      <x:c r="C8" s="110"/>
      <x:c r="D8" s="110"/>
      <x:c r="E8" s="110"/>
      <x:c r="F8" s="110"/>
      <x:c r="G8" s="110"/>
      <x:c r="H8" s="110"/>
      <x:c r="I8" s="110"/>
      <x:c r="J8" s="110"/>
      <x:c r="K8" s="110"/>
      <x:c r="L8" s="110"/>
    </x:row>
    <x:row r="9" ht="21" customHeight="1">
      <x:c r="A9" s="110"/>
      <x:c r="B9" s="110"/>
      <x:c r="C9" s="110"/>
      <x:c r="D9" s="110"/>
      <x:c r="E9" s="110"/>
      <x:c r="F9" s="110"/>
      <x:c r="G9" s="110"/>
      <x:c r="H9" s="110"/>
      <x:c r="I9" s="110"/>
      <x:c r="J9" s="110"/>
      <x:c r="K9" s="110"/>
      <x:c r="L9" s="110"/>
    </x:row>
    <x:row r="10" ht="21" customHeight="1">
      <x:c r="A10" s="93"/>
      <x:c r="B10" s="93"/>
      <x:c r="C10" s="93"/>
      <x:c r="D10" s="93"/>
      <x:c r="E10" s="93"/>
      <x:c r="F10" s="93"/>
      <x:c r="G10" s="93"/>
      <x:c r="H10" s="93"/>
      <x:c r="I10" s="93"/>
      <x:c r="J10" s="93"/>
      <x:c r="K10" s="93"/>
      <x:c r="L10" s="93"/>
    </x:row>
    <x:row r="11" ht="21" customHeight="1">
      <x:c r="A11" s="112" t="str">
        <x:v>DO NOT USE 170 AS THE WORLDWIDE TSS OR VTS TOTAL.
The official baseline and later amendments remain unreconciled. Component, area and publication counts are still undetermined.</x:v>
      </x:c>
      <x:c r="B11" s="112"/>
      <x:c r="C11" s="112"/>
      <x:c r="D11" s="112"/>
      <x:c r="E11" s="112"/>
      <x:c r="F11" s="112"/>
      <x:c r="G11" s="112"/>
      <x:c r="H11" s="112"/>
      <x:c r="I11" s="112"/>
      <x:c r="J11" s="112"/>
      <x:c r="K11" s="112"/>
      <x:c r="L11" s="112"/>
    </x:row>
    <x:row r="12" ht="21" customHeight="1">
      <x:c r="A12" s="112"/>
      <x:c r="B12" s="112"/>
      <x:c r="C12" s="112"/>
      <x:c r="D12" s="112"/>
      <x:c r="E12" s="112"/>
      <x:c r="F12" s="112"/>
      <x:c r="G12" s="112"/>
      <x:c r="H12" s="112"/>
      <x:c r="I12" s="112"/>
      <x:c r="J12" s="112"/>
      <x:c r="K12" s="112"/>
      <x:c r="L12" s="112"/>
    </x:row>
    <x:row r="13" ht="21" customHeight="1">
      <x:c r="A13" s="112"/>
      <x:c r="B13" s="112"/>
      <x:c r="C13" s="112"/>
      <x:c r="D13" s="112"/>
      <x:c r="E13" s="112"/>
      <x:c r="F13" s="112"/>
      <x:c r="G13" s="112"/>
      <x:c r="H13" s="112"/>
      <x:c r="I13" s="112"/>
      <x:c r="J13" s="112"/>
      <x:c r="K13" s="112"/>
      <x:c r="L13" s="112"/>
    </x:row>
    <x:row r="14" ht="21" customHeight="1">
      <x:c r="A14" s="93"/>
      <x:c r="B14" s="93"/>
      <x:c r="C14" s="93"/>
      <x:c r="D14" s="93"/>
      <x:c r="E14" s="93"/>
      <x:c r="F14" s="93"/>
      <x:c r="G14" s="93"/>
      <x:c r="H14" s="93"/>
      <x:c r="I14" s="93"/>
      <x:c r="J14" s="93"/>
      <x:c r="K14" s="93"/>
      <x:c r="L14" s="93"/>
    </x:row>
    <x:row r="15" ht="21" customHeight="1">
      <x:c r="A15" s="114" t="str">
        <x:v>RESEARCH PROGRESS</x:v>
      </x:c>
      <x:c r="B15" s="114"/>
      <x:c r="C15" s="114"/>
      <x:c r="D15" s="114"/>
      <x:c r="E15" s="114"/>
      <x:c r="F15" s="114"/>
      <x:c r="G15" s="114"/>
      <x:c r="H15" s="93"/>
      <x:c r="I15" s="114" t="str">
        <x:v>COUNTING CHECKS</x:v>
      </x:c>
      <x:c r="J15" s="114"/>
      <x:c r="K15" s="114"/>
      <x:c r="L15" s="114"/>
    </x:row>
    <x:row r="16" ht="26" customHeight="1">
      <x:c r="A16" s="116" t="str">
        <x:v>Identification screening started</x:v>
      </x:c>
      <x:c r="B16" s="116"/>
      <x:c r="C16" s="116"/>
      <x:c r="D16" s="116"/>
      <x:c r="E16" s="116"/>
      <x:c r="F16" s="116"/>
      <x:c r="G16" s="118" t="n">
        <x:f>COUNTA('TSS Candidates'!A7:A176)-COUNTIF('TSS Candidates'!R7:R176,"Candidate recorded")</x:f>
        <x:v>28</x:v>
      </x:c>
      <x:c r="H16" s="93"/>
      <x:c r="I16" s="120" t="str">
        <x:v>Mandatory schemes</x:v>
      </x:c>
      <x:c r="J16" s="120"/>
      <x:c r="K16" s="120"/>
      <x:c r="L16" s="122" t="n">
        <x:f>COUNTIF('Reporting Schemes'!D7:D14,"Mandatory for applicable vessels")</x:f>
        <x:v>7</x:v>
      </x:c>
    </x:row>
    <x:row r="17" ht="26" customHeight="1">
      <x:c r="A17" s="116" t="str">
        <x:v>Initial named associations evidenced</x:v>
      </x:c>
      <x:c r="B17" s="116"/>
      <x:c r="C17" s="116"/>
      <x:c r="D17" s="116"/>
      <x:c r="E17" s="116"/>
      <x:c r="F17" s="116"/>
      <x:c r="G17" s="118" t="n">
        <x:f>COUNTIF('TSS Candidates'!R7:R176,"Initial association evidenced")</x:f>
        <x:v>10</x:v>
      </x:c>
      <x:c r="H17" s="93"/>
      <x:c r="I17" s="120" t="str">
        <x:v>Voluntary schemes</x:v>
      </x:c>
      <x:c r="J17" s="120"/>
      <x:c r="K17" s="120"/>
      <x:c r="L17" s="122" t="n">
        <x:f>COUNTIF('Reporting Schemes'!D7:D14,"Voluntary")</x:f>
        <x:v>1</x:v>
      </x:c>
    </x:row>
    <x:row r="18" ht="26" customHeight="1">
      <x:c r="A18" s="116" t="str">
        <x:v>Source records not yet screened</x:v>
      </x:c>
      <x:c r="B18" s="116"/>
      <x:c r="C18" s="116"/>
      <x:c r="D18" s="116"/>
      <x:c r="E18" s="116"/>
      <x:c r="F18" s="116"/>
      <x:c r="G18" s="118" t="n">
        <x:f>COUNTIF('TSS Candidates'!R7:R176,"Candidate recorded")</x:f>
        <x:v>142</x:v>
      </x:c>
      <x:c r="H18" s="93"/>
      <x:c r="I18" s="120" t="str">
        <x:v>Non-additive TSS children</x:v>
      </x:c>
      <x:c r="J18" s="120"/>
      <x:c r="K18" s="120"/>
      <x:c r="L18" s="122" t="n">
        <x:f>COUNTA('TSS Components'!A7:A8)</x:f>
        <x:v>2</x:v>
      </x:c>
    </x:row>
    <x:row r="19" ht="26" customHeight="1">
      <x:c r="A19" s="116" t="str">
        <x:v>Fully audited operational records</x:v>
      </x:c>
      <x:c r="B19" s="116"/>
      <x:c r="C19" s="116"/>
      <x:c r="D19" s="116"/>
      <x:c r="E19" s="116"/>
      <x:c r="F19" s="116"/>
      <x:c r="G19" s="118" t="n">
        <x:f>COUNTIF('TSS Candidates'!R7:R176,"Fully audited")</x:f>
        <x:v>0</x:v>
      </x:c>
      <x:c r="H19" s="93"/>
      <x:c r="I19" s="93"/>
      <x:c r="J19" s="93"/>
      <x:c r="K19" s="93"/>
      <x:c r="L19" s="93"/>
    </x:row>
    <x:row r="20" ht="26" customHeight="1">
      <x:c r="A20" s="116" t="str">
        <x:v>Five-record research batches</x:v>
      </x:c>
      <x:c r="B20" s="116"/>
      <x:c r="C20" s="116"/>
      <x:c r="D20" s="116"/>
      <x:c r="E20" s="116"/>
      <x:c r="F20" s="116"/>
      <x:c r="G20" s="118" t="n">
        <x:f>COUNTA('Batches'!A7:A40)</x:f>
        <x:v>34</x:v>
      </x:c>
      <x:c r="H20" s="93"/>
      <x:c r="I20" s="124" t="str">
        <x:v>NOT YET DETERMINED
Worldwide TSS total
Distinct VTS areas
Guide entries and pages</x:v>
      </x:c>
      <x:c r="J20" s="124"/>
      <x:c r="K20" s="124"/>
      <x:c r="L20" s="124"/>
    </x:row>
    <x:row r="21" ht="26" customHeight="1">
      <x:c r="A21" s="116" t="str">
        <x:v>Open research issues</x:v>
      </x:c>
      <x:c r="B21" s="116"/>
      <x:c r="C21" s="116"/>
      <x:c r="D21" s="116"/>
      <x:c r="E21" s="116"/>
      <x:c r="F21" s="116"/>
      <x:c r="G21" s="118" t="n">
        <x:f>COUNTIF('Issues'!E7:E23,"Open")</x:f>
        <x:v>16</x:v>
      </x:c>
      <x:c r="H21" s="93"/>
      <x:c r="I21" s="124"/>
      <x:c r="J21" s="124"/>
      <x:c r="K21" s="124"/>
      <x:c r="L21" s="124"/>
    </x:row>
    <x:row r="22" ht="26" customHeight="1">
      <x:c r="A22" s="116" t="str">
        <x:v>Sources and source leads</x:v>
      </x:c>
      <x:c r="B22" s="116"/>
      <x:c r="C22" s="116"/>
      <x:c r="D22" s="116"/>
      <x:c r="E22" s="116"/>
      <x:c r="F22" s="116"/>
      <x:c r="G22" s="118" t="n">
        <x:f>COUNTA('Sources'!A7:A29)</x:f>
        <x:v>23</x:v>
      </x:c>
      <x:c r="H22" s="93"/>
      <x:c r="I22" s="124"/>
      <x:c r="J22" s="124"/>
      <x:c r="K22" s="124"/>
      <x:c r="L22" s="124"/>
    </x:row>
    <x:row r="23" ht="21" customHeight="1">
      <x:c r="A23" s="93"/>
      <x:c r="B23" s="93"/>
      <x:c r="C23" s="93"/>
      <x:c r="D23" s="93"/>
      <x:c r="E23" s="93"/>
      <x:c r="F23" s="93"/>
      <x:c r="G23" s="93"/>
      <x:c r="H23" s="93"/>
      <x:c r="I23" s="124"/>
      <x:c r="J23" s="124"/>
      <x:c r="K23" s="124"/>
      <x:c r="L23" s="124"/>
    </x:row>
    <x:row r="24" ht="21" customHeight="1">
      <x:c r="A24" s="93"/>
      <x:c r="B24" s="93"/>
      <x:c r="C24" s="93"/>
      <x:c r="D24" s="93"/>
      <x:c r="E24" s="93"/>
      <x:c r="F24" s="93"/>
      <x:c r="G24" s="93"/>
      <x:c r="H24" s="93"/>
      <x:c r="I24" s="93"/>
      <x:c r="J24" s="93"/>
      <x:c r="K24" s="93"/>
      <x:c r="L24" s="93"/>
    </x:row>
    <x:row r="25" ht="21" customHeight="1">
      <x:c r="A25" s="114" t="str">
        <x:v>AUDIT OUTCOME AND LIMITS</x:v>
      </x:c>
      <x:c r="B25" s="114"/>
      <x:c r="C25" s="114"/>
      <x:c r="D25" s="114"/>
      <x:c r="E25" s="114"/>
      <x:c r="F25" s="114"/>
      <x:c r="G25" s="114"/>
      <x:c r="H25" s="114"/>
      <x:c r="I25" s="114"/>
      <x:c r="J25" s="114"/>
      <x:c r="K25" s="114"/>
      <x:c r="L25" s="114"/>
    </x:row>
    <x:row r="26" ht="21" customHeight="1">
      <x:c r="A26" s="93"/>
      <x:c r="B26" s="93"/>
      <x:c r="C26" s="93"/>
      <x:c r="D26" s="93"/>
      <x:c r="E26" s="93"/>
      <x:c r="F26" s="93"/>
      <x:c r="G26" s="93"/>
      <x:c r="H26" s="93"/>
      <x:c r="I26" s="93"/>
      <x:c r="J26" s="93"/>
      <x:c r="K26" s="93"/>
      <x:c r="L26" s="93"/>
    </x:row>
    <x:row r="27" ht="21" customHeight="1">
      <x:c r="A27" s="120" t="str">
        <x:v>Reconciled both versions. Restored six US VTS records and voluntary OVMRS. Added the authority-identified Gdańsk VTS.</x:v>
      </x:c>
      <x:c r="B27" s="120"/>
      <x:c r="C27" s="120"/>
      <x:c r="D27" s="120"/>
      <x:c r="E27" s="120"/>
      <x:c r="F27" s="120"/>
      <x:c r="G27" s="120"/>
      <x:c r="H27" s="120"/>
      <x:c r="I27" s="120"/>
      <x:c r="J27" s="120"/>
      <x:c r="K27" s="120"/>
      <x:c r="L27" s="120"/>
    </x:row>
    <x:row r="28" ht="21" customHeight="1">
      <x:c r="A28" s="120"/>
      <x:c r="B28" s="120"/>
      <x:c r="C28" s="120"/>
      <x:c r="D28" s="120"/>
      <x:c r="E28" s="120"/>
      <x:c r="F28" s="120"/>
      <x:c r="G28" s="120"/>
      <x:c r="H28" s="120"/>
      <x:c r="I28" s="120"/>
      <x:c r="J28" s="120"/>
      <x:c r="K28" s="120"/>
      <x:c r="L28" s="120"/>
    </x:row>
    <x:row r="29" ht="21" customHeight="1">
      <x:c r="A29" s="120" t="str">
        <x:v>Both supplied candidate lists contain the same 170 labels. Exact-ID/name checks and CSV/ZIP consistency checks passed.</x:v>
      </x:c>
      <x:c r="B29" s="120"/>
      <x:c r="C29" s="120"/>
      <x:c r="D29" s="120"/>
      <x:c r="E29" s="120"/>
      <x:c r="F29" s="120"/>
      <x:c r="G29" s="120"/>
      <x:c r="H29" s="120"/>
      <x:c r="I29" s="120"/>
      <x:c r="J29" s="120"/>
      <x:c r="K29" s="120"/>
      <x:c r="L29" s="120"/>
    </x:row>
    <x:row r="30" ht="21" customHeight="1">
      <x:c r="A30" s="120"/>
      <x:c r="B30" s="120"/>
      <x:c r="C30" s="120"/>
      <x:c r="D30" s="120"/>
      <x:c r="E30" s="120"/>
      <x:c r="F30" s="120"/>
      <x:c r="G30" s="120"/>
      <x:c r="H30" s="120"/>
      <x:c r="I30" s="120"/>
      <x:c r="J30" s="120"/>
      <x:c r="K30" s="120"/>
      <x:c r="L30" s="120"/>
    </x:row>
    <x:row r="31" ht="21" customHeight="1">
      <x:c r="A31" s="120" t="str">
        <x:v>Authority evidence supports the retained service identities. Screening started includes proposed links, not only confirmed associations.</x:v>
      </x:c>
      <x:c r="B31" s="120"/>
      <x:c r="C31" s="120"/>
      <x:c r="D31" s="120"/>
      <x:c r="E31" s="120"/>
      <x:c r="F31" s="120"/>
      <x:c r="G31" s="120"/>
      <x:c r="H31" s="120"/>
      <x:c r="I31" s="120"/>
      <x:c r="J31" s="120"/>
      <x:c r="K31" s="120"/>
      <x:c r="L31" s="120"/>
    </x:row>
    <x:row r="32" ht="21" customHeight="1">
      <x:c r="A32" s="120"/>
      <x:c r="B32" s="120"/>
      <x:c r="C32" s="120"/>
      <x:c r="D32" s="120"/>
      <x:c r="E32" s="120"/>
      <x:c r="F32" s="120"/>
      <x:c r="G32" s="120"/>
      <x:c r="H32" s="120"/>
      <x:c r="I32" s="120"/>
      <x:c r="J32" s="120"/>
      <x:c r="K32" s="120"/>
      <x:c r="L32" s="120"/>
    </x:row>
    <x:row r="33" ht="21" customHeight="1">
      <x:c r="A33" s="120" t="str">
        <x:v>Gdańsk East/West are two child records within one parent heading. STRAITREP component links remain separately controlled.</x:v>
      </x:c>
      <x:c r="B33" s="120"/>
      <x:c r="C33" s="120"/>
      <x:c r="D33" s="120"/>
      <x:c r="E33" s="120"/>
      <x:c r="F33" s="120"/>
      <x:c r="G33" s="120"/>
      <x:c r="H33" s="120"/>
      <x:c r="I33" s="120"/>
      <x:c r="J33" s="120"/>
      <x:c r="K33" s="120"/>
      <x:c r="L33" s="120"/>
    </x:row>
    <x:row r="34" ht="21" customHeight="1">
      <x:c r="A34" s="120"/>
      <x:c r="B34" s="120"/>
      <x:c r="C34" s="120"/>
      <x:c r="D34" s="120"/>
      <x:c r="E34" s="120"/>
      <x:c r="F34" s="120"/>
      <x:c r="G34" s="120"/>
      <x:c r="H34" s="120"/>
      <x:c r="I34" s="120"/>
      <x:c r="J34" s="120"/>
      <x:c r="K34" s="120"/>
      <x:c r="L34" s="120"/>
    </x:row>
    <x:row r="35" ht="21" customHeight="1">
      <x:c r="A35" s="120" t="str">
        <x:v>Use Audit Findings for corrections, ID Crosswalk for old identifiers, and Legacy Links for the earlier relationship assertions.</x:v>
      </x:c>
      <x:c r="B35" s="120"/>
      <x:c r="C35" s="120"/>
      <x:c r="D35" s="120"/>
      <x:c r="E35" s="120"/>
      <x:c r="F35" s="120"/>
      <x:c r="G35" s="120"/>
      <x:c r="H35" s="120"/>
      <x:c r="I35" s="120"/>
      <x:c r="J35" s="120"/>
      <x:c r="K35" s="120"/>
      <x:c r="L35" s="120"/>
    </x:row>
    <x:row r="36" ht="21" customHeight="1">
      <x:c r="A36" s="120"/>
      <x:c r="B36" s="120"/>
      <x:c r="C36" s="120"/>
      <x:c r="D36" s="120"/>
      <x:c r="E36" s="120"/>
      <x:c r="F36" s="120"/>
      <x:c r="G36" s="120"/>
      <x:c r="H36" s="120"/>
      <x:c r="I36" s="120"/>
      <x:c r="J36" s="120"/>
      <x:c r="K36" s="120"/>
      <x:c r="L36" s="120"/>
    </x:row>
    <x:row r="37" ht="21" customHeight="1">
      <x:c r="A37" s="127" t="str">
        <x:v>RESEARCH ONLY. No operational channels, reporting lines, coordinates or passage instructions are authorised by this workbook.</x:v>
      </x:c>
      <x:c r="B37" s="127"/>
      <x:c r="C37" s="127"/>
      <x:c r="D37" s="127"/>
      <x:c r="E37" s="127"/>
      <x:c r="F37" s="127"/>
      <x:c r="G37" s="127"/>
      <x:c r="H37" s="127"/>
      <x:c r="I37" s="127"/>
      <x:c r="J37" s="127"/>
      <x:c r="K37" s="127"/>
      <x:c r="L37" s="127"/>
    </x:row>
    <x:row r="38" ht="21" customHeight="1">
      <x:c r="A38" s="127"/>
      <x:c r="B38" s="127"/>
      <x:c r="C38" s="127"/>
      <x:c r="D38" s="127"/>
      <x:c r="E38" s="127"/>
      <x:c r="F38" s="127"/>
      <x:c r="G38" s="127"/>
      <x:c r="H38" s="127"/>
      <x:c r="I38" s="127"/>
      <x:c r="J38" s="127"/>
      <x:c r="K38" s="127"/>
      <x:c r="L38" s="127"/>
    </x:row>
    <x:row r="39" ht="21" customHeight="1">
      <x:c r="A39" s="93"/>
      <x:c r="B39" s="93"/>
      <x:c r="C39" s="93"/>
      <x:c r="D39" s="93"/>
      <x:c r="E39" s="93"/>
      <x:c r="F39" s="93"/>
      <x:c r="G39" s="93"/>
      <x:c r="H39" s="93"/>
      <x:c r="I39" s="93"/>
      <x:c r="J39" s="93"/>
      <x:c r="K39" s="93"/>
      <x:c r="L39" s="93"/>
    </x:row>
    <x:row r="40" ht="21" customHeight="1">
      <x:c r="A40" s="93"/>
      <x:c r="B40" s="93"/>
      <x:c r="C40" s="93"/>
      <x:c r="D40" s="93"/>
      <x:c r="E40" s="93"/>
      <x:c r="F40" s="93"/>
      <x:c r="G40" s="93"/>
      <x:c r="H40" s="93"/>
      <x:c r="I40" s="93"/>
      <x:c r="J40" s="93"/>
      <x:c r="K40" s="93"/>
      <x:c r="L40" s="93"/>
    </x:row>
    <x:row r="41" ht="21" customHeight="1">
      <x:c r="A41" s="93"/>
      <x:c r="B41" s="93"/>
      <x:c r="C41" s="93"/>
      <x:c r="D41" s="93"/>
      <x:c r="E41" s="93"/>
      <x:c r="F41" s="93"/>
      <x:c r="G41" s="93"/>
      <x:c r="H41" s="93"/>
      <x:c r="I41" s="93"/>
      <x:c r="J41" s="93"/>
      <x:c r="K41" s="93"/>
      <x:c r="L41" s="93"/>
    </x:row>
    <x:row r="42" ht="21" customHeight="1">
      <x:c r="A42" s="93"/>
      <x:c r="B42" s="93"/>
      <x:c r="C42" s="93"/>
      <x:c r="D42" s="93"/>
      <x:c r="E42" s="93"/>
      <x:c r="F42" s="93"/>
      <x:c r="G42" s="93"/>
      <x:c r="H42" s="93"/>
      <x:c r="I42" s="93"/>
      <x:c r="J42" s="93"/>
      <x:c r="K42" s="93"/>
      <x:c r="L42" s="93"/>
    </x:row>
    <x:row r="43" ht="21" customHeight="1">
      <x:c r="A43" s="93"/>
      <x:c r="B43" s="93"/>
      <x:c r="C43" s="93"/>
      <x:c r="D43" s="93"/>
      <x:c r="E43" s="93"/>
      <x:c r="F43" s="93"/>
      <x:c r="G43" s="93"/>
      <x:c r="H43" s="93"/>
      <x:c r="I43" s="93"/>
      <x:c r="J43" s="93"/>
      <x:c r="K43" s="93"/>
      <x:c r="L43" s="93"/>
    </x:row>
    <x:row r="44" ht="21" customHeight="1">
      <x:c r="A44" s="93"/>
      <x:c r="B44" s="93"/>
      <x:c r="C44" s="93"/>
      <x:c r="D44" s="93"/>
      <x:c r="E44" s="93"/>
      <x:c r="F44" s="93"/>
      <x:c r="G44" s="93"/>
      <x:c r="H44" s="93"/>
      <x:c r="I44" s="93"/>
      <x:c r="J44" s="93"/>
      <x:c r="K44" s="93"/>
      <x:c r="L44" s="93"/>
    </x:row>
    <x:row r="45" ht="21" customHeight="1">
      <x:c r="A45" s="93"/>
      <x:c r="B45" s="93"/>
      <x:c r="C45" s="93"/>
      <x:c r="D45" s="93"/>
      <x:c r="E45" s="93"/>
      <x:c r="F45" s="93"/>
      <x:c r="G45" s="93"/>
      <x:c r="H45" s="93"/>
      <x:c r="I45" s="93"/>
      <x:c r="J45" s="93"/>
      <x:c r="K45" s="93"/>
      <x:c r="L45" s="93"/>
    </x:row>
    <x:row r="46" ht="21" customHeight="1">
      <x:c r="A46" s="93"/>
      <x:c r="B46" s="93"/>
      <x:c r="C46" s="93"/>
      <x:c r="D46" s="93"/>
      <x:c r="E46" s="93"/>
      <x:c r="F46" s="93"/>
      <x:c r="G46" s="93"/>
      <x:c r="H46" s="93"/>
      <x:c r="I46" s="93"/>
      <x:c r="J46" s="93"/>
      <x:c r="K46" s="93"/>
      <x:c r="L46" s="93"/>
    </x:row>
    <x:row r="47" ht="21" customHeight="1">
      <x:c r="A47" s="93"/>
      <x:c r="B47" s="93"/>
      <x:c r="C47" s="93"/>
      <x:c r="D47" s="93"/>
      <x:c r="E47" s="93"/>
      <x:c r="F47" s="93"/>
      <x:c r="G47" s="93"/>
      <x:c r="H47" s="93"/>
      <x:c r="I47" s="93"/>
      <x:c r="J47" s="93"/>
      <x:c r="K47" s="93"/>
      <x:c r="L47" s="93"/>
    </x:row>
    <x:row r="48" ht="21" customHeight="1">
      <x:c r="A48" s="93"/>
      <x:c r="B48" s="93"/>
      <x:c r="C48" s="93"/>
      <x:c r="D48" s="93"/>
      <x:c r="E48" s="93"/>
      <x:c r="F48" s="93"/>
      <x:c r="G48" s="93"/>
      <x:c r="H48" s="93"/>
      <x:c r="I48" s="93"/>
      <x:c r="J48" s="93"/>
      <x:c r="K48" s="93"/>
      <x:c r="L48" s="93"/>
    </x:row>
    <x:row r="49" ht="21" customHeight="1">
      <x:c r="A49" s="93"/>
      <x:c r="B49" s="93"/>
      <x:c r="C49" s="93"/>
      <x:c r="D49" s="93"/>
      <x:c r="E49" s="93"/>
      <x:c r="F49" s="93"/>
      <x:c r="G49" s="93"/>
      <x:c r="H49" s="93"/>
      <x:c r="I49" s="93"/>
      <x:c r="J49" s="93"/>
      <x:c r="K49" s="93"/>
      <x:c r="L49" s="93"/>
    </x:row>
    <x:row r="50" ht="21" customHeight="1">
      <x:c r="A50" s="93"/>
      <x:c r="B50" s="93"/>
      <x:c r="C50" s="93"/>
      <x:c r="D50" s="93"/>
      <x:c r="E50" s="93"/>
      <x:c r="F50" s="93"/>
      <x:c r="G50" s="93"/>
      <x:c r="H50" s="93"/>
      <x:c r="I50" s="93"/>
      <x:c r="J50" s="93"/>
      <x:c r="K50" s="93"/>
      <x:c r="L50" s="93"/>
    </x:row>
  </x:sheetData>
  <x:mergeCells>
    <x:mergeCell ref="A1:L2"/>
    <x:mergeCell ref="A3:L4"/>
    <x:mergeCell ref="A6:D6"/>
    <x:mergeCell ref="E6:H6"/>
    <x:mergeCell ref="I6:L6"/>
    <x:mergeCell ref="A7:D9"/>
    <x:mergeCell ref="E7:H9"/>
    <x:mergeCell ref="I7:L9"/>
    <x:mergeCell ref="A11:L13"/>
    <x:mergeCell ref="A15:G15"/>
    <x:mergeCell ref="I15:L15"/>
    <x:mergeCell ref="A16:F16"/>
    <x:mergeCell ref="A17:F17"/>
    <x:mergeCell ref="A18:F18"/>
    <x:mergeCell ref="A19:F19"/>
    <x:mergeCell ref="A20:F20"/>
    <x:mergeCell ref="A21:F21"/>
    <x:mergeCell ref="A22:F22"/>
    <x:mergeCell ref="I16:K16"/>
    <x:mergeCell ref="I17:K17"/>
    <x:mergeCell ref="I18:K18"/>
    <x:mergeCell ref="I20:L23"/>
    <x:mergeCell ref="A25:L25"/>
    <x:mergeCell ref="A27:L28"/>
    <x:mergeCell ref="A29:L30"/>
    <x:mergeCell ref="A31:L32"/>
    <x:mergeCell ref="A33:L34"/>
    <x:mergeCell ref="A35:L36"/>
    <x:mergeCell ref="A37:L3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43" hidden="0" customWidth="1"/>
    <x:col min="4" max="4" width="28" hidden="0" customWidth="1"/>
    <x:col min="5" max="5" width="34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44" hidden="0" customWidth="1"/>
    <x:col min="11" max="11" width="13" hidden="0" customWidth="1"/>
    <x:col min="12" max="12" width="44" hidden="0" customWidth="1"/>
    <x:col min="13" max="13" width="43" hidden="0" customWidth="1"/>
    <x:col min="14" max="14" width="40" hidden="0" customWidth="1"/>
    <x:col min="15" max="15" width="28" hidden="0" customWidth="1"/>
    <x:col min="16" max="16" width="44" hidden="0" customWidth="1"/>
    <x:col min="17" max="17" width="10" hidden="0" customWidth="1"/>
    <x:col min="18" max="18" width="28" hidden="0" customWidth="1"/>
    <x:col min="19" max="19" width="27" hidden="0" customWidth="1"/>
  </x:cols>
  <x:sheetData>
    <x:row r="1" ht="23" customHeight="1">
      <x:c r="A1" s="44" t="str">
        <x:v>TSS CANDIDATE INVENTORY</x:v>
      </x:c>
      <x:c r="B1" s="44"/>
      <x:c r="C1" s="44"/>
      <x:c r="D1" s="44"/>
      <x:c r="E1" s="44"/>
      <x:c r="F1" s="44"/>
      <x:c r="G1" s="44"/>
      <x:c r="H1" s="44"/>
    </x:row>
    <x:row r="2" ht="23" customHeight="1">
      <x:c r="A2" s="44"/>
      <x:c r="B2" s="44"/>
      <x:c r="C2" s="44"/>
      <x:c r="D2" s="44"/>
      <x:c r="E2" s="44"/>
      <x:c r="F2" s="44"/>
      <x:c r="G2" s="44"/>
      <x:c r="H2" s="44"/>
    </x:row>
    <x:row r="3" ht="21" customHeight="1">
      <x:c r="A3" s="12" t="str">
        <x:v>Version 0.2 | 29 September 2026 | TSS Candidates. Reconciled register; see Audit Findings and Overview for limits.</x:v>
      </x:c>
      <x:c r="B3" s="12"/>
      <x:c r="C3" s="12"/>
      <x:c r="D3" s="12"/>
      <x:c r="E3" s="12"/>
      <x:c r="F3" s="12"/>
      <x:c r="G3" s="12"/>
      <x:c r="H3" s="12"/>
    </x:row>
    <x:row r="4" ht="21" customHeight="1">
      <x:c r="A4" s="12"/>
      <x:c r="B4" s="12"/>
      <x:c r="C4" s="12"/>
      <x:c r="D4" s="12"/>
      <x:c r="E4" s="12"/>
      <x:c r="F4" s="12"/>
      <x:c r="G4" s="12"/>
      <x:c r="H4" s="12"/>
    </x:row>
    <x:row r="6" ht="34" customHeight="1">
      <x:c r="A6" s="65" t="str">
        <x:v>Record ID</x:v>
      </x:c>
      <x:c r="B6" s="65" t="str">
        <x:v>Region</x:v>
      </x:c>
      <x:c r="C6" s="65" t="str">
        <x:v>Candidate source label</x:v>
      </x:c>
      <x:c r="D6" s="65" t="str">
        <x:v>Record type</x:v>
      </x:c>
      <x:c r="E6" s="65" t="str">
        <x:v>Baseline status</x:v>
      </x:c>
      <x:c r="F6" s="65" t="str">
        <x:v>VTS screening</x:v>
      </x:c>
      <x:c r="G6" s="65" t="str">
        <x:v>Reporting screening</x:v>
      </x:c>
      <x:c r="H6" s="65" t="str">
        <x:v>Related service IDs</x:v>
      </x:c>
      <x:c r="I6" s="65" t="str">
        <x:v>Related reporting IDs</x:v>
      </x:c>
      <x:c r="J6" s="65" t="str">
        <x:v>Grouping / reconciliation note</x:v>
      </x:c>
      <x:c r="K6" s="65" t="str">
        <x:v>Source ID</x:v>
      </x:c>
      <x:c r="L6" s="65" t="str">
        <x:v>Source URL</x:v>
      </x:c>
      <x:c r="M6" s="65" t="str">
        <x:v>Source locator</x:v>
      </x:c>
      <x:c r="N6" s="65" t="str">
        <x:v>Source limitation</x:v>
      </x:c>
      <x:c r="O6" s="65" t="str">
        <x:v>Additional evidence IDs</x:v>
      </x:c>
      <x:c r="P6" s="65" t="str">
        <x:v>Additional evidence URLs</x:v>
      </x:c>
      <x:c r="Q6" s="65" t="str">
        <x:v>Batch</x:v>
      </x:c>
      <x:c r="R6" s="65" t="str">
        <x:v>Review stage</x:v>
      </x:c>
      <x:c r="S6" s="65" t="str">
        <x:v>Last record check</x:v>
      </x:c>
    </x:row>
    <x:row r="7" ht="60" customHeight="1">
      <x:c r="A7" s="66" t="str">
        <x:v>TSS-0001</x:v>
      </x:c>
      <x:c r="B7" s="66" t="str">
        <x:v>British Isles and southern North Sea</x:v>
      </x:c>
      <x:c r="C7" s="66" t="str">
        <x:v>In the approaches to the River Humber</x:v>
      </x:c>
      <x:c r="D7" s="66" t="str">
        <x:v>Source entry; component check pending</x:v>
      </x:c>
      <x:c r="E7" s="66" t="str">
        <x:v>Provisional: official baseline reconciliation pending</x:v>
      </x:c>
      <x:c r="F7" s="66" t="str">
        <x:v>Not researched</x:v>
      </x:c>
      <x:c r="G7" s="66" t="str">
        <x:v>Not researched</x:v>
      </x:c>
      <x:c r="H7" s="66" t="str"/>
      <x:c r="I7" s="66" t="str"/>
      <x:c r="J7" s="66" t="str"/>
      <x:c r="K7" s="66" t="str">
        <x:v>SRC-001</x:v>
      </x:c>
      <x:c r="L7" s="67" t="str">
        <x:v>https://www.scribd.com/document/1014775753/1-1-IMO-Adopted-Traffic-Separation-Schemes-on-the-ADMIRALTY-Chart-Series</x:v>
      </x:c>
      <x:c r="M7" s="66" t="str">
        <x:v>Notice 17; scheme label: In the approaches to the River Humber</x:v>
      </x:c>
      <x:c r="N7" s="66" t="str">
        <x:v>UKHO-labelled document on third-party host; edition and currency unverified.</x:v>
      </x:c>
      <x:c r="O7" s="66" t="str"/>
      <x:c r="P7" s="67" t="str"/>
      <x:c r="Q7" s="66" t="str">
        <x:v>B01</x:v>
      </x:c>
      <x:c r="R7" s="66" t="str">
        <x:v>Candidate recorded</x:v>
      </x:c>
      <x:c r="S7" s="66" t="str">
        <x:v>Not established</x:v>
      </x:c>
    </x:row>
    <x:row r="8" ht="60" customHeight="1">
      <x:c r="A8" s="66" t="str">
        <x:v>TSS-0002</x:v>
      </x:c>
      <x:c r="B8" s="66" t="str">
        <x:v>British Isles and southern North Sea</x:v>
      </x:c>
      <x:c r="C8" s="66" t="str">
        <x:v>In the Sunk area and northern Approaches to the Thames Estuary</x:v>
      </x:c>
      <x:c r="D8" s="66" t="str">
        <x:v>Source entry; component check pending</x:v>
      </x:c>
      <x:c r="E8" s="66" t="str">
        <x:v>Provisional: official baseline reconciliation pending</x:v>
      </x:c>
      <x:c r="F8" s="66" t="str">
        <x:v>Not researched</x:v>
      </x:c>
      <x:c r="G8" s="66" t="str">
        <x:v>Not researched</x:v>
      </x:c>
      <x:c r="H8" s="66" t="str"/>
      <x:c r="I8" s="66" t="str"/>
      <x:c r="J8" s="66" t="str"/>
      <x:c r="K8" s="66" t="str">
        <x:v>SRC-001</x:v>
      </x:c>
      <x:c r="L8" s="67" t="str">
        <x:v>https://www.scribd.com/document/1014775753/1-1-IMO-Adopted-Traffic-Separation-Schemes-on-the-ADMIRALTY-Chart-Series</x:v>
      </x:c>
      <x:c r="M8" s="66" t="str">
        <x:v>Notice 17; scheme label: In the Sunk area and northern Approaches to the Thames Estuary</x:v>
      </x:c>
      <x:c r="N8" s="66" t="str">
        <x:v>UKHO-labelled document on third-party host; edition and currency unverified.</x:v>
      </x:c>
      <x:c r="O8" s="66" t="str"/>
      <x:c r="P8" s="67" t="str"/>
      <x:c r="Q8" s="66" t="str">
        <x:v>B01</x:v>
      </x:c>
      <x:c r="R8" s="66" t="str">
        <x:v>Candidate recorded</x:v>
      </x:c>
      <x:c r="S8" s="66" t="str">
        <x:v>Not established</x:v>
      </x:c>
    </x:row>
    <x:row r="9" ht="60" customHeight="1">
      <x:c r="A9" s="66" t="str">
        <x:v>TSS-0003</x:v>
      </x:c>
      <x:c r="B9" s="66" t="str">
        <x:v>British Isles and southern North Sea</x:v>
      </x:c>
      <x:c r="C9" s="66" t="str">
        <x:v>In the Approaches to Hook of Holland and at North Hinder</x:v>
      </x:c>
      <x:c r="D9" s="66" t="str">
        <x:v>Source entry; component check pending</x:v>
      </x:c>
      <x:c r="E9" s="66" t="str">
        <x:v>Provisional: official baseline reconciliation pending</x:v>
      </x:c>
      <x:c r="F9" s="66" t="str">
        <x:v>Not researched</x:v>
      </x:c>
      <x:c r="G9" s="66" t="str">
        <x:v>Not researched</x:v>
      </x:c>
      <x:c r="H9" s="66" t="str"/>
      <x:c r="I9" s="66" t="str"/>
      <x:c r="J9" s="66" t="str">
        <x:v>Combined label. Check whether separate scheme records are required.</x:v>
      </x:c>
      <x:c r="K9" s="66" t="str">
        <x:v>SRC-001</x:v>
      </x:c>
      <x:c r="L9" s="67" t="str">
        <x:v>https://www.scribd.com/document/1014775753/1-1-IMO-Adopted-Traffic-Separation-Schemes-on-the-ADMIRALTY-Chart-Series</x:v>
      </x:c>
      <x:c r="M9" s="66" t="str">
        <x:v>Notice 17; scheme label: In the Approaches to Hook of Holland and at North Hinder</x:v>
      </x:c>
      <x:c r="N9" s="66" t="str">
        <x:v>UKHO-labelled document on third-party host; edition and currency unverified.</x:v>
      </x:c>
      <x:c r="O9" s="66" t="str"/>
      <x:c r="P9" s="67" t="str"/>
      <x:c r="Q9" s="66" t="str">
        <x:v>B01</x:v>
      </x:c>
      <x:c r="R9" s="66" t="str">
        <x:v>Candidate recorded</x:v>
      </x:c>
      <x:c r="S9" s="66" t="str">
        <x:v>Not established</x:v>
      </x:c>
    </x:row>
    <x:row r="10" ht="60" customHeight="1">
      <x:c r="A10" s="66" t="str">
        <x:v>TSS-0004</x:v>
      </x:c>
      <x:c r="B10" s="66" t="str">
        <x:v>British Isles and southern North Sea</x:v>
      </x:c>
      <x:c r="C10" s="66" t="str">
        <x:v>At West Hinder</x:v>
      </x:c>
      <x:c r="D10" s="66" t="str">
        <x:v>Source entry; component check pending</x:v>
      </x:c>
      <x:c r="E10" s="66" t="str">
        <x:v>Provisional: official baseline reconciliation pending</x:v>
      </x:c>
      <x:c r="F10" s="66" t="str">
        <x:v>Not researched</x:v>
      </x:c>
      <x:c r="G10" s="66" t="str">
        <x:v>Not researched</x:v>
      </x:c>
      <x:c r="H10" s="66" t="str"/>
      <x:c r="I10" s="66" t="str"/>
      <x:c r="J10" s="66" t="str"/>
      <x:c r="K10" s="66" t="str">
        <x:v>SRC-001</x:v>
      </x:c>
      <x:c r="L10" s="67" t="str">
        <x:v>https://www.scribd.com/document/1014775753/1-1-IMO-Adopted-Traffic-Separation-Schemes-on-the-ADMIRALTY-Chart-Series</x:v>
      </x:c>
      <x:c r="M10" s="66" t="str">
        <x:v>Notice 17; scheme label: At West Hinder</x:v>
      </x:c>
      <x:c r="N10" s="66" t="str">
        <x:v>UKHO-labelled document on third-party host; edition and currency unverified.</x:v>
      </x:c>
      <x:c r="O10" s="66" t="str"/>
      <x:c r="P10" s="67" t="str"/>
      <x:c r="Q10" s="66" t="str">
        <x:v>B01</x:v>
      </x:c>
      <x:c r="R10" s="66" t="str">
        <x:v>Candidate recorded</x:v>
      </x:c>
      <x:c r="S10" s="66" t="str">
        <x:v>Not established</x:v>
      </x:c>
    </x:row>
    <x:row r="11" ht="160.5" customHeight="1">
      <x:c r="A11" s="66" t="str">
        <x:v>TSS-0005</x:v>
      </x:c>
      <x:c r="B11" s="66" t="str">
        <x:v>British Isles and southern North Sea</x:v>
      </x:c>
      <x:c r="C11" s="66" t="str">
        <x:v>In the Strait of Dover and adjacent waters</x:v>
      </x:c>
      <x:c r="D11" s="66" t="str">
        <x:v>Source entry; component check pending</x:v>
      </x:c>
      <x:c r="E11" s="66" t="str">
        <x:v>Provisional: official baseline reconciliation pending</x:v>
      </x:c>
      <x:c r="F11" s="66" t="str">
        <x:v>Authority evidence found</x:v>
      </x:c>
      <x:c r="G11" s="66" t="str">
        <x:v>Authority evidence found</x:v>
      </x:c>
      <x:c r="H11" s="66" t="str">
        <x:v>VTS-001</x:v>
      </x:c>
      <x:c r="I11" s="66" t="str">
        <x:v>SRS-001</x:v>
      </x:c>
      <x:c r="J11" s="66" t="str"/>
      <x:c r="K11" s="66" t="str">
        <x:v>SRC-001</x:v>
      </x:c>
      <x:c r="L11" s="67" t="str">
        <x:v>https://www.scribd.com/document/1014775753/1-1-IMO-Adopted-Traffic-Separation-Schemes-on-the-ADMIRALTY-Chart-Series</x:v>
      </x:c>
      <x:c r="M11" s="66" t="str">
        <x:v>Notice 17; scheme label: In the Strait of Dover and adjacent waters</x:v>
      </x:c>
      <x:c r="N11" s="66" t="str">
        <x:v>UKHO-labelled document on third-party host; edition and currency unverified.</x:v>
      </x:c>
      <x:c r="O11" s="66" t="str">
        <x:v>SRC-004; SRC-005</x:v>
      </x:c>
      <x:c r="P11" s="67" t="str">
        <x:v>https://www.gov.uk/government/publications/dover-strait-crossings-channel-navigation-information-service/dover-strait-crossings-channel-navigation-information-service-cnis
https://www.gov.uk/government/publications/mgn-364-mf-amendment-2-navigation-safety-traffic-separation-schemes-application-of-rule-10-and-navigation-in-the-dover-strait/mgn-364-mf-amendment-2-navigation-safety-traffic-separation-schemes-application-of-rule-10-and-navigation-in-the-dover-strait</x:v>
      </x:c>
      <x:c r="Q11" s="66" t="str">
        <x:v>B01</x:v>
      </x:c>
      <x:c r="R11" s="66" t="str">
        <x:v>Initial association evidenced</x:v>
      </x:c>
      <x:c r="S11" s="66" t="str">
        <x:v>Identification screening only</x:v>
      </x:c>
    </x:row>
    <x:row r="12" ht="60" customHeight="1">
      <x:c r="A12" s="66" t="str">
        <x:v>TSS-0006</x:v>
      </x:c>
      <x:c r="B12" s="66" t="str">
        <x:v>British Isles and southern North Sea</x:v>
      </x:c>
      <x:c r="C12" s="66" t="str">
        <x:v>Off Casquets</x:v>
      </x:c>
      <x:c r="D12" s="66" t="str">
        <x:v>Source entry; component check pending</x:v>
      </x:c>
      <x:c r="E12" s="66" t="str">
        <x:v>Provisional: official baseline reconciliation pending</x:v>
      </x:c>
      <x:c r="F12" s="66" t="str">
        <x:v>Not researched</x:v>
      </x:c>
      <x:c r="G12" s="66" t="str">
        <x:v>Not researched</x:v>
      </x:c>
      <x:c r="H12" s="66" t="str"/>
      <x:c r="I12" s="66" t="str"/>
      <x:c r="J12" s="66" t="str"/>
      <x:c r="K12" s="66" t="str">
        <x:v>SRC-001</x:v>
      </x:c>
      <x:c r="L12" s="67" t="str">
        <x:v>https://www.scribd.com/document/1014775753/1-1-IMO-Adopted-Traffic-Separation-Schemes-on-the-ADMIRALTY-Chart-Series</x:v>
      </x:c>
      <x:c r="M12" s="66" t="str">
        <x:v>Notice 17; scheme label: Off Casquets</x:v>
      </x:c>
      <x:c r="N12" s="66" t="str">
        <x:v>UKHO-labelled document on third-party host; edition and currency unverified.</x:v>
      </x:c>
      <x:c r="O12" s="66" t="str"/>
      <x:c r="P12" s="67" t="str"/>
      <x:c r="Q12" s="66" t="str">
        <x:v>B02</x:v>
      </x:c>
      <x:c r="R12" s="66" t="str">
        <x:v>Candidate recorded</x:v>
      </x:c>
      <x:c r="S12" s="66" t="str">
        <x:v>Not established</x:v>
      </x:c>
    </x:row>
    <x:row r="13" ht="60" customHeight="1">
      <x:c r="A13" s="66" t="str">
        <x:v>TSS-0007</x:v>
      </x:c>
      <x:c r="B13" s="66" t="str">
        <x:v>British Isles and southern North Sea</x:v>
      </x:c>
      <x:c r="C13" s="66" t="str">
        <x:v>Off Land's End, between Seven Stones and Longships</x:v>
      </x:c>
      <x:c r="D13" s="66" t="str">
        <x:v>Source entry; component check pending</x:v>
      </x:c>
      <x:c r="E13" s="66" t="str">
        <x:v>Provisional: official baseline reconciliation pending</x:v>
      </x:c>
      <x:c r="F13" s="66" t="str">
        <x:v>Not researched</x:v>
      </x:c>
      <x:c r="G13" s="66" t="str">
        <x:v>Not researched</x:v>
      </x:c>
      <x:c r="H13" s="66" t="str"/>
      <x:c r="I13" s="66" t="str"/>
      <x:c r="J13" s="66" t="str"/>
      <x:c r="K13" s="66" t="str">
        <x:v>SRC-001</x:v>
      </x:c>
      <x:c r="L13" s="67" t="str">
        <x:v>https://www.scribd.com/document/1014775753/1-1-IMO-Adopted-Traffic-Separation-Schemes-on-the-ADMIRALTY-Chart-Series</x:v>
      </x:c>
      <x:c r="M13" s="66" t="str">
        <x:v>Notice 17; scheme label: Off Land's End, between Seven Stones and Longships</x:v>
      </x:c>
      <x:c r="N13" s="66" t="str">
        <x:v>UKHO-labelled document on third-party host; edition and currency unverified.</x:v>
      </x:c>
      <x:c r="O13" s="66" t="str"/>
      <x:c r="P13" s="67" t="str"/>
      <x:c r="Q13" s="66" t="str">
        <x:v>B02</x:v>
      </x:c>
      <x:c r="R13" s="66" t="str">
        <x:v>Candidate recorded</x:v>
      </x:c>
      <x:c r="S13" s="66" t="str">
        <x:v>Not established</x:v>
      </x:c>
    </x:row>
    <x:row r="14" ht="60" customHeight="1">
      <x:c r="A14" s="66" t="str">
        <x:v>TSS-0008</x:v>
      </x:c>
      <x:c r="B14" s="66" t="str">
        <x:v>British Isles and southern North Sea</x:v>
      </x:c>
      <x:c r="C14" s="66" t="str">
        <x:v>South of the Isles of Scilly</x:v>
      </x:c>
      <x:c r="D14" s="66" t="str">
        <x:v>Source entry; component check pending</x:v>
      </x:c>
      <x:c r="E14" s="66" t="str">
        <x:v>Provisional: official baseline reconciliation pending</x:v>
      </x:c>
      <x:c r="F14" s="66" t="str">
        <x:v>Not researched</x:v>
      </x:c>
      <x:c r="G14" s="66" t="str">
        <x:v>Not researched</x:v>
      </x:c>
      <x:c r="H14" s="66" t="str"/>
      <x:c r="I14" s="66" t="str"/>
      <x:c r="J14" s="66" t="str"/>
      <x:c r="K14" s="66" t="str">
        <x:v>SRC-001</x:v>
      </x:c>
      <x:c r="L14" s="67" t="str">
        <x:v>https://www.scribd.com/document/1014775753/1-1-IMO-Adopted-Traffic-Separation-Schemes-on-the-ADMIRALTY-Chart-Series</x:v>
      </x:c>
      <x:c r="M14" s="66" t="str">
        <x:v>Notice 17; scheme label: South of the Isles of Scilly</x:v>
      </x:c>
      <x:c r="N14" s="66" t="str">
        <x:v>UKHO-labelled document on third-party host; edition and currency unverified.</x:v>
      </x:c>
      <x:c r="O14" s="66" t="str"/>
      <x:c r="P14" s="67" t="str"/>
      <x:c r="Q14" s="66" t="str">
        <x:v>B02</x:v>
      </x:c>
      <x:c r="R14" s="66" t="str">
        <x:v>Candidate recorded</x:v>
      </x:c>
      <x:c r="S14" s="66" t="str">
        <x:v>Not established</x:v>
      </x:c>
    </x:row>
    <x:row r="15" ht="60" customHeight="1">
      <x:c r="A15" s="66" t="str">
        <x:v>TSS-0009</x:v>
      </x:c>
      <x:c r="B15" s="66" t="str">
        <x:v>British Isles and southern North Sea</x:v>
      </x:c>
      <x:c r="C15" s="66" t="str">
        <x:v>West of the Isles of Scilly</x:v>
      </x:c>
      <x:c r="D15" s="66" t="str">
        <x:v>Source entry; component check pending</x:v>
      </x:c>
      <x:c r="E15" s="66" t="str">
        <x:v>Provisional: official baseline reconciliation pending</x:v>
      </x:c>
      <x:c r="F15" s="66" t="str">
        <x:v>Not researched</x:v>
      </x:c>
      <x:c r="G15" s="66" t="str">
        <x:v>Not researched</x:v>
      </x:c>
      <x:c r="H15" s="66" t="str"/>
      <x:c r="I15" s="66" t="str"/>
      <x:c r="J15" s="66" t="str"/>
      <x:c r="K15" s="66" t="str">
        <x:v>SRC-001</x:v>
      </x:c>
      <x:c r="L15" s="67" t="str">
        <x:v>https://www.scribd.com/document/1014775753/1-1-IMO-Adopted-Traffic-Separation-Schemes-on-the-ADMIRALTY-Chart-Series</x:v>
      </x:c>
      <x:c r="M15" s="66" t="str">
        <x:v>Notice 17; scheme label: West of the Isles of Scilly</x:v>
      </x:c>
      <x:c r="N15" s="66" t="str">
        <x:v>UKHO-labelled document on third-party host; edition and currency unverified.</x:v>
      </x:c>
      <x:c r="O15" s="66" t="str"/>
      <x:c r="P15" s="67" t="str"/>
      <x:c r="Q15" s="66" t="str">
        <x:v>B02</x:v>
      </x:c>
      <x:c r="R15" s="66" t="str">
        <x:v>Candidate recorded</x:v>
      </x:c>
      <x:c r="S15" s="66" t="str">
        <x:v>Not established</x:v>
      </x:c>
    </x:row>
    <x:row r="16" ht="60" customHeight="1">
      <x:c r="A16" s="66" t="str">
        <x:v>TSS-0010</x:v>
      </x:c>
      <x:c r="B16" s="66" t="str">
        <x:v>British Isles and southern North Sea</x:v>
      </x:c>
      <x:c r="C16" s="66" t="str">
        <x:v>Off Fastnet Rock</x:v>
      </x:c>
      <x:c r="D16" s="66" t="str">
        <x:v>Source entry; component check pending</x:v>
      </x:c>
      <x:c r="E16" s="66" t="str">
        <x:v>Provisional: official baseline reconciliation pending</x:v>
      </x:c>
      <x:c r="F16" s="66" t="str">
        <x:v>Not researched</x:v>
      </x:c>
      <x:c r="G16" s="66" t="str">
        <x:v>Not researched</x:v>
      </x:c>
      <x:c r="H16" s="66" t="str"/>
      <x:c r="I16" s="66" t="str"/>
      <x:c r="J16" s="66" t="str"/>
      <x:c r="K16" s="66" t="str">
        <x:v>SRC-001</x:v>
      </x:c>
      <x:c r="L16" s="67" t="str">
        <x:v>https://www.scribd.com/document/1014775753/1-1-IMO-Adopted-Traffic-Separation-Schemes-on-the-ADMIRALTY-Chart-Series</x:v>
      </x:c>
      <x:c r="M16" s="66" t="str">
        <x:v>Notice 17; scheme label: Off Fastnet Rock</x:v>
      </x:c>
      <x:c r="N16" s="66" t="str">
        <x:v>UKHO-labelled document on third-party host; edition and currency unverified.</x:v>
      </x:c>
      <x:c r="O16" s="66" t="str"/>
      <x:c r="P16" s="67" t="str"/>
      <x:c r="Q16" s="66" t="str">
        <x:v>B02</x:v>
      </x:c>
      <x:c r="R16" s="66" t="str">
        <x:v>Candidate recorded</x:v>
      </x:c>
      <x:c r="S16" s="66" t="str">
        <x:v>Not established</x:v>
      </x:c>
    </x:row>
    <x:row r="17" ht="60" customHeight="1">
      <x:c r="A17" s="66" t="str">
        <x:v>TSS-0011</x:v>
      </x:c>
      <x:c r="B17" s="66" t="str">
        <x:v>British Isles and southern North Sea</x:v>
      </x:c>
      <x:c r="C17" s="66" t="str">
        <x:v>Off Smalls</x:v>
      </x:c>
      <x:c r="D17" s="66" t="str">
        <x:v>Source entry; component check pending</x:v>
      </x:c>
      <x:c r="E17" s="66" t="str">
        <x:v>Provisional: official baseline reconciliation pending</x:v>
      </x:c>
      <x:c r="F17" s="66" t="str">
        <x:v>Not researched</x:v>
      </x:c>
      <x:c r="G17" s="66" t="str">
        <x:v>Not researched</x:v>
      </x:c>
      <x:c r="H17" s="66" t="str"/>
      <x:c r="I17" s="66" t="str"/>
      <x:c r="J17" s="66" t="str"/>
      <x:c r="K17" s="66" t="str">
        <x:v>SRC-001</x:v>
      </x:c>
      <x:c r="L17" s="67" t="str">
        <x:v>https://www.scribd.com/document/1014775753/1-1-IMO-Adopted-Traffic-Separation-Schemes-on-the-ADMIRALTY-Chart-Series</x:v>
      </x:c>
      <x:c r="M17" s="66" t="str">
        <x:v>Notice 17; scheme label: Off Smalls</x:v>
      </x:c>
      <x:c r="N17" s="66" t="str">
        <x:v>UKHO-labelled document on third-party host; edition and currency unverified.</x:v>
      </x:c>
      <x:c r="O17" s="66" t="str"/>
      <x:c r="P17" s="67" t="str"/>
      <x:c r="Q17" s="66" t="str">
        <x:v>B03</x:v>
      </x:c>
      <x:c r="R17" s="66" t="str">
        <x:v>Candidate recorded</x:v>
      </x:c>
      <x:c r="S17" s="66" t="str">
        <x:v>Not established</x:v>
      </x:c>
    </x:row>
    <x:row r="18" ht="60" customHeight="1">
      <x:c r="A18" s="66" t="str">
        <x:v>TSS-0012</x:v>
      </x:c>
      <x:c r="B18" s="66" t="str">
        <x:v>British Isles and southern North Sea</x:v>
      </x:c>
      <x:c r="C18" s="66" t="str">
        <x:v>Off Tuskar Rock</x:v>
      </x:c>
      <x:c r="D18" s="66" t="str">
        <x:v>Source entry; component check pending</x:v>
      </x:c>
      <x:c r="E18" s="66" t="str">
        <x:v>Provisional: official baseline reconciliation pending</x:v>
      </x:c>
      <x:c r="F18" s="66" t="str">
        <x:v>Not researched</x:v>
      </x:c>
      <x:c r="G18" s="66" t="str">
        <x:v>Not researched</x:v>
      </x:c>
      <x:c r="H18" s="66" t="str"/>
      <x:c r="I18" s="66" t="str"/>
      <x:c r="J18" s="66" t="str"/>
      <x:c r="K18" s="66" t="str">
        <x:v>SRC-001</x:v>
      </x:c>
      <x:c r="L18" s="67" t="str">
        <x:v>https://www.scribd.com/document/1014775753/1-1-IMO-Adopted-Traffic-Separation-Schemes-on-the-ADMIRALTY-Chart-Series</x:v>
      </x:c>
      <x:c r="M18" s="66" t="str">
        <x:v>Notice 17; scheme label: Off Tuskar Rock</x:v>
      </x:c>
      <x:c r="N18" s="66" t="str">
        <x:v>UKHO-labelled document on third-party host; edition and currency unverified.</x:v>
      </x:c>
      <x:c r="O18" s="66" t="str"/>
      <x:c r="P18" s="67" t="str"/>
      <x:c r="Q18" s="66" t="str">
        <x:v>B03</x:v>
      </x:c>
      <x:c r="R18" s="66" t="str">
        <x:v>Candidate recorded</x:v>
      </x:c>
      <x:c r="S18" s="66" t="str">
        <x:v>Not established</x:v>
      </x:c>
    </x:row>
    <x:row r="19" ht="60" customHeight="1">
      <x:c r="A19" s="66" t="str">
        <x:v>TSS-0013</x:v>
      </x:c>
      <x:c r="B19" s="66" t="str">
        <x:v>British Isles and southern North Sea</x:v>
      </x:c>
      <x:c r="C19" s="66" t="str">
        <x:v>Off Skerries</x:v>
      </x:c>
      <x:c r="D19" s="66" t="str">
        <x:v>Source entry; component check pending</x:v>
      </x:c>
      <x:c r="E19" s="66" t="str">
        <x:v>Provisional: official baseline reconciliation pending</x:v>
      </x:c>
      <x:c r="F19" s="66" t="str">
        <x:v>Not researched</x:v>
      </x:c>
      <x:c r="G19" s="66" t="str">
        <x:v>Not researched</x:v>
      </x:c>
      <x:c r="H19" s="66" t="str"/>
      <x:c r="I19" s="66" t="str"/>
      <x:c r="J19" s="66" t="str"/>
      <x:c r="K19" s="66" t="str">
        <x:v>SRC-001</x:v>
      </x:c>
      <x:c r="L19" s="67" t="str">
        <x:v>https://www.scribd.com/document/1014775753/1-1-IMO-Adopted-Traffic-Separation-Schemes-on-the-ADMIRALTY-Chart-Series</x:v>
      </x:c>
      <x:c r="M19" s="66" t="str">
        <x:v>Notice 17; scheme label: Off Skerries</x:v>
      </x:c>
      <x:c r="N19" s="66" t="str">
        <x:v>UKHO-labelled document on third-party host; edition and currency unverified.</x:v>
      </x:c>
      <x:c r="O19" s="66" t="str"/>
      <x:c r="P19" s="67" t="str"/>
      <x:c r="Q19" s="66" t="str">
        <x:v>B03</x:v>
      </x:c>
      <x:c r="R19" s="66" t="str">
        <x:v>Candidate recorded</x:v>
      </x:c>
      <x:c r="S19" s="66" t="str">
        <x:v>Not established</x:v>
      </x:c>
    </x:row>
    <x:row r="20" ht="60" customHeight="1">
      <x:c r="A20" s="66" t="str">
        <x:v>TSS-0014</x:v>
      </x:c>
      <x:c r="B20" s="66" t="str">
        <x:v>British Isles and southern North Sea</x:v>
      </x:c>
      <x:c r="C20" s="66" t="str">
        <x:v>In Liverpool Bay</x:v>
      </x:c>
      <x:c r="D20" s="66" t="str">
        <x:v>Source entry; component check pending</x:v>
      </x:c>
      <x:c r="E20" s="66" t="str">
        <x:v>Provisional: official baseline reconciliation pending</x:v>
      </x:c>
      <x:c r="F20" s="66" t="str">
        <x:v>Not researched</x:v>
      </x:c>
      <x:c r="G20" s="66" t="str">
        <x:v>Not researched</x:v>
      </x:c>
      <x:c r="H20" s="66" t="str"/>
      <x:c r="I20" s="66" t="str"/>
      <x:c r="J20" s="66" t="str"/>
      <x:c r="K20" s="66" t="str">
        <x:v>SRC-001</x:v>
      </x:c>
      <x:c r="L20" s="67" t="str">
        <x:v>https://www.scribd.com/document/1014775753/1-1-IMO-Adopted-Traffic-Separation-Schemes-on-the-ADMIRALTY-Chart-Series</x:v>
      </x:c>
      <x:c r="M20" s="66" t="str">
        <x:v>Notice 17; scheme label: In Liverpool Bay</x:v>
      </x:c>
      <x:c r="N20" s="66" t="str">
        <x:v>UKHO-labelled document on third-party host; edition and currency unverified.</x:v>
      </x:c>
      <x:c r="O20" s="66" t="str"/>
      <x:c r="P20" s="67" t="str"/>
      <x:c r="Q20" s="66" t="str">
        <x:v>B03</x:v>
      </x:c>
      <x:c r="R20" s="66" t="str">
        <x:v>Candidate recorded</x:v>
      </x:c>
      <x:c r="S20" s="66" t="str">
        <x:v>Not established</x:v>
      </x:c>
    </x:row>
    <x:row r="21" ht="60" customHeight="1">
      <x:c r="A21" s="66" t="str">
        <x:v>TSS-0015</x:v>
      </x:c>
      <x:c r="B21" s="66" t="str">
        <x:v>British Isles and southern North Sea</x:v>
      </x:c>
      <x:c r="C21" s="66" t="str">
        <x:v>In the North Channel</x:v>
      </x:c>
      <x:c r="D21" s="66" t="str">
        <x:v>Source entry; component check pending</x:v>
      </x:c>
      <x:c r="E21" s="66" t="str">
        <x:v>Provisional: official baseline reconciliation pending</x:v>
      </x:c>
      <x:c r="F21" s="66" t="str">
        <x:v>Not researched</x:v>
      </x:c>
      <x:c r="G21" s="66" t="str">
        <x:v>Not researched</x:v>
      </x:c>
      <x:c r="H21" s="66" t="str"/>
      <x:c r="I21" s="66" t="str"/>
      <x:c r="J21" s="66" t="str"/>
      <x:c r="K21" s="66" t="str">
        <x:v>SRC-001</x:v>
      </x:c>
      <x:c r="L21" s="67" t="str">
        <x:v>https://www.scribd.com/document/1014775753/1-1-IMO-Adopted-Traffic-Separation-Schemes-on-the-ADMIRALTY-Chart-Series</x:v>
      </x:c>
      <x:c r="M21" s="66" t="str">
        <x:v>Notice 17; scheme label: In the North Channel</x:v>
      </x:c>
      <x:c r="N21" s="66" t="str">
        <x:v>UKHO-labelled document on third-party host; edition and currency unverified.</x:v>
      </x:c>
      <x:c r="O21" s="66" t="str"/>
      <x:c r="P21" s="67" t="str"/>
      <x:c r="Q21" s="66" t="str">
        <x:v>B03</x:v>
      </x:c>
      <x:c r="R21" s="66" t="str">
        <x:v>Candidate recorded</x:v>
      </x:c>
      <x:c r="S21" s="66" t="str">
        <x:v>Not established</x:v>
      </x:c>
    </x:row>
    <x:row r="22" ht="60" customHeight="1">
      <x:c r="A22" s="66" t="str">
        <x:v>TSS-0016</x:v>
      </x:c>
      <x:c r="B22" s="66" t="str">
        <x:v>British Isles and southern North Sea</x:v>
      </x:c>
      <x:c r="C22" s="66" t="str">
        <x:v>Off Neist Point</x:v>
      </x:c>
      <x:c r="D22" s="66" t="str">
        <x:v>Source entry; component check pending</x:v>
      </x:c>
      <x:c r="E22" s="66" t="str">
        <x:v>Provisional: official baseline reconciliation pending</x:v>
      </x:c>
      <x:c r="F22" s="66" t="str">
        <x:v>Not researched</x:v>
      </x:c>
      <x:c r="G22" s="66" t="str">
        <x:v>Not researched</x:v>
      </x:c>
      <x:c r="H22" s="66" t="str"/>
      <x:c r="I22" s="66" t="str"/>
      <x:c r="J22" s="66" t="str"/>
      <x:c r="K22" s="66" t="str">
        <x:v>SRC-001</x:v>
      </x:c>
      <x:c r="L22" s="67" t="str">
        <x:v>https://www.scribd.com/document/1014775753/1-1-IMO-Adopted-Traffic-Separation-Schemes-on-the-ADMIRALTY-Chart-Series</x:v>
      </x:c>
      <x:c r="M22" s="66" t="str">
        <x:v>Notice 17; scheme label: Off Neist Point</x:v>
      </x:c>
      <x:c r="N22" s="66" t="str">
        <x:v>UKHO-labelled document on third-party host; edition and currency unverified.</x:v>
      </x:c>
      <x:c r="O22" s="66" t="str"/>
      <x:c r="P22" s="67" t="str"/>
      <x:c r="Q22" s="66" t="str">
        <x:v>B04</x:v>
      </x:c>
      <x:c r="R22" s="66" t="str">
        <x:v>Candidate recorded</x:v>
      </x:c>
      <x:c r="S22" s="66" t="str">
        <x:v>Not established</x:v>
      </x:c>
    </x:row>
    <x:row r="23" ht="60" customHeight="1">
      <x:c r="A23" s="66" t="str">
        <x:v>TSS-0017</x:v>
      </x:c>
      <x:c r="B23" s="66" t="str">
        <x:v>Norway and Iceland</x:v>
      </x:c>
      <x:c r="C23" s="66" t="str">
        <x:v>Off the coast of Norway</x:v>
      </x:c>
      <x:c r="D23" s="66" t="str">
        <x:v>Source entry; component check pending</x:v>
      </x:c>
      <x:c r="E23" s="66" t="str">
        <x:v>Provisional: official baseline reconciliation pending</x:v>
      </x:c>
      <x:c r="F23" s="66" t="str">
        <x:v>Not researched</x:v>
      </x:c>
      <x:c r="G23" s="66" t="str">
        <x:v>Not researched</x:v>
      </x:c>
      <x:c r="H23" s="66" t="str"/>
      <x:c r="I23" s="66" t="str"/>
      <x:c r="J23" s="66" t="str">
        <x:v>Grouped coastline label. Expand into named component schemes before counting.</x:v>
      </x:c>
      <x:c r="K23" s="66" t="str">
        <x:v>SRC-001</x:v>
      </x:c>
      <x:c r="L23" s="67" t="str">
        <x:v>https://www.scribd.com/document/1014775753/1-1-IMO-Adopted-Traffic-Separation-Schemes-on-the-ADMIRALTY-Chart-Series</x:v>
      </x:c>
      <x:c r="M23" s="66" t="str">
        <x:v>Notice 17; scheme label: Off the coast of Norway</x:v>
      </x:c>
      <x:c r="N23" s="66" t="str">
        <x:v>UKHO-labelled document on third-party host; edition and currency unverified.</x:v>
      </x:c>
      <x:c r="O23" s="66" t="str"/>
      <x:c r="P23" s="67" t="str"/>
      <x:c r="Q23" s="66" t="str">
        <x:v>B04</x:v>
      </x:c>
      <x:c r="R23" s="66" t="str">
        <x:v>Candidate recorded</x:v>
      </x:c>
      <x:c r="S23" s="66" t="str">
        <x:v>Not established</x:v>
      </x:c>
    </x:row>
    <x:row r="24" ht="60" customHeight="1">
      <x:c r="A24" s="66" t="str">
        <x:v>TSS-0018</x:v>
      </x:c>
      <x:c r="B24" s="66" t="str">
        <x:v>Norway and Iceland</x:v>
      </x:c>
      <x:c r="C24" s="66" t="str">
        <x:v>Off the south-west coast of Iceland: North-west of Garoskagi Point</x:v>
      </x:c>
      <x:c r="D24" s="66" t="str">
        <x:v>Source entry; component check pending</x:v>
      </x:c>
      <x:c r="E24" s="66" t="str">
        <x:v>Provisional: official baseline reconciliation pending</x:v>
      </x:c>
      <x:c r="F24" s="66" t="str">
        <x:v>Not researched</x:v>
      </x:c>
      <x:c r="G24" s="66" t="str">
        <x:v>Not researched</x:v>
      </x:c>
      <x:c r="H24" s="66" t="str"/>
      <x:c r="I24" s="66" t="str"/>
      <x:c r="J24" s="66" t="str">
        <x:v>Check official Icelandic spelling against the primary publication.</x:v>
      </x:c>
      <x:c r="K24" s="66" t="str">
        <x:v>SRC-001</x:v>
      </x:c>
      <x:c r="L24" s="67" t="str">
        <x:v>https://www.scribd.com/document/1014775753/1-1-IMO-Adopted-Traffic-Separation-Schemes-on-the-ADMIRALTY-Chart-Series</x:v>
      </x:c>
      <x:c r="M24" s="66" t="str">
        <x:v>Notice 17; scheme label: Off the south-west coast of Iceland: North-west of Garoskagi Point</x:v>
      </x:c>
      <x:c r="N24" s="66" t="str">
        <x:v>UKHO-labelled document on third-party host; edition and currency unverified.</x:v>
      </x:c>
      <x:c r="O24" s="66" t="str"/>
      <x:c r="P24" s="67" t="str"/>
      <x:c r="Q24" s="66" t="str">
        <x:v>B04</x:v>
      </x:c>
      <x:c r="R24" s="66" t="str">
        <x:v>Candidate recorded</x:v>
      </x:c>
      <x:c r="S24" s="66" t="str">
        <x:v>Not established</x:v>
      </x:c>
    </x:row>
    <x:row r="25" ht="60" customHeight="1">
      <x:c r="A25" s="66" t="str">
        <x:v>TSS-0019</x:v>
      </x:c>
      <x:c r="B25" s="66" t="str">
        <x:v>Norway and Iceland</x:v>
      </x:c>
      <x:c r="C25" s="66" t="str">
        <x:v>Off the south-west coast of Iceland: South-west of the Reykjanes Peninsula</x:v>
      </x:c>
      <x:c r="D25" s="66" t="str">
        <x:v>Source entry; component check pending</x:v>
      </x:c>
      <x:c r="E25" s="66" t="str">
        <x:v>Provisional: official baseline reconciliation pending</x:v>
      </x:c>
      <x:c r="F25" s="66" t="str">
        <x:v>Not researched</x:v>
      </x:c>
      <x:c r="G25" s="66" t="str">
        <x:v>Not researched</x:v>
      </x:c>
      <x:c r="H25" s="66" t="str"/>
      <x:c r="I25" s="66" t="str"/>
      <x:c r="J25" s="66" t="str"/>
      <x:c r="K25" s="66" t="str">
        <x:v>SRC-001</x:v>
      </x:c>
      <x:c r="L25" s="67" t="str">
        <x:v>https://www.scribd.com/document/1014775753/1-1-IMO-Adopted-Traffic-Separation-Schemes-on-the-ADMIRALTY-Chart-Series</x:v>
      </x:c>
      <x:c r="M25" s="66" t="str">
        <x:v>Notice 17; scheme label: Off the south-west coast of Iceland: South-west of the Reykjanes Peninsula</x:v>
      </x:c>
      <x:c r="N25" s="66" t="str">
        <x:v>UKHO-labelled document on third-party host; edition and currency unverified.</x:v>
      </x:c>
      <x:c r="O25" s="66" t="str"/>
      <x:c r="P25" s="67" t="str"/>
      <x:c r="Q25" s="66" t="str">
        <x:v>B04</x:v>
      </x:c>
      <x:c r="R25" s="66" t="str">
        <x:v>Candidate recorded</x:v>
      </x:c>
      <x:c r="S25" s="66" t="str">
        <x:v>Not established</x:v>
      </x:c>
    </x:row>
    <x:row r="26" ht="60" customHeight="1">
      <x:c r="A26" s="66" t="str">
        <x:v>TSS-0020</x:v>
      </x:c>
      <x:c r="B26" s="66" t="str">
        <x:v>Baltic Sea and approaches</x:v>
      </x:c>
      <x:c r="C26" s="66" t="str">
        <x:v>The Åland Sea: North Åland Sea, South Åland Sea</x:v>
      </x:c>
      <x:c r="D26" s="66" t="str">
        <x:v>Source entry; component check pending</x:v>
      </x:c>
      <x:c r="E26" s="66" t="str">
        <x:v>Provisional: official baseline reconciliation pending</x:v>
      </x:c>
      <x:c r="F26" s="66" t="str">
        <x:v>Not researched</x:v>
      </x:c>
      <x:c r="G26" s="66" t="str">
        <x:v>Not researched</x:v>
      </x:c>
      <x:c r="H26" s="66" t="str"/>
      <x:c r="I26" s="66" t="str"/>
      <x:c r="J26" s="66" t="str">
        <x:v>Two named components appear within one source entry. Retain parent; reconcile component IDs.</x:v>
      </x:c>
      <x:c r="K26" s="66" t="str">
        <x:v>SRC-001</x:v>
      </x:c>
      <x:c r="L26" s="67" t="str">
        <x:v>https://www.scribd.com/document/1014775753/1-1-IMO-Adopted-Traffic-Separation-Schemes-on-the-ADMIRALTY-Chart-Series</x:v>
      </x:c>
      <x:c r="M26" s="66" t="str">
        <x:v>Notice 17; scheme label: The Åland Sea: North Åland Sea, South Åland Sea</x:v>
      </x:c>
      <x:c r="N26" s="66" t="str">
        <x:v>UKHO-labelled document on third-party host; edition and currency unverified.</x:v>
      </x:c>
      <x:c r="O26" s="66" t="str"/>
      <x:c r="P26" s="67" t="str"/>
      <x:c r="Q26" s="66" t="str">
        <x:v>B04</x:v>
      </x:c>
      <x:c r="R26" s="66" t="str">
        <x:v>Candidate recorded</x:v>
      </x:c>
      <x:c r="S26" s="66" t="str">
        <x:v>Not established</x:v>
      </x:c>
    </x:row>
    <x:row r="27" ht="79.5" customHeight="1">
      <x:c r="A27" s="66" t="str">
        <x:v>TSS-0021</x:v>
      </x:c>
      <x:c r="B27" s="66" t="str">
        <x:v>Baltic Sea and approaches</x:v>
      </x:c>
      <x:c r="C27" s="66" t="str">
        <x:v>Off Sommers Island (Ostrov Sommers)</x:v>
      </x:c>
      <x:c r="D27" s="66" t="str">
        <x:v>Source entry; component check pending</x:v>
      </x:c>
      <x:c r="E27" s="66" t="str">
        <x:v>Provisional: official baseline reconciliation pending</x:v>
      </x:c>
      <x:c r="F27" s="66" t="str">
        <x:v>Not researched</x:v>
      </x:c>
      <x:c r="G27" s="66" t="str">
        <x:v>Legacy GOFREP lead; direct association unverified</x:v>
      </x:c>
      <x:c r="H27" s="66" t="str"/>
      <x:c r="I27" s="66" t="str">
        <x:v>SRS-006</x:v>
      </x:c>
      <x:c r="J27" s="66" t="str">
        <x:v>Restored from the earlier v0.1 research leads. The checked Fintraffic pages do not identify this TSS by name. Direct authority/boundary verification is still required.</x:v>
      </x:c>
      <x:c r="K27" s="66" t="str">
        <x:v>SRC-001</x:v>
      </x:c>
      <x:c r="L27" s="67" t="str">
        <x:v>https://www.scribd.com/document/1014775753/1-1-IMO-Adopted-Traffic-Separation-Schemes-on-the-ADMIRALTY-Chart-Series</x:v>
      </x:c>
      <x:c r="M27" s="66" t="str">
        <x:v>Notice 17; scheme label: Off Sommers Island (Ostrov Sommers)</x:v>
      </x:c>
      <x:c r="N27" s="66" t="str">
        <x:v>UKHO-labelled document on third-party host; edition and currency unverified.</x:v>
      </x:c>
      <x:c r="O27" s="66" t="str">
        <x:v>SRC-011; SRC-012</x:v>
      </x:c>
      <x:c r="P27" s="67" t="str">
        <x:v>https://mastersguide.fintraffic.fi/en/gofrep-area
https://www.fintraffic.fi/sv/node/254</x:v>
      </x:c>
      <x:c r="Q27" s="66" t="str">
        <x:v>B05</x:v>
      </x:c>
      <x:c r="R27" s="66" t="str">
        <x:v>Association proposed</x:v>
      </x:c>
      <x:c r="S27" s="66" t="str">
        <x:v>2026-09-29</x:v>
      </x:c>
    </x:row>
    <x:row r="28" ht="79.5" customHeight="1">
      <x:c r="A28" s="66" t="str">
        <x:v>TSS-0022</x:v>
      </x:c>
      <x:c r="B28" s="66" t="str">
        <x:v>Baltic Sea and approaches</x:v>
      </x:c>
      <x:c r="C28" s="66" t="str">
        <x:v>Off Hogland (Gogland) Island (Ostrov Gogland)</x:v>
      </x:c>
      <x:c r="D28" s="66" t="str">
        <x:v>Source entry; component check pending</x:v>
      </x:c>
      <x:c r="E28" s="66" t="str">
        <x:v>Provisional: official baseline reconciliation pending</x:v>
      </x:c>
      <x:c r="F28" s="66" t="str">
        <x:v>Not researched</x:v>
      </x:c>
      <x:c r="G28" s="66" t="str">
        <x:v>Legacy GOFREP lead; direct association unverified</x:v>
      </x:c>
      <x:c r="H28" s="66" t="str"/>
      <x:c r="I28" s="66" t="str">
        <x:v>SRS-006</x:v>
      </x:c>
      <x:c r="J28" s="66" t="str">
        <x:v>Restored from the earlier v0.1 research leads. The checked Fintraffic pages do not identify this TSS by name. Direct authority/boundary verification is still required.</x:v>
      </x:c>
      <x:c r="K28" s="66" t="str">
        <x:v>SRC-001</x:v>
      </x:c>
      <x:c r="L28" s="67" t="str">
        <x:v>https://www.scribd.com/document/1014775753/1-1-IMO-Adopted-Traffic-Separation-Schemes-on-the-ADMIRALTY-Chart-Series</x:v>
      </x:c>
      <x:c r="M28" s="66" t="str">
        <x:v>Notice 17; scheme label: Off Hogland (Gogland) Island (Ostrov Gogland)</x:v>
      </x:c>
      <x:c r="N28" s="66" t="str">
        <x:v>UKHO-labelled document on third-party host; edition and currency unverified.</x:v>
      </x:c>
      <x:c r="O28" s="66" t="str">
        <x:v>SRC-011; SRC-012</x:v>
      </x:c>
      <x:c r="P28" s="67" t="str">
        <x:v>https://mastersguide.fintraffic.fi/en/gofrep-area
https://www.fintraffic.fi/sv/node/254</x:v>
      </x:c>
      <x:c r="Q28" s="66" t="str">
        <x:v>B05</x:v>
      </x:c>
      <x:c r="R28" s="66" t="str">
        <x:v>Association proposed</x:v>
      </x:c>
      <x:c r="S28" s="66" t="str">
        <x:v>2026-09-29</x:v>
      </x:c>
    </x:row>
    <x:row r="29" ht="79.5" customHeight="1">
      <x:c r="A29" s="66" t="str">
        <x:v>TSS-0023</x:v>
      </x:c>
      <x:c r="B29" s="66" t="str">
        <x:v>Baltic Sea and approaches</x:v>
      </x:c>
      <x:c r="C29" s="66" t="str">
        <x:v>Off Rodsher Island (Ostrov Rodsher)</x:v>
      </x:c>
      <x:c r="D29" s="66" t="str">
        <x:v>Source entry; component check pending</x:v>
      </x:c>
      <x:c r="E29" s="66" t="str">
        <x:v>Provisional: official baseline reconciliation pending</x:v>
      </x:c>
      <x:c r="F29" s="66" t="str">
        <x:v>Not researched</x:v>
      </x:c>
      <x:c r="G29" s="66" t="str">
        <x:v>Legacy GOFREP lead; direct association unverified</x:v>
      </x:c>
      <x:c r="H29" s="66" t="str"/>
      <x:c r="I29" s="66" t="str">
        <x:v>SRS-006</x:v>
      </x:c>
      <x:c r="J29" s="66" t="str">
        <x:v>Restored from the earlier v0.1 research leads. The checked Fintraffic pages do not identify this TSS by name. Direct authority/boundary verification is still required.</x:v>
      </x:c>
      <x:c r="K29" s="66" t="str">
        <x:v>SRC-001</x:v>
      </x:c>
      <x:c r="L29" s="67" t="str">
        <x:v>https://www.scribd.com/document/1014775753/1-1-IMO-Adopted-Traffic-Separation-Schemes-on-the-ADMIRALTY-Chart-Series</x:v>
      </x:c>
      <x:c r="M29" s="66" t="str">
        <x:v>Notice 17; scheme label: Off Rodsher Island (Ostrov Rodsher)</x:v>
      </x:c>
      <x:c r="N29" s="66" t="str">
        <x:v>UKHO-labelled document on third-party host; edition and currency unverified.</x:v>
      </x:c>
      <x:c r="O29" s="66" t="str">
        <x:v>SRC-011; SRC-012</x:v>
      </x:c>
      <x:c r="P29" s="67" t="str">
        <x:v>https://mastersguide.fintraffic.fi/en/gofrep-area
https://www.fintraffic.fi/sv/node/254</x:v>
      </x:c>
      <x:c r="Q29" s="66" t="str">
        <x:v>B05</x:v>
      </x:c>
      <x:c r="R29" s="66" t="str">
        <x:v>Association proposed</x:v>
      </x:c>
      <x:c r="S29" s="66" t="str">
        <x:v>2026-09-29</x:v>
      </x:c>
    </x:row>
    <x:row r="30" ht="60" customHeight="1">
      <x:c r="A30" s="66" t="str">
        <x:v>TSS-0024</x:v>
      </x:c>
      <x:c r="B30" s="66" t="str">
        <x:v>Baltic Sea and approaches</x:v>
      </x:c>
      <x:c r="C30" s="66" t="str">
        <x:v>Off Kalbådagrund Lighthouse</x:v>
      </x:c>
      <x:c r="D30" s="66" t="str">
        <x:v>Source entry; component check pending</x:v>
      </x:c>
      <x:c r="E30" s="66" t="str">
        <x:v>Provisional: official baseline reconciliation pending</x:v>
      </x:c>
      <x:c r="F30" s="66" t="str">
        <x:v>Not established by reporting source</x:v>
      </x:c>
      <x:c r="G30" s="66" t="str">
        <x:v>Authority evidence found</x:v>
      </x:c>
      <x:c r="H30" s="66" t="str"/>
      <x:c r="I30" s="66" t="str">
        <x:v>SRS-006</x:v>
      </x:c>
      <x:c r="J30" s="66" t="str"/>
      <x:c r="K30" s="66" t="str">
        <x:v>SRC-001</x:v>
      </x:c>
      <x:c r="L30" s="67" t="str">
        <x:v>https://www.scribd.com/document/1014775753/1-1-IMO-Adopted-Traffic-Separation-Schemes-on-the-ADMIRALTY-Chart-Series</x:v>
      </x:c>
      <x:c r="M30" s="66" t="str">
        <x:v>Notice 17; scheme label: Off Kalbådagrund Lighthouse</x:v>
      </x:c>
      <x:c r="N30" s="66" t="str">
        <x:v>UKHO-labelled document on third-party host; edition and currency unverified.</x:v>
      </x:c>
      <x:c r="O30" s="66" t="str">
        <x:v>SRC-011; SRC-012</x:v>
      </x:c>
      <x:c r="P30" s="67" t="str">
        <x:v>https://mastersguide.fintraffic.fi/en/gofrep-area
https://www.fintraffic.fi/sv/node/254</x:v>
      </x:c>
      <x:c r="Q30" s="66" t="str">
        <x:v>B05</x:v>
      </x:c>
      <x:c r="R30" s="66" t="str">
        <x:v>Initial association evidenced</x:v>
      </x:c>
      <x:c r="S30" s="66" t="str">
        <x:v>Identification screening only</x:v>
      </x:c>
    </x:row>
    <x:row r="31" ht="60" customHeight="1">
      <x:c r="A31" s="66" t="str">
        <x:v>TSS-0025</x:v>
      </x:c>
      <x:c r="B31" s="66" t="str">
        <x:v>Baltic Sea and approaches</x:v>
      </x:c>
      <x:c r="C31" s="66" t="str">
        <x:v>Off Porkkala Lighthouse</x:v>
      </x:c>
      <x:c r="D31" s="66" t="str">
        <x:v>Source entry; component check pending</x:v>
      </x:c>
      <x:c r="E31" s="66" t="str">
        <x:v>Provisional: official baseline reconciliation pending</x:v>
      </x:c>
      <x:c r="F31" s="66" t="str">
        <x:v>Not established by reporting source</x:v>
      </x:c>
      <x:c r="G31" s="66" t="str">
        <x:v>Authority evidence found</x:v>
      </x:c>
      <x:c r="H31" s="66" t="str"/>
      <x:c r="I31" s="66" t="str">
        <x:v>SRS-006</x:v>
      </x:c>
      <x:c r="J31" s="66" t="str"/>
      <x:c r="K31" s="66" t="str">
        <x:v>SRC-001</x:v>
      </x:c>
      <x:c r="L31" s="67" t="str">
        <x:v>https://www.scribd.com/document/1014775753/1-1-IMO-Adopted-Traffic-Separation-Schemes-on-the-ADMIRALTY-Chart-Series</x:v>
      </x:c>
      <x:c r="M31" s="66" t="str">
        <x:v>Notice 17; scheme label: Off Porkkala Lighthouse</x:v>
      </x:c>
      <x:c r="N31" s="66" t="str">
        <x:v>UKHO-labelled document on third-party host; edition and currency unverified.</x:v>
      </x:c>
      <x:c r="O31" s="66" t="str">
        <x:v>SRC-011; SRC-012</x:v>
      </x:c>
      <x:c r="P31" s="67" t="str">
        <x:v>https://mastersguide.fintraffic.fi/en/gofrep-area
https://www.fintraffic.fi/sv/node/254</x:v>
      </x:c>
      <x:c r="Q31" s="66" t="str">
        <x:v>B05</x:v>
      </x:c>
      <x:c r="R31" s="66" t="str">
        <x:v>Initial association evidenced</x:v>
      </x:c>
      <x:c r="S31" s="66" t="str">
        <x:v>Identification screening only</x:v>
      </x:c>
    </x:row>
    <x:row r="32" ht="60" customHeight="1">
      <x:c r="A32" s="66" t="str">
        <x:v>TSS-0026</x:v>
      </x:c>
      <x:c r="B32" s="66" t="str">
        <x:v>Baltic Sea and approaches</x:v>
      </x:c>
      <x:c r="C32" s="66" t="str">
        <x:v>Off Hankoniemi Peninsula (Hanko)</x:v>
      </x:c>
      <x:c r="D32" s="66" t="str">
        <x:v>Source entry; component check pending</x:v>
      </x:c>
      <x:c r="E32" s="66" t="str">
        <x:v>Provisional: official baseline reconciliation pending</x:v>
      </x:c>
      <x:c r="F32" s="66" t="str">
        <x:v>Not established by reporting source</x:v>
      </x:c>
      <x:c r="G32" s="66" t="str">
        <x:v>Authority evidence found</x:v>
      </x:c>
      <x:c r="H32" s="66" t="str"/>
      <x:c r="I32" s="66" t="str">
        <x:v>SRS-006</x:v>
      </x:c>
      <x:c r="J32" s="66" t="str"/>
      <x:c r="K32" s="66" t="str">
        <x:v>SRC-001</x:v>
      </x:c>
      <x:c r="L32" s="67" t="str">
        <x:v>https://www.scribd.com/document/1014775753/1-1-IMO-Adopted-Traffic-Separation-Schemes-on-the-ADMIRALTY-Chart-Series</x:v>
      </x:c>
      <x:c r="M32" s="66" t="str">
        <x:v>Notice 17; scheme label: Off Hankoniemi Peninsula (Hanko)</x:v>
      </x:c>
      <x:c r="N32" s="66" t="str">
        <x:v>UKHO-labelled document on third-party host; edition and currency unverified.</x:v>
      </x:c>
      <x:c r="O32" s="66" t="str">
        <x:v>SRC-011; SRC-012</x:v>
      </x:c>
      <x:c r="P32" s="67" t="str">
        <x:v>https://mastersguide.fintraffic.fi/en/gofrep-area
https://www.fintraffic.fi/sv/node/254</x:v>
      </x:c>
      <x:c r="Q32" s="66" t="str">
        <x:v>B06</x:v>
      </x:c>
      <x:c r="R32" s="66" t="str">
        <x:v>Initial association evidenced</x:v>
      </x:c>
      <x:c r="S32" s="66" t="str">
        <x:v>Identification screening only</x:v>
      </x:c>
    </x:row>
    <x:row r="33" ht="60" customHeight="1">
      <x:c r="A33" s="66" t="str">
        <x:v>TSS-0027</x:v>
      </x:c>
      <x:c r="B33" s="66" t="str">
        <x:v>Baltic Sea and approaches</x:v>
      </x:c>
      <x:c r="C33" s="66" t="str">
        <x:v>Off Köpu Peninsula (Hiiumaa Island)</x:v>
      </x:c>
      <x:c r="D33" s="66" t="str">
        <x:v>Source entry; component check pending</x:v>
      </x:c>
      <x:c r="E33" s="66" t="str">
        <x:v>Provisional: official baseline reconciliation pending</x:v>
      </x:c>
      <x:c r="F33" s="66" t="str">
        <x:v>Not established by reporting source</x:v>
      </x:c>
      <x:c r="G33" s="66" t="str">
        <x:v>Authority evidence found</x:v>
      </x:c>
      <x:c r="H33" s="66" t="str"/>
      <x:c r="I33" s="66" t="str">
        <x:v>SRS-006</x:v>
      </x:c>
      <x:c r="J33" s="66" t="str"/>
      <x:c r="K33" s="66" t="str">
        <x:v>SRC-001</x:v>
      </x:c>
      <x:c r="L33" s="67" t="str">
        <x:v>https://www.scribd.com/document/1014775753/1-1-IMO-Adopted-Traffic-Separation-Schemes-on-the-ADMIRALTY-Chart-Series</x:v>
      </x:c>
      <x:c r="M33" s="66" t="str">
        <x:v>Notice 17; scheme label: Off Köpu Peninsula (Hiiumaa Island)</x:v>
      </x:c>
      <x:c r="N33" s="66" t="str">
        <x:v>UKHO-labelled document on third-party host; edition and currency unverified.</x:v>
      </x:c>
      <x:c r="O33" s="66" t="str">
        <x:v>SRC-011; SRC-012</x:v>
      </x:c>
      <x:c r="P33" s="67" t="str">
        <x:v>https://mastersguide.fintraffic.fi/en/gofrep-area
https://www.fintraffic.fi/sv/node/254</x:v>
      </x:c>
      <x:c r="Q33" s="66" t="str">
        <x:v>B06</x:v>
      </x:c>
      <x:c r="R33" s="66" t="str">
        <x:v>Initial association evidenced</x:v>
      </x:c>
      <x:c r="S33" s="66" t="str">
        <x:v>Identification screening only</x:v>
      </x:c>
    </x:row>
    <x:row r="34" ht="60" customHeight="1">
      <x:c r="A34" s="66" t="str">
        <x:v>TSS-0028</x:v>
      </x:c>
      <x:c r="B34" s="66" t="str">
        <x:v>Baltic Sea and approaches</x:v>
      </x:c>
      <x:c r="C34" s="66" t="str">
        <x:v>North Hoburgs Bank</x:v>
      </x:c>
      <x:c r="D34" s="66" t="str">
        <x:v>Source entry; component check pending</x:v>
      </x:c>
      <x:c r="E34" s="66" t="str">
        <x:v>Provisional: official baseline reconciliation pending</x:v>
      </x:c>
      <x:c r="F34" s="66" t="str">
        <x:v>Not researched</x:v>
      </x:c>
      <x:c r="G34" s="66" t="str">
        <x:v>Not researched</x:v>
      </x:c>
      <x:c r="H34" s="66" t="str"/>
      <x:c r="I34" s="66" t="str"/>
      <x:c r="J34" s="66" t="str"/>
      <x:c r="K34" s="66" t="str">
        <x:v>SRC-001</x:v>
      </x:c>
      <x:c r="L34" s="67" t="str">
        <x:v>https://www.scribd.com/document/1014775753/1-1-IMO-Adopted-Traffic-Separation-Schemes-on-the-ADMIRALTY-Chart-Series</x:v>
      </x:c>
      <x:c r="M34" s="66" t="str">
        <x:v>Notice 17; scheme label: North Hoburgs Bank</x:v>
      </x:c>
      <x:c r="N34" s="66" t="str">
        <x:v>UKHO-labelled document on third-party host; edition and currency unverified.</x:v>
      </x:c>
      <x:c r="O34" s="66" t="str"/>
      <x:c r="P34" s="67" t="str"/>
      <x:c r="Q34" s="66" t="str">
        <x:v>B06</x:v>
      </x:c>
      <x:c r="R34" s="66" t="str">
        <x:v>Candidate recorded</x:v>
      </x:c>
      <x:c r="S34" s="66" t="str">
        <x:v>Not established</x:v>
      </x:c>
    </x:row>
    <x:row r="35" ht="60" customHeight="1">
      <x:c r="A35" s="66" t="str">
        <x:v>TSS-0029</x:v>
      </x:c>
      <x:c r="B35" s="66" t="str">
        <x:v>Baltic Sea and approaches</x:v>
      </x:c>
      <x:c r="C35" s="66" t="str">
        <x:v>South Hoburgs Bank</x:v>
      </x:c>
      <x:c r="D35" s="66" t="str">
        <x:v>Source entry; component check pending</x:v>
      </x:c>
      <x:c r="E35" s="66" t="str">
        <x:v>Provisional: official baseline reconciliation pending</x:v>
      </x:c>
      <x:c r="F35" s="66" t="str">
        <x:v>Not researched</x:v>
      </x:c>
      <x:c r="G35" s="66" t="str">
        <x:v>Not researched</x:v>
      </x:c>
      <x:c r="H35" s="66" t="str"/>
      <x:c r="I35" s="66" t="str"/>
      <x:c r="J35" s="66" t="str"/>
      <x:c r="K35" s="66" t="str">
        <x:v>SRC-001</x:v>
      </x:c>
      <x:c r="L35" s="67" t="str">
        <x:v>https://www.scribd.com/document/1014775753/1-1-IMO-Adopted-Traffic-Separation-Schemes-on-the-ADMIRALTY-Chart-Series</x:v>
      </x:c>
      <x:c r="M35" s="66" t="str">
        <x:v>Notice 17; scheme label: South Hoburgs Bank</x:v>
      </x:c>
      <x:c r="N35" s="66" t="str">
        <x:v>UKHO-labelled document on third-party host; edition and currency unverified.</x:v>
      </x:c>
      <x:c r="O35" s="66" t="str"/>
      <x:c r="P35" s="67" t="str"/>
      <x:c r="Q35" s="66" t="str">
        <x:v>B06</x:v>
      </x:c>
      <x:c r="R35" s="66" t="str">
        <x:v>Candidate recorded</x:v>
      </x:c>
      <x:c r="S35" s="66" t="str">
        <x:v>Not established</x:v>
      </x:c>
    </x:row>
    <x:row r="36" ht="60" customHeight="1">
      <x:c r="A36" s="66" t="str">
        <x:v>TSS-0030</x:v>
      </x:c>
      <x:c r="B36" s="66" t="str">
        <x:v>Baltic Sea and approaches</x:v>
      </x:c>
      <x:c r="C36" s="66" t="str">
        <x:v>West Klintehamn</x:v>
      </x:c>
      <x:c r="D36" s="66" t="str">
        <x:v>Source entry; component check pending</x:v>
      </x:c>
      <x:c r="E36" s="66" t="str">
        <x:v>Provisional: official baseline reconciliation pending</x:v>
      </x:c>
      <x:c r="F36" s="66" t="str">
        <x:v>Not researched</x:v>
      </x:c>
      <x:c r="G36" s="66" t="str">
        <x:v>Not researched</x:v>
      </x:c>
      <x:c r="H36" s="66" t="str"/>
      <x:c r="I36" s="66" t="str"/>
      <x:c r="J36" s="66" t="str"/>
      <x:c r="K36" s="66" t="str">
        <x:v>SRC-001</x:v>
      </x:c>
      <x:c r="L36" s="67" t="str">
        <x:v>https://www.scribd.com/document/1014775753/1-1-IMO-Adopted-Traffic-Separation-Schemes-on-the-ADMIRALTY-Chart-Series</x:v>
      </x:c>
      <x:c r="M36" s="66" t="str">
        <x:v>Notice 17; scheme label: West Klintehamn</x:v>
      </x:c>
      <x:c r="N36" s="66" t="str">
        <x:v>UKHO-labelled document on third-party host; edition and currency unverified.</x:v>
      </x:c>
      <x:c r="O36" s="66" t="str"/>
      <x:c r="P36" s="67" t="str"/>
      <x:c r="Q36" s="66" t="str">
        <x:v>B06</x:v>
      </x:c>
      <x:c r="R36" s="66" t="str">
        <x:v>Candidate recorded</x:v>
      </x:c>
      <x:c r="S36" s="66" t="str">
        <x:v>Not established</x:v>
      </x:c>
    </x:row>
    <x:row r="37" ht="60" customHeight="1">
      <x:c r="A37" s="66" t="str">
        <x:v>TSS-0031</x:v>
      </x:c>
      <x:c r="B37" s="66" t="str">
        <x:v>Baltic Sea and approaches</x:v>
      </x:c>
      <x:c r="C37" s="66" t="str">
        <x:v>Midsjöbankarna</x:v>
      </x:c>
      <x:c r="D37" s="66" t="str">
        <x:v>Source entry; component check pending</x:v>
      </x:c>
      <x:c r="E37" s="66" t="str">
        <x:v>Provisional: official baseline reconciliation pending</x:v>
      </x:c>
      <x:c r="F37" s="66" t="str">
        <x:v>Not researched</x:v>
      </x:c>
      <x:c r="G37" s="66" t="str">
        <x:v>Not researched</x:v>
      </x:c>
      <x:c r="H37" s="66" t="str"/>
      <x:c r="I37" s="66" t="str"/>
      <x:c r="J37" s="66" t="str"/>
      <x:c r="K37" s="66" t="str">
        <x:v>SRC-001</x:v>
      </x:c>
      <x:c r="L37" s="67" t="str">
        <x:v>https://www.scribd.com/document/1014775753/1-1-IMO-Adopted-Traffic-Separation-Schemes-on-the-ADMIRALTY-Chart-Series</x:v>
      </x:c>
      <x:c r="M37" s="66" t="str">
        <x:v>Notice 17; scheme label: Midsjöbankarna</x:v>
      </x:c>
      <x:c r="N37" s="66" t="str">
        <x:v>UKHO-labelled document on third-party host; edition and currency unverified.</x:v>
      </x:c>
      <x:c r="O37" s="66" t="str"/>
      <x:c r="P37" s="67" t="str"/>
      <x:c r="Q37" s="66" t="str">
        <x:v>B07</x:v>
      </x:c>
      <x:c r="R37" s="66" t="str">
        <x:v>Candidate recorded</x:v>
      </x:c>
      <x:c r="S37" s="66" t="str">
        <x:v>Not established</x:v>
      </x:c>
    </x:row>
    <x:row r="38" ht="60" customHeight="1">
      <x:c r="A38" s="66" t="str">
        <x:v>TSS-0032</x:v>
      </x:c>
      <x:c r="B38" s="66" t="str">
        <x:v>Baltic Sea and approaches</x:v>
      </x:c>
      <x:c r="C38" s="66" t="str">
        <x:v>Adlergrund</x:v>
      </x:c>
      <x:c r="D38" s="66" t="str">
        <x:v>Source entry; component check pending</x:v>
      </x:c>
      <x:c r="E38" s="66" t="str">
        <x:v>Provisional: official baseline reconciliation pending</x:v>
      </x:c>
      <x:c r="F38" s="66" t="str">
        <x:v>Not researched</x:v>
      </x:c>
      <x:c r="G38" s="66" t="str">
        <x:v>Not researched</x:v>
      </x:c>
      <x:c r="H38" s="66" t="str"/>
      <x:c r="I38" s="66" t="str"/>
      <x:c r="J38" s="66" t="str"/>
      <x:c r="K38" s="66" t="str">
        <x:v>SRC-001</x:v>
      </x:c>
      <x:c r="L38" s="67" t="str">
        <x:v>https://www.scribd.com/document/1014775753/1-1-IMO-Adopted-Traffic-Separation-Schemes-on-the-ADMIRALTY-Chart-Series</x:v>
      </x:c>
      <x:c r="M38" s="66" t="str">
        <x:v>Notice 17; scheme label: Adlergrund</x:v>
      </x:c>
      <x:c r="N38" s="66" t="str">
        <x:v>UKHO-labelled document on third-party host; edition and currency unverified.</x:v>
      </x:c>
      <x:c r="O38" s="66" t="str"/>
      <x:c r="P38" s="67" t="str"/>
      <x:c r="Q38" s="66" t="str">
        <x:v>B07</x:v>
      </x:c>
      <x:c r="R38" s="66" t="str">
        <x:v>Candidate recorded</x:v>
      </x:c>
      <x:c r="S38" s="66" t="str">
        <x:v>Not established</x:v>
      </x:c>
    </x:row>
    <x:row r="39" ht="60" customHeight="1">
      <x:c r="A39" s="66" t="str">
        <x:v>TSS-0033</x:v>
      </x:c>
      <x:c r="B39" s="66" t="str">
        <x:v>Baltic Sea and approaches</x:v>
      </x:c>
      <x:c r="C39" s="66" t="str">
        <x:v>Slupska Bank</x:v>
      </x:c>
      <x:c r="D39" s="66" t="str">
        <x:v>Source entry; component check pending</x:v>
      </x:c>
      <x:c r="E39" s="66" t="str">
        <x:v>Provisional: official baseline reconciliation pending</x:v>
      </x:c>
      <x:c r="F39" s="66" t="str">
        <x:v>Not researched</x:v>
      </x:c>
      <x:c r="G39" s="66" t="str">
        <x:v>Not researched</x:v>
      </x:c>
      <x:c r="H39" s="66" t="str"/>
      <x:c r="I39" s="66" t="str"/>
      <x:c r="J39" s="66" t="str">
        <x:v>Check component names and amendments; do not assume this label represents one current scheme.</x:v>
      </x:c>
      <x:c r="K39" s="66" t="str">
        <x:v>SRC-001</x:v>
      </x:c>
      <x:c r="L39" s="67" t="str">
        <x:v>https://www.scribd.com/document/1014775753/1-1-IMO-Adopted-Traffic-Separation-Schemes-on-the-ADMIRALTY-Chart-Series</x:v>
      </x:c>
      <x:c r="M39" s="66" t="str">
        <x:v>Notice 17; scheme label: Slupska Bank</x:v>
      </x:c>
      <x:c r="N39" s="66" t="str">
        <x:v>UKHO-labelled document on third-party host; edition and currency unverified.</x:v>
      </x:c>
      <x:c r="O39" s="66" t="str"/>
      <x:c r="P39" s="67" t="str"/>
      <x:c r="Q39" s="66" t="str">
        <x:v>B07</x:v>
      </x:c>
      <x:c r="R39" s="66" t="str">
        <x:v>Candidate recorded</x:v>
      </x:c>
      <x:c r="S39" s="66" t="str">
        <x:v>Not established</x:v>
      </x:c>
    </x:row>
    <x:row r="40" ht="60" customHeight="1">
      <x:c r="A40" s="66" t="str">
        <x:v>TSS-0034</x:v>
      </x:c>
      <x:c r="B40" s="66" t="str">
        <x:v>Baltic Sea and approaches</x:v>
      </x:c>
      <x:c r="C40" s="66" t="str">
        <x:v>Off Öland Island</x:v>
      </x:c>
      <x:c r="D40" s="66" t="str">
        <x:v>Source entry; component check pending</x:v>
      </x:c>
      <x:c r="E40" s="66" t="str">
        <x:v>Provisional: official baseline reconciliation pending</x:v>
      </x:c>
      <x:c r="F40" s="66" t="str">
        <x:v>Not researched</x:v>
      </x:c>
      <x:c r="G40" s="66" t="str">
        <x:v>Not researched</x:v>
      </x:c>
      <x:c r="H40" s="66" t="str"/>
      <x:c r="I40" s="66" t="str"/>
      <x:c r="J40" s="66" t="str"/>
      <x:c r="K40" s="66" t="str">
        <x:v>SRC-001</x:v>
      </x:c>
      <x:c r="L40" s="67" t="str">
        <x:v>https://www.scribd.com/document/1014775753/1-1-IMO-Adopted-Traffic-Separation-Schemes-on-the-ADMIRALTY-Chart-Series</x:v>
      </x:c>
      <x:c r="M40" s="66" t="str">
        <x:v>Notice 17; scheme label: Off Öland Island</x:v>
      </x:c>
      <x:c r="N40" s="66" t="str">
        <x:v>UKHO-labelled document on third-party host; edition and currency unverified.</x:v>
      </x:c>
      <x:c r="O40" s="66" t="str"/>
      <x:c r="P40" s="67" t="str"/>
      <x:c r="Q40" s="66" t="str">
        <x:v>B07</x:v>
      </x:c>
      <x:c r="R40" s="66" t="str">
        <x:v>Candidate recorded</x:v>
      </x:c>
      <x:c r="S40" s="66" t="str">
        <x:v>Not established</x:v>
      </x:c>
    </x:row>
    <x:row r="41" ht="60" customHeight="1">
      <x:c r="A41" s="66" t="str">
        <x:v>TSS-0035</x:v>
      </x:c>
      <x:c r="B41" s="66" t="str">
        <x:v>Baltic Sea and approaches</x:v>
      </x:c>
      <x:c r="C41" s="66" t="str">
        <x:v>In Bornholmsgat</x:v>
      </x:c>
      <x:c r="D41" s="66" t="str">
        <x:v>Source entry; component check pending</x:v>
      </x:c>
      <x:c r="E41" s="66" t="str">
        <x:v>Provisional: official baseline reconciliation pending</x:v>
      </x:c>
      <x:c r="F41" s="66" t="str">
        <x:v>Not researched</x:v>
      </x:c>
      <x:c r="G41" s="66" t="str">
        <x:v>Not researched</x:v>
      </x:c>
      <x:c r="H41" s="66" t="str"/>
      <x:c r="I41" s="66" t="str"/>
      <x:c r="J41" s="66" t="str"/>
      <x:c r="K41" s="66" t="str">
        <x:v>SRC-001</x:v>
      </x:c>
      <x:c r="L41" s="67" t="str">
        <x:v>https://www.scribd.com/document/1014775753/1-1-IMO-Adopted-Traffic-Separation-Schemes-on-the-ADMIRALTY-Chart-Series</x:v>
      </x:c>
      <x:c r="M41" s="66" t="str">
        <x:v>Notice 17; scheme label: In Bornholmsgat</x:v>
      </x:c>
      <x:c r="N41" s="66" t="str">
        <x:v>UKHO-labelled document on third-party host; edition and currency unverified.</x:v>
      </x:c>
      <x:c r="O41" s="66" t="str"/>
      <x:c r="P41" s="67" t="str"/>
      <x:c r="Q41" s="66" t="str">
        <x:v>B07</x:v>
      </x:c>
      <x:c r="R41" s="66" t="str">
        <x:v>Candidate recorded</x:v>
      </x:c>
      <x:c r="S41" s="66" t="str">
        <x:v>Not established</x:v>
      </x:c>
    </x:row>
    <x:row r="42" ht="60" customHeight="1">
      <x:c r="A42" s="66" t="str">
        <x:v>TSS-0036</x:v>
      </x:c>
      <x:c r="B42" s="66" t="str">
        <x:v>Baltic Sea and approaches</x:v>
      </x:c>
      <x:c r="C42" s="66" t="str">
        <x:v>North of Rügen</x:v>
      </x:c>
      <x:c r="D42" s="66" t="str">
        <x:v>Source entry; component check pending</x:v>
      </x:c>
      <x:c r="E42" s="66" t="str">
        <x:v>Provisional: official baseline reconciliation pending</x:v>
      </x:c>
      <x:c r="F42" s="66" t="str">
        <x:v>Not researched</x:v>
      </x:c>
      <x:c r="G42" s="66" t="str">
        <x:v>Not researched</x:v>
      </x:c>
      <x:c r="H42" s="66" t="str"/>
      <x:c r="I42" s="66" t="str"/>
      <x:c r="J42" s="66" t="str"/>
      <x:c r="K42" s="66" t="str">
        <x:v>SRC-001</x:v>
      </x:c>
      <x:c r="L42" s="67" t="str">
        <x:v>https://www.scribd.com/document/1014775753/1-1-IMO-Adopted-Traffic-Separation-Schemes-on-the-ADMIRALTY-Chart-Series</x:v>
      </x:c>
      <x:c r="M42" s="66" t="str">
        <x:v>Notice 17; scheme label: North of Rügen</x:v>
      </x:c>
      <x:c r="N42" s="66" t="str">
        <x:v>UKHO-labelled document on third-party host; edition and currency unverified.</x:v>
      </x:c>
      <x:c r="O42" s="66" t="str"/>
      <x:c r="P42" s="67" t="str"/>
      <x:c r="Q42" s="66" t="str">
        <x:v>B08</x:v>
      </x:c>
      <x:c r="R42" s="66" t="str">
        <x:v>Candidate recorded</x:v>
      </x:c>
      <x:c r="S42" s="66" t="str">
        <x:v>Not established</x:v>
      </x:c>
    </x:row>
    <x:row r="43" ht="60" customHeight="1">
      <x:c r="A43" s="66" t="str">
        <x:v>TSS-0037</x:v>
      </x:c>
      <x:c r="B43" s="66" t="str">
        <x:v>Baltic Sea and approaches</x:v>
      </x:c>
      <x:c r="C43" s="66" t="str">
        <x:v>South of Gedser</x:v>
      </x:c>
      <x:c r="D43" s="66" t="str">
        <x:v>Source entry; component check pending</x:v>
      </x:c>
      <x:c r="E43" s="66" t="str">
        <x:v>Provisional: official baseline reconciliation pending</x:v>
      </x:c>
      <x:c r="F43" s="66" t="str">
        <x:v>Not researched</x:v>
      </x:c>
      <x:c r="G43" s="66" t="str">
        <x:v>Not researched</x:v>
      </x:c>
      <x:c r="H43" s="66" t="str"/>
      <x:c r="I43" s="66" t="str"/>
      <x:c r="J43" s="66" t="str"/>
      <x:c r="K43" s="66" t="str">
        <x:v>SRC-001</x:v>
      </x:c>
      <x:c r="L43" s="67" t="str">
        <x:v>https://www.scribd.com/document/1014775753/1-1-IMO-Adopted-Traffic-Separation-Schemes-on-the-ADMIRALTY-Chart-Series</x:v>
      </x:c>
      <x:c r="M43" s="66" t="str">
        <x:v>Notice 17; scheme label: South of Gedser</x:v>
      </x:c>
      <x:c r="N43" s="66" t="str">
        <x:v>UKHO-labelled document on third-party host; edition and currency unverified.</x:v>
      </x:c>
      <x:c r="O43" s="66" t="str"/>
      <x:c r="P43" s="67" t="str"/>
      <x:c r="Q43" s="66" t="str">
        <x:v>B08</x:v>
      </x:c>
      <x:c r="R43" s="66" t="str">
        <x:v>Candidate recorded</x:v>
      </x:c>
      <x:c r="S43" s="66" t="str">
        <x:v>Not established</x:v>
      </x:c>
    </x:row>
    <x:row r="44" ht="106.5" customHeight="1">
      <x:c r="A44" s="66" t="str">
        <x:v>TSS-0038</x:v>
      </x:c>
      <x:c r="B44" s="66" t="str">
        <x:v>Baltic Sea and approaches</x:v>
      </x:c>
      <x:c r="C44" s="66" t="str">
        <x:v>Between Korsoer and Sprogoe (Korsør and Sprogø)</x:v>
      </x:c>
      <x:c r="D44" s="66" t="str">
        <x:v>Source entry; component check pending</x:v>
      </x:c>
      <x:c r="E44" s="66" t="str">
        <x:v>Provisional: official baseline reconciliation pending</x:v>
      </x:c>
      <x:c r="F44" s="66" t="str">
        <x:v>Service association evidenced; boundary audit pending</x:v>
      </x:c>
      <x:c r="G44" s="66" t="str">
        <x:v>Mandatory scheme association evidenced; applicability audit pending</x:v>
      </x:c>
      <x:c r="H44" s="66" t="str">
        <x:v>VTS-002</x:v>
      </x:c>
      <x:c r="I44" s="66" t="str">
        <x:v>SRS-002</x:v>
      </x:c>
      <x:c r="J44" s="66" t="str">
        <x:v>MSC.332(90), annex 2.1–2.2 and 6.2–6.4, explicitly names the relevant TSS. Detailed chart and current rule reconciliation remain pending.</x:v>
      </x:c>
      <x:c r="K44" s="66" t="str">
        <x:v>SRC-001</x:v>
      </x:c>
      <x:c r="L44" s="67" t="str">
        <x:v>https://www.scribd.com/document/1014775753/1-1-IMO-Adopted-Traffic-Separation-Schemes-on-the-ADMIRALTY-Chart-Series</x:v>
      </x:c>
      <x:c r="M44" s="66" t="str">
        <x:v>Notice 17; scheme label: Between Korsoer and Sprogoe (Korsør and Sprogø)</x:v>
      </x:c>
      <x:c r="N44" s="66" t="str">
        <x:v>UKHO-labelled document on third-party host; edition and currency unverified.</x:v>
      </x:c>
      <x:c r="O44" s="66" t="str">
        <x:v>SRC-008; SRC-015; SRC-020</x:v>
      </x:c>
      <x:c r="P44" s="67" t="str">
        <x:v>https://www.forsvaret.dk/da/organisation/soevaernet/civile-opgaver/beltrep/
https://www.forsvaret.dk/da/organisation/soevaernet/nationalt-maritimt-operationscenter/vts/
https://wwwcdn.imo.org/localresources/en/KnowledgeCentre/IndexofIMOResolutions/MSCResolutions/MSC.332(90).pdf</x:v>
      </x:c>
      <x:c r="Q44" s="66" t="str">
        <x:v>B08</x:v>
      </x:c>
      <x:c r="R44" s="66" t="str">
        <x:v>Initial association evidenced</x:v>
      </x:c>
      <x:c r="S44" s="66" t="str">
        <x:v>2026-09-29</x:v>
      </x:c>
    </x:row>
    <x:row r="45" ht="106.5" customHeight="1">
      <x:c r="A45" s="66" t="str">
        <x:v>TSS-0039</x:v>
      </x:c>
      <x:c r="B45" s="66" t="str">
        <x:v>Baltic Sea and approaches</x:v>
      </x:c>
      <x:c r="C45" s="66" t="str">
        <x:v>At Hatter Barn</x:v>
      </x:c>
      <x:c r="D45" s="66" t="str">
        <x:v>Source entry; component check pending</x:v>
      </x:c>
      <x:c r="E45" s="66" t="str">
        <x:v>Provisional: official baseline reconciliation pending</x:v>
      </x:c>
      <x:c r="F45" s="66" t="str">
        <x:v>Service association evidenced; boundary audit pending</x:v>
      </x:c>
      <x:c r="G45" s="66" t="str">
        <x:v>Mandatory scheme association evidenced; applicability audit pending</x:v>
      </x:c>
      <x:c r="H45" s="66" t="str">
        <x:v>VTS-002</x:v>
      </x:c>
      <x:c r="I45" s="66" t="str">
        <x:v>SRS-002</x:v>
      </x:c>
      <x:c r="J45" s="66" t="str">
        <x:v>MSC.332(90), annex 2.1–2.2 and 6.2–6.4, explicitly names the relevant TSS. Detailed chart and current rule reconciliation remain pending.</x:v>
      </x:c>
      <x:c r="K45" s="66" t="str">
        <x:v>SRC-001</x:v>
      </x:c>
      <x:c r="L45" s="67" t="str">
        <x:v>https://www.scribd.com/document/1014775753/1-1-IMO-Adopted-Traffic-Separation-Schemes-on-the-ADMIRALTY-Chart-Series</x:v>
      </x:c>
      <x:c r="M45" s="66" t="str">
        <x:v>Notice 17; scheme label: At Hatter Barn</x:v>
      </x:c>
      <x:c r="N45" s="66" t="str">
        <x:v>UKHO-labelled document on third-party host; edition and currency unverified.</x:v>
      </x:c>
      <x:c r="O45" s="66" t="str">
        <x:v>SRC-008; SRC-015; SRC-020</x:v>
      </x:c>
      <x:c r="P45" s="67" t="str">
        <x:v>https://www.forsvaret.dk/da/organisation/soevaernet/civile-opgaver/beltrep/
https://www.forsvaret.dk/da/organisation/soevaernet/nationalt-maritimt-operationscenter/vts/
https://wwwcdn.imo.org/localresources/en/KnowledgeCentre/IndexofIMOResolutions/MSCResolutions/MSC.332(90).pdf</x:v>
      </x:c>
      <x:c r="Q45" s="66" t="str">
        <x:v>B08</x:v>
      </x:c>
      <x:c r="R45" s="66" t="str">
        <x:v>Initial association evidenced</x:v>
      </x:c>
      <x:c r="S45" s="66" t="str">
        <x:v>2026-09-29</x:v>
      </x:c>
    </x:row>
    <x:row r="46" ht="106.5" customHeight="1">
      <x:c r="A46" s="66" t="str">
        <x:v>TSS-0040</x:v>
      </x:c>
      <x:c r="B46" s="66" t="str">
        <x:v>Baltic Sea and approaches</x:v>
      </x:c>
      <x:c r="C46" s="66" t="str">
        <x:v>In The Sound</x:v>
      </x:c>
      <x:c r="D46" s="66" t="str">
        <x:v>Source entry; component check pending</x:v>
      </x:c>
      <x:c r="E46" s="66" t="str">
        <x:v>Provisional: official baseline reconciliation pending</x:v>
      </x:c>
      <x:c r="F46" s="66" t="str">
        <x:v>Service association evidenced; boundary audit pending</x:v>
      </x:c>
      <x:c r="G46" s="66" t="str">
        <x:v>Mandatory scheme association evidenced; applicability audit pending</x:v>
      </x:c>
      <x:c r="H46" s="66" t="str">
        <x:v>VTS-003</x:v>
      </x:c>
      <x:c r="I46" s="66" t="str">
        <x:v>SRS-003</x:v>
      </x:c>
      <x:c r="J46" s="66" t="str">
        <x:v>MSC.314(88), annex 6.2–6.3, names 'In the Sound' and 'Off Falsterbo'. Preserve the candidate label; formal alias reconciliation remains pending.</x:v>
      </x:c>
      <x:c r="K46" s="66" t="str">
        <x:v>SRC-001</x:v>
      </x:c>
      <x:c r="L46" s="67" t="str">
        <x:v>https://www.scribd.com/document/1014775753/1-1-IMO-Adopted-Traffic-Separation-Schemes-on-the-ADMIRALTY-Chart-Series</x:v>
      </x:c>
      <x:c r="M46" s="66" t="str">
        <x:v>Notice 17; scheme label: In The Sound</x:v>
      </x:c>
      <x:c r="N46" s="66" t="str">
        <x:v>UKHO-labelled document on third-party host; edition and currency unverified.</x:v>
      </x:c>
      <x:c r="O46" s="66" t="str">
        <x:v>SRC-009; SRC-015; SRC-021</x:v>
      </x:c>
      <x:c r="P46" s="67" t="str">
        <x:v>https://www.sjofartsverket.se/en/services/maritime-traffic-information/soundrep/soundrep-information/about-soundrep/
https://www.forsvaret.dk/da/organisation/soevaernet/nationalt-maritimt-operationscenter/vts/
https://www.sjofartsverket.se/globalassets/tjanster/sjotrafiktjanster/msc.31488.pdf</x:v>
      </x:c>
      <x:c r="Q46" s="66" t="str">
        <x:v>B08</x:v>
      </x:c>
      <x:c r="R46" s="66" t="str">
        <x:v>Initial association evidenced</x:v>
      </x:c>
      <x:c r="S46" s="66" t="str">
        <x:v>2026-09-29</x:v>
      </x:c>
    </x:row>
    <x:row r="47" ht="106.5" customHeight="1">
      <x:c r="A47" s="66" t="str">
        <x:v>TSS-0041</x:v>
      </x:c>
      <x:c r="B47" s="66" t="str">
        <x:v>Baltic Sea and approaches</x:v>
      </x:c>
      <x:c r="C47" s="66" t="str">
        <x:v>Off Falsterborev</x:v>
      </x:c>
      <x:c r="D47" s="66" t="str">
        <x:v>Source entry; component check pending</x:v>
      </x:c>
      <x:c r="E47" s="66" t="str">
        <x:v>Provisional: official baseline reconciliation pending</x:v>
      </x:c>
      <x:c r="F47" s="66" t="str">
        <x:v>Service association evidenced; boundary audit pending</x:v>
      </x:c>
      <x:c r="G47" s="66" t="str">
        <x:v>Mandatory scheme association evidenced; applicability audit pending</x:v>
      </x:c>
      <x:c r="H47" s="66" t="str">
        <x:v>VTS-003</x:v>
      </x:c>
      <x:c r="I47" s="66" t="str">
        <x:v>SRS-003</x:v>
      </x:c>
      <x:c r="J47" s="66" t="str">
        <x:v>MSC.314(88), annex 6.2–6.3, names 'In the Sound' and 'Off Falsterbo'. Preserve the candidate label; formal alias reconciliation remains pending.</x:v>
      </x:c>
      <x:c r="K47" s="66" t="str">
        <x:v>SRC-001</x:v>
      </x:c>
      <x:c r="L47" s="67" t="str">
        <x:v>https://www.scribd.com/document/1014775753/1-1-IMO-Adopted-Traffic-Separation-Schemes-on-the-ADMIRALTY-Chart-Series</x:v>
      </x:c>
      <x:c r="M47" s="66" t="str">
        <x:v>Notice 17; scheme label: Off Falsterborev</x:v>
      </x:c>
      <x:c r="N47" s="66" t="str">
        <x:v>UKHO-labelled document on third-party host; edition and currency unverified.</x:v>
      </x:c>
      <x:c r="O47" s="66" t="str">
        <x:v>SRC-009; SRC-015; SRC-021</x:v>
      </x:c>
      <x:c r="P47" s="67" t="str">
        <x:v>https://www.sjofartsverket.se/en/services/maritime-traffic-information/soundrep/soundrep-information/about-soundrep/
https://www.forsvaret.dk/da/organisation/soevaernet/nationalt-maritimt-operationscenter/vts/
https://www.sjofartsverket.se/globalassets/tjanster/sjotrafiktjanster/msc.31488.pdf</x:v>
      </x:c>
      <x:c r="Q47" s="66" t="str">
        <x:v>B09</x:v>
      </x:c>
      <x:c r="R47" s="66" t="str">
        <x:v>Initial association evidenced</x:v>
      </x:c>
      <x:c r="S47" s="66" t="str">
        <x:v>2026-09-29</x:v>
      </x:c>
    </x:row>
    <x:row r="48" ht="60" customHeight="1">
      <x:c r="A48" s="66" t="str">
        <x:v>TSS-0042</x:v>
      </x:c>
      <x:c r="B48" s="66" t="str">
        <x:v>Baltic Sea and approaches</x:v>
      </x:c>
      <x:c r="C48" s="66" t="str">
        <x:v>Off Kiel Lighthouse</x:v>
      </x:c>
      <x:c r="D48" s="66" t="str">
        <x:v>Source entry; component check pending</x:v>
      </x:c>
      <x:c r="E48" s="66" t="str">
        <x:v>Provisional: official baseline reconciliation pending</x:v>
      </x:c>
      <x:c r="F48" s="66" t="str">
        <x:v>Not researched</x:v>
      </x:c>
      <x:c r="G48" s="66" t="str">
        <x:v>Not researched</x:v>
      </x:c>
      <x:c r="H48" s="66" t="str"/>
      <x:c r="I48" s="66" t="str"/>
      <x:c r="J48" s="66" t="str"/>
      <x:c r="K48" s="66" t="str">
        <x:v>SRC-001</x:v>
      </x:c>
      <x:c r="L48" s="67" t="str">
        <x:v>https://www.scribd.com/document/1014775753/1-1-IMO-Adopted-Traffic-Separation-Schemes-on-the-ADMIRALTY-Chart-Series</x:v>
      </x:c>
      <x:c r="M48" s="66" t="str">
        <x:v>Notice 17; scheme label: Off Kiel Lighthouse</x:v>
      </x:c>
      <x:c r="N48" s="66" t="str">
        <x:v>UKHO-labelled document on third-party host; edition and currency unverified.</x:v>
      </x:c>
      <x:c r="O48" s="66" t="str"/>
      <x:c r="P48" s="67" t="str"/>
      <x:c r="Q48" s="66" t="str">
        <x:v>B09</x:v>
      </x:c>
      <x:c r="R48" s="66" t="str">
        <x:v>Candidate recorded</x:v>
      </x:c>
      <x:c r="S48" s="66" t="str">
        <x:v>Not established</x:v>
      </x:c>
    </x:row>
    <x:row r="49" ht="79.5" customHeight="1">
      <x:c r="A49" s="66" t="str">
        <x:v>TSS-0043</x:v>
      </x:c>
      <x:c r="B49" s="66" t="str">
        <x:v>Baltic Sea and approaches</x:v>
      </x:c>
      <x:c r="C49" s="66" t="str">
        <x:v>Gulf of Gdansk</x:v>
      </x:c>
      <x:c r="D49" s="66" t="str">
        <x:v>Grouped source entry; two components identified</x:v>
      </x:c>
      <x:c r="E49" s="66" t="str">
        <x:v>Provisional: official baseline reconciliation pending</x:v>
      </x:c>
      <x:c r="F49" s="66" t="str">
        <x:v>Service association evidenced; boundary audit pending</x:v>
      </x:c>
      <x:c r="G49" s="66" t="str">
        <x:v>Mandatory scheme association evidenced; applicability audit pending</x:v>
      </x:c>
      <x:c r="H49" s="66" t="str">
        <x:v>VTS-015</x:v>
      </x:c>
      <x:c r="I49" s="66" t="str">
        <x:v>SRS-007</x:v>
      </x:c>
      <x:c r="J49" s="66" t="str">
        <x:v>Authority explicitly identifies TSS East and TSS West within VTS Zatoka Gdańska. Children retained in TSS Components, without changing the parent-row count.</x:v>
      </x:c>
      <x:c r="K49" s="66" t="str">
        <x:v>SRC-001</x:v>
      </x:c>
      <x:c r="L49" s="67" t="str">
        <x:v>https://www.scribd.com/document/1014775753/1-1-IMO-Adopted-Traffic-Separation-Schemes-on-the-ADMIRALTY-Chart-Series</x:v>
      </x:c>
      <x:c r="M49" s="66" t="str">
        <x:v>Notice 17; scheme label: Gulf of Gdansk</x:v>
      </x:c>
      <x:c r="N49" s="66" t="str">
        <x:v>UKHO-labelled document on third-party host; edition and currency unverified.</x:v>
      </x:c>
      <x:c r="O49" s="66" t="str">
        <x:v>SRC-019; SRC-010</x:v>
      </x:c>
      <x:c r="P49" s="67" t="str">
        <x:v>https://www.umgdy.gov.pl/en/marine-safety/vts-zatoka-gdanska-en/
https://www.transportstyrelsen.se/sv/sjofart/sjotrafik-och-hamnar/sjotrafikrapporteringssystem-srs/</x:v>
      </x:c>
      <x:c r="Q49" s="66" t="str">
        <x:v>B09</x:v>
      </x:c>
      <x:c r="R49" s="66" t="str">
        <x:v>Initial association evidenced</x:v>
      </x:c>
      <x:c r="S49" s="66" t="str">
        <x:v>2026-09-29</x:v>
      </x:c>
    </x:row>
    <x:row r="50" ht="60" customHeight="1">
      <x:c r="A50" s="66" t="str">
        <x:v>TSS-0044</x:v>
      </x:c>
      <x:c r="B50" s="66" t="str">
        <x:v>Baltic Sea and approaches</x:v>
      </x:c>
      <x:c r="C50" s="66" t="str">
        <x:v>In Norra Kvarken</x:v>
      </x:c>
      <x:c r="D50" s="66" t="str">
        <x:v>Source entry; component check pending</x:v>
      </x:c>
      <x:c r="E50" s="66" t="str">
        <x:v>Provisional: official baseline reconciliation pending</x:v>
      </x:c>
      <x:c r="F50" s="66" t="str">
        <x:v>Not researched</x:v>
      </x:c>
      <x:c r="G50" s="66" t="str">
        <x:v>Not researched</x:v>
      </x:c>
      <x:c r="H50" s="66" t="str"/>
      <x:c r="I50" s="66" t="str"/>
      <x:c r="J50" s="66" t="str"/>
      <x:c r="K50" s="66" t="str">
        <x:v>SRC-001</x:v>
      </x:c>
      <x:c r="L50" s="67" t="str">
        <x:v>https://www.scribd.com/document/1014775753/1-1-IMO-Adopted-Traffic-Separation-Schemes-on-the-ADMIRALTY-Chart-Series</x:v>
      </x:c>
      <x:c r="M50" s="66" t="str">
        <x:v>Notice 17; scheme label: In Norra Kvarken</x:v>
      </x:c>
      <x:c r="N50" s="66" t="str">
        <x:v>UKHO-labelled document on third-party host; edition and currency unverified.</x:v>
      </x:c>
      <x:c r="O50" s="66" t="str"/>
      <x:c r="P50" s="67" t="str"/>
      <x:c r="Q50" s="66" t="str">
        <x:v>B09</x:v>
      </x:c>
      <x:c r="R50" s="66" t="str">
        <x:v>Candidate recorded</x:v>
      </x:c>
      <x:c r="S50" s="66" t="str">
        <x:v>Not established</x:v>
      </x:c>
    </x:row>
    <x:row r="51" ht="60" customHeight="1">
      <x:c r="A51" s="66" t="str">
        <x:v>TSS-0045</x:v>
      </x:c>
      <x:c r="B51" s="66" t="str">
        <x:v>Baltic Sea and approaches</x:v>
      </x:c>
      <x:c r="C51" s="66" t="str">
        <x:v>In the vicinity of the Kattegat</x:v>
      </x:c>
      <x:c r="D51" s="66" t="str">
        <x:v>Source entry; component check pending</x:v>
      </x:c>
      <x:c r="E51" s="66" t="str">
        <x:v>Provisional: official baseline reconciliation pending</x:v>
      </x:c>
      <x:c r="F51" s="66" t="str">
        <x:v>Not researched</x:v>
      </x:c>
      <x:c r="G51" s="66" t="str">
        <x:v>Not researched</x:v>
      </x:c>
      <x:c r="H51" s="66" t="str"/>
      <x:c r="I51" s="66" t="str"/>
      <x:c r="J51" s="66" t="str">
        <x:v>Area-level label. Reconcile component schemes and 2020 routeing changes.</x:v>
      </x:c>
      <x:c r="K51" s="66" t="str">
        <x:v>SRC-001</x:v>
      </x:c>
      <x:c r="L51" s="67" t="str">
        <x:v>https://www.scribd.com/document/1014775753/1-1-IMO-Adopted-Traffic-Separation-Schemes-on-the-ADMIRALTY-Chart-Series</x:v>
      </x:c>
      <x:c r="M51" s="66" t="str">
        <x:v>Notice 17; scheme label: In the vicinity of the Kattegat</x:v>
      </x:c>
      <x:c r="N51" s="66" t="str">
        <x:v>UKHO-labelled document on third-party host; edition and currency unverified.</x:v>
      </x:c>
      <x:c r="O51" s="66" t="str"/>
      <x:c r="P51" s="67" t="str"/>
      <x:c r="Q51" s="66" t="str">
        <x:v>B09</x:v>
      </x:c>
      <x:c r="R51" s="66" t="str">
        <x:v>Candidate recorded</x:v>
      </x:c>
      <x:c r="S51" s="66" t="str">
        <x:v>Not established</x:v>
      </x:c>
    </x:row>
    <x:row r="52" ht="60" customHeight="1">
      <x:c r="A52" s="66" t="str">
        <x:v>TSS-0046</x:v>
      </x:c>
      <x:c r="B52" s="66" t="str">
        <x:v>North Sea continental coast</x:v>
      </x:c>
      <x:c r="C52" s="66" t="str">
        <x:v>German Bight Western Approach</x:v>
      </x:c>
      <x:c r="D52" s="66" t="str">
        <x:v>Source entry; component check pending</x:v>
      </x:c>
      <x:c r="E52" s="66" t="str">
        <x:v>Provisional: official baseline reconciliation pending</x:v>
      </x:c>
      <x:c r="F52" s="66" t="str">
        <x:v>Not researched</x:v>
      </x:c>
      <x:c r="G52" s="66" t="str">
        <x:v>Not researched</x:v>
      </x:c>
      <x:c r="H52" s="66" t="str"/>
      <x:c r="I52" s="66" t="str"/>
      <x:c r="J52" s="66" t="str"/>
      <x:c r="K52" s="66" t="str">
        <x:v>SRC-001</x:v>
      </x:c>
      <x:c r="L52" s="67" t="str">
        <x:v>https://www.scribd.com/document/1014775753/1-1-IMO-Adopted-Traffic-Separation-Schemes-on-the-ADMIRALTY-Chart-Series</x:v>
      </x:c>
      <x:c r="M52" s="66" t="str">
        <x:v>Notice 17; scheme label: German Bight Western Approach</x:v>
      </x:c>
      <x:c r="N52" s="66" t="str">
        <x:v>UKHO-labelled document on third-party host; edition and currency unverified.</x:v>
      </x:c>
      <x:c r="O52" s="66" t="str"/>
      <x:c r="P52" s="67" t="str"/>
      <x:c r="Q52" s="66" t="str">
        <x:v>B10</x:v>
      </x:c>
      <x:c r="R52" s="66" t="str">
        <x:v>Candidate recorded</x:v>
      </x:c>
      <x:c r="S52" s="66" t="str">
        <x:v>Not established</x:v>
      </x:c>
    </x:row>
    <x:row r="53" ht="60" customHeight="1">
      <x:c r="A53" s="66" t="str">
        <x:v>TSS-0047</x:v>
      </x:c>
      <x:c r="B53" s="66" t="str">
        <x:v>North Sea continental coast</x:v>
      </x:c>
      <x:c r="C53" s="66" t="str">
        <x:v>Elbe Approach</x:v>
      </x:c>
      <x:c r="D53" s="66" t="str">
        <x:v>Source entry; component check pending</x:v>
      </x:c>
      <x:c r="E53" s="66" t="str">
        <x:v>Provisional: official baseline reconciliation pending</x:v>
      </x:c>
      <x:c r="F53" s="66" t="str">
        <x:v>Not researched</x:v>
      </x:c>
      <x:c r="G53" s="66" t="str">
        <x:v>Not researched</x:v>
      </x:c>
      <x:c r="H53" s="66" t="str"/>
      <x:c r="I53" s="66" t="str"/>
      <x:c r="J53" s="66" t="str"/>
      <x:c r="K53" s="66" t="str">
        <x:v>SRC-001</x:v>
      </x:c>
      <x:c r="L53" s="67" t="str">
        <x:v>https://www.scribd.com/document/1014775753/1-1-IMO-Adopted-Traffic-Separation-Schemes-on-the-ADMIRALTY-Chart-Series</x:v>
      </x:c>
      <x:c r="M53" s="66" t="str">
        <x:v>Notice 17; scheme label: Elbe Approach</x:v>
      </x:c>
      <x:c r="N53" s="66" t="str">
        <x:v>UKHO-labelled document on third-party host; edition and currency unverified.</x:v>
      </x:c>
      <x:c r="O53" s="66" t="str"/>
      <x:c r="P53" s="67" t="str"/>
      <x:c r="Q53" s="66" t="str">
        <x:v>B10</x:v>
      </x:c>
      <x:c r="R53" s="66" t="str">
        <x:v>Candidate recorded</x:v>
      </x:c>
      <x:c r="S53" s="66" t="str">
        <x:v>Not established</x:v>
      </x:c>
    </x:row>
    <x:row r="54" ht="60" customHeight="1">
      <x:c r="A54" s="66" t="str">
        <x:v>TSS-0048</x:v>
      </x:c>
      <x:c r="B54" s="66" t="str">
        <x:v>North Sea continental coast</x:v>
      </x:c>
      <x:c r="C54" s="66" t="str">
        <x:v>Jade Approach</x:v>
      </x:c>
      <x:c r="D54" s="66" t="str">
        <x:v>Source entry; component check pending</x:v>
      </x:c>
      <x:c r="E54" s="66" t="str">
        <x:v>Provisional: official baseline reconciliation pending</x:v>
      </x:c>
      <x:c r="F54" s="66" t="str">
        <x:v>Not researched</x:v>
      </x:c>
      <x:c r="G54" s="66" t="str">
        <x:v>Not researched</x:v>
      </x:c>
      <x:c r="H54" s="66" t="str"/>
      <x:c r="I54" s="66" t="str"/>
      <x:c r="J54" s="66" t="str"/>
      <x:c r="K54" s="66" t="str">
        <x:v>SRC-001</x:v>
      </x:c>
      <x:c r="L54" s="67" t="str">
        <x:v>https://www.scribd.com/document/1014775753/1-1-IMO-Adopted-Traffic-Separation-Schemes-on-the-ADMIRALTY-Chart-Series</x:v>
      </x:c>
      <x:c r="M54" s="66" t="str">
        <x:v>Notice 17; scheme label: Jade Approach</x:v>
      </x:c>
      <x:c r="N54" s="66" t="str">
        <x:v>UKHO-labelled document on third-party host; edition and currency unverified.</x:v>
      </x:c>
      <x:c r="O54" s="66" t="str"/>
      <x:c r="P54" s="67" t="str"/>
      <x:c r="Q54" s="66" t="str">
        <x:v>B10</x:v>
      </x:c>
      <x:c r="R54" s="66" t="str">
        <x:v>Candidate recorded</x:v>
      </x:c>
      <x:c r="S54" s="66" t="str">
        <x:v>Not established</x:v>
      </x:c>
    </x:row>
    <x:row r="55" ht="60" customHeight="1">
      <x:c r="A55" s="66" t="str">
        <x:v>TSS-0049</x:v>
      </x:c>
      <x:c r="B55" s="66" t="str">
        <x:v>North Sea continental coast</x:v>
      </x:c>
      <x:c r="C55" s="66" t="str">
        <x:v>Terschelling - German Bight</x:v>
      </x:c>
      <x:c r="D55" s="66" t="str">
        <x:v>Source entry; component check pending</x:v>
      </x:c>
      <x:c r="E55" s="66" t="str">
        <x:v>Provisional: official baseline reconciliation pending</x:v>
      </x:c>
      <x:c r="F55" s="66" t="str">
        <x:v>Not researched</x:v>
      </x:c>
      <x:c r="G55" s="66" t="str">
        <x:v>Not researched</x:v>
      </x:c>
      <x:c r="H55" s="66" t="str"/>
      <x:c r="I55" s="66" t="str"/>
      <x:c r="J55" s="66" t="str"/>
      <x:c r="K55" s="66" t="str">
        <x:v>SRC-001</x:v>
      </x:c>
      <x:c r="L55" s="67" t="str">
        <x:v>https://www.scribd.com/document/1014775753/1-1-IMO-Adopted-Traffic-Separation-Schemes-on-the-ADMIRALTY-Chart-Series</x:v>
      </x:c>
      <x:c r="M55" s="66" t="str">
        <x:v>Notice 17; scheme label: Terschelling - German Bight</x:v>
      </x:c>
      <x:c r="N55" s="66" t="str">
        <x:v>UKHO-labelled document on third-party host; edition and currency unverified.</x:v>
      </x:c>
      <x:c r="O55" s="66" t="str"/>
      <x:c r="P55" s="67" t="str"/>
      <x:c r="Q55" s="66" t="str">
        <x:v>B10</x:v>
      </x:c>
      <x:c r="R55" s="66" t="str">
        <x:v>Candidate recorded</x:v>
      </x:c>
      <x:c r="S55" s="66" t="str">
        <x:v>Not established</x:v>
      </x:c>
    </x:row>
    <x:row r="56" ht="60" customHeight="1">
      <x:c r="A56" s="66" t="str">
        <x:v>TSS-0050</x:v>
      </x:c>
      <x:c r="B56" s="66" t="str">
        <x:v>North Sea continental coast</x:v>
      </x:c>
      <x:c r="C56" s="66" t="str">
        <x:v>Vlieland North</x:v>
      </x:c>
      <x:c r="D56" s="66" t="str">
        <x:v>Source entry; component check pending</x:v>
      </x:c>
      <x:c r="E56" s="66" t="str">
        <x:v>Provisional: official baseline reconciliation pending</x:v>
      </x:c>
      <x:c r="F56" s="66" t="str">
        <x:v>Not researched</x:v>
      </x:c>
      <x:c r="G56" s="66" t="str">
        <x:v>Not researched</x:v>
      </x:c>
      <x:c r="H56" s="66" t="str"/>
      <x:c r="I56" s="66" t="str"/>
      <x:c r="J56" s="66" t="str"/>
      <x:c r="K56" s="66" t="str">
        <x:v>SRC-001</x:v>
      </x:c>
      <x:c r="L56" s="67" t="str">
        <x:v>https://www.scribd.com/document/1014775753/1-1-IMO-Adopted-Traffic-Separation-Schemes-on-the-ADMIRALTY-Chart-Series</x:v>
      </x:c>
      <x:c r="M56" s="66" t="str">
        <x:v>Notice 17; scheme label: Vlieland North</x:v>
      </x:c>
      <x:c r="N56" s="66" t="str">
        <x:v>UKHO-labelled document on third-party host; edition and currency unverified.</x:v>
      </x:c>
      <x:c r="O56" s="66" t="str"/>
      <x:c r="P56" s="67" t="str"/>
      <x:c r="Q56" s="66" t="str">
        <x:v>B10</x:v>
      </x:c>
      <x:c r="R56" s="66" t="str">
        <x:v>Candidate recorded</x:v>
      </x:c>
      <x:c r="S56" s="66" t="str">
        <x:v>Not established</x:v>
      </x:c>
    </x:row>
    <x:row r="57" ht="60" customHeight="1">
      <x:c r="A57" s="66" t="str">
        <x:v>TSS-0051</x:v>
      </x:c>
      <x:c r="B57" s="66" t="str">
        <x:v>North Sea continental coast</x:v>
      </x:c>
      <x:c r="C57" s="66" t="str">
        <x:v>Off Vlieland</x:v>
      </x:c>
      <x:c r="D57" s="66" t="str">
        <x:v>Source entry; component check pending</x:v>
      </x:c>
      <x:c r="E57" s="66" t="str">
        <x:v>Provisional: official baseline reconciliation pending</x:v>
      </x:c>
      <x:c r="F57" s="66" t="str">
        <x:v>Not researched</x:v>
      </x:c>
      <x:c r="G57" s="66" t="str">
        <x:v>Not researched</x:v>
      </x:c>
      <x:c r="H57" s="66" t="str"/>
      <x:c r="I57" s="66" t="str"/>
      <x:c r="J57" s="66" t="str"/>
      <x:c r="K57" s="66" t="str">
        <x:v>SRC-001</x:v>
      </x:c>
      <x:c r="L57" s="67" t="str">
        <x:v>https://www.scribd.com/document/1014775753/1-1-IMO-Adopted-Traffic-Separation-Schemes-on-the-ADMIRALTY-Chart-Series</x:v>
      </x:c>
      <x:c r="M57" s="66" t="str">
        <x:v>Notice 17; scheme label: Off Vlieland</x:v>
      </x:c>
      <x:c r="N57" s="66" t="str">
        <x:v>UKHO-labelled document on third-party host; edition and currency unverified.</x:v>
      </x:c>
      <x:c r="O57" s="66" t="str"/>
      <x:c r="P57" s="67" t="str"/>
      <x:c r="Q57" s="66" t="str">
        <x:v>B11</x:v>
      </x:c>
      <x:c r="R57" s="66" t="str">
        <x:v>Candidate recorded</x:v>
      </x:c>
      <x:c r="S57" s="66" t="str">
        <x:v>Not established</x:v>
      </x:c>
    </x:row>
    <x:row r="58" ht="60" customHeight="1">
      <x:c r="A58" s="66" t="str">
        <x:v>TSS-0052</x:v>
      </x:c>
      <x:c r="B58" s="66" t="str">
        <x:v>North Sea continental coast</x:v>
      </x:c>
      <x:c r="C58" s="66" t="str">
        <x:v>Off Texel</x:v>
      </x:c>
      <x:c r="D58" s="66" t="str">
        <x:v>Source entry; component check pending</x:v>
      </x:c>
      <x:c r="E58" s="66" t="str">
        <x:v>Provisional: official baseline reconciliation pending</x:v>
      </x:c>
      <x:c r="F58" s="66" t="str">
        <x:v>Not researched</x:v>
      </x:c>
      <x:c r="G58" s="66" t="str">
        <x:v>Not researched</x:v>
      </x:c>
      <x:c r="H58" s="66" t="str"/>
      <x:c r="I58" s="66" t="str"/>
      <x:c r="J58" s="66" t="str"/>
      <x:c r="K58" s="66" t="str">
        <x:v>SRC-001</x:v>
      </x:c>
      <x:c r="L58" s="67" t="str">
        <x:v>https://www.scribd.com/document/1014775753/1-1-IMO-Adopted-Traffic-Separation-Schemes-on-the-ADMIRALTY-Chart-Series</x:v>
      </x:c>
      <x:c r="M58" s="66" t="str">
        <x:v>Notice 17; scheme label: Off Texel</x:v>
      </x:c>
      <x:c r="N58" s="66" t="str">
        <x:v>UKHO-labelled document on third-party host; edition and currency unverified.</x:v>
      </x:c>
      <x:c r="O58" s="66" t="str"/>
      <x:c r="P58" s="67" t="str"/>
      <x:c r="Q58" s="66" t="str">
        <x:v>B11</x:v>
      </x:c>
      <x:c r="R58" s="66" t="str">
        <x:v>Candidate recorded</x:v>
      </x:c>
      <x:c r="S58" s="66" t="str">
        <x:v>Not established</x:v>
      </x:c>
    </x:row>
    <x:row r="59" ht="60" customHeight="1">
      <x:c r="A59" s="66" t="str">
        <x:v>TSS-0053</x:v>
      </x:c>
      <x:c r="B59" s="66" t="str">
        <x:v>North Sea continental coast</x:v>
      </x:c>
      <x:c r="C59" s="66" t="str">
        <x:v>In the Approaches to IJmuiden</x:v>
      </x:c>
      <x:c r="D59" s="66" t="str">
        <x:v>Source entry; component check pending</x:v>
      </x:c>
      <x:c r="E59" s="66" t="str">
        <x:v>Provisional: official baseline reconciliation pending</x:v>
      </x:c>
      <x:c r="F59" s="66" t="str">
        <x:v>Not researched</x:v>
      </x:c>
      <x:c r="G59" s="66" t="str">
        <x:v>Not researched</x:v>
      </x:c>
      <x:c r="H59" s="66" t="str"/>
      <x:c r="I59" s="66" t="str"/>
      <x:c r="J59" s="66" t="str"/>
      <x:c r="K59" s="66" t="str">
        <x:v>SRC-001</x:v>
      </x:c>
      <x:c r="L59" s="67" t="str">
        <x:v>https://www.scribd.com/document/1014775753/1-1-IMO-Adopted-Traffic-Separation-Schemes-on-the-ADMIRALTY-Chart-Series</x:v>
      </x:c>
      <x:c r="M59" s="66" t="str">
        <x:v>Notice 17; scheme label: In the Approaches to IJmuiden</x:v>
      </x:c>
      <x:c r="N59" s="66" t="str">
        <x:v>UKHO-labelled document on third-party host; edition and currency unverified.</x:v>
      </x:c>
      <x:c r="O59" s="66" t="str"/>
      <x:c r="P59" s="67" t="str"/>
      <x:c r="Q59" s="66" t="str">
        <x:v>B11</x:v>
      </x:c>
      <x:c r="R59" s="66" t="str">
        <x:v>Candidate recorded</x:v>
      </x:c>
      <x:c r="S59" s="66" t="str">
        <x:v>Not established</x:v>
      </x:c>
    </x:row>
    <x:row r="60" ht="60" customHeight="1">
      <x:c r="A60" s="66" t="str">
        <x:v>TSS-0054</x:v>
      </x:c>
      <x:c r="B60" s="66" t="str">
        <x:v>North Sea continental coast</x:v>
      </x:c>
      <x:c r="C60" s="66" t="str">
        <x:v>Off Brown Ridge</x:v>
      </x:c>
      <x:c r="D60" s="66" t="str">
        <x:v>Source entry; component check pending</x:v>
      </x:c>
      <x:c r="E60" s="66" t="str">
        <x:v>Provisional: official baseline reconciliation pending</x:v>
      </x:c>
      <x:c r="F60" s="66" t="str">
        <x:v>Not researched</x:v>
      </x:c>
      <x:c r="G60" s="66" t="str">
        <x:v>Not researched</x:v>
      </x:c>
      <x:c r="H60" s="66" t="str"/>
      <x:c r="I60" s="66" t="str"/>
      <x:c r="J60" s="66" t="str"/>
      <x:c r="K60" s="66" t="str">
        <x:v>SRC-001</x:v>
      </x:c>
      <x:c r="L60" s="67" t="str">
        <x:v>https://www.scribd.com/document/1014775753/1-1-IMO-Adopted-Traffic-Separation-Schemes-on-the-ADMIRALTY-Chart-Series</x:v>
      </x:c>
      <x:c r="M60" s="66" t="str">
        <x:v>Notice 17; scheme label: Off Brown Ridge</x:v>
      </x:c>
      <x:c r="N60" s="66" t="str">
        <x:v>UKHO-labelled document on third-party host; edition and currency unverified.</x:v>
      </x:c>
      <x:c r="O60" s="66" t="str"/>
      <x:c r="P60" s="67" t="str"/>
      <x:c r="Q60" s="66" t="str">
        <x:v>B11</x:v>
      </x:c>
      <x:c r="R60" s="66" t="str">
        <x:v>Candidate recorded</x:v>
      </x:c>
      <x:c r="S60" s="66" t="str">
        <x:v>Not established</x:v>
      </x:c>
    </x:row>
    <x:row r="61" ht="60" customHeight="1">
      <x:c r="A61" s="66" t="str">
        <x:v>TSS-0055</x:v>
      </x:c>
      <x:c r="B61" s="66" t="str">
        <x:v>North Sea continental coast</x:v>
      </x:c>
      <x:c r="C61" s="66" t="str">
        <x:v>West Friesland</x:v>
      </x:c>
      <x:c r="D61" s="66" t="str">
        <x:v>Source entry; component check pending</x:v>
      </x:c>
      <x:c r="E61" s="66" t="str">
        <x:v>Provisional: official baseline reconciliation pending</x:v>
      </x:c>
      <x:c r="F61" s="66" t="str">
        <x:v>Not researched</x:v>
      </x:c>
      <x:c r="G61" s="66" t="str">
        <x:v>Not researched</x:v>
      </x:c>
      <x:c r="H61" s="66" t="str"/>
      <x:c r="I61" s="66" t="str"/>
      <x:c r="J61" s="66" t="str"/>
      <x:c r="K61" s="66" t="str">
        <x:v>SRC-001</x:v>
      </x:c>
      <x:c r="L61" s="67" t="str">
        <x:v>https://www.scribd.com/document/1014775753/1-1-IMO-Adopted-Traffic-Separation-Schemes-on-the-ADMIRALTY-Chart-Series</x:v>
      </x:c>
      <x:c r="M61" s="66" t="str">
        <x:v>Notice 17; scheme label: West Friesland</x:v>
      </x:c>
      <x:c r="N61" s="66" t="str">
        <x:v>UKHO-labelled document on third-party host; edition and currency unverified.</x:v>
      </x:c>
      <x:c r="O61" s="66" t="str"/>
      <x:c r="P61" s="67" t="str"/>
      <x:c r="Q61" s="66" t="str">
        <x:v>B11</x:v>
      </x:c>
      <x:c r="R61" s="66" t="str">
        <x:v>Candidate recorded</x:v>
      </x:c>
      <x:c r="S61" s="66" t="str">
        <x:v>Not established</x:v>
      </x:c>
    </x:row>
    <x:row r="62" ht="60" customHeight="1">
      <x:c r="A62" s="66" t="str">
        <x:v>TSS-0056</x:v>
      </x:c>
      <x:c r="B62" s="66" t="str">
        <x:v>North Sea continental coast</x:v>
      </x:c>
      <x:c r="C62" s="66" t="str">
        <x:v>North Friesland</x:v>
      </x:c>
      <x:c r="D62" s="66" t="str">
        <x:v>Source entry; component check pending</x:v>
      </x:c>
      <x:c r="E62" s="66" t="str">
        <x:v>Provisional: official baseline reconciliation pending</x:v>
      </x:c>
      <x:c r="F62" s="66" t="str">
        <x:v>Not researched</x:v>
      </x:c>
      <x:c r="G62" s="66" t="str">
        <x:v>Not researched</x:v>
      </x:c>
      <x:c r="H62" s="66" t="str"/>
      <x:c r="I62" s="66" t="str"/>
      <x:c r="J62" s="66" t="str"/>
      <x:c r="K62" s="66" t="str">
        <x:v>SRC-001</x:v>
      </x:c>
      <x:c r="L62" s="67" t="str">
        <x:v>https://www.scribd.com/document/1014775753/1-1-IMO-Adopted-Traffic-Separation-Schemes-on-the-ADMIRALTY-Chart-Series</x:v>
      </x:c>
      <x:c r="M62" s="66" t="str">
        <x:v>Notice 17; scheme label: North Friesland</x:v>
      </x:c>
      <x:c r="N62" s="66" t="str">
        <x:v>UKHO-labelled document on third-party host; edition and currency unverified.</x:v>
      </x:c>
      <x:c r="O62" s="66" t="str"/>
      <x:c r="P62" s="67" t="str"/>
      <x:c r="Q62" s="66" t="str">
        <x:v>B12</x:v>
      </x:c>
      <x:c r="R62" s="66" t="str">
        <x:v>Candidate recorded</x:v>
      </x:c>
      <x:c r="S62" s="66" t="str">
        <x:v>Not established</x:v>
      </x:c>
    </x:row>
    <x:row r="63" ht="60" customHeight="1">
      <x:c r="A63" s="66" t="str">
        <x:v>TSS-0057</x:v>
      </x:c>
      <x:c r="B63" s="66" t="str">
        <x:v>North Sea continental coast</x:v>
      </x:c>
      <x:c r="C63" s="66" t="str">
        <x:v>East Friesland</x:v>
      </x:c>
      <x:c r="D63" s="66" t="str">
        <x:v>Source entry; component check pending</x:v>
      </x:c>
      <x:c r="E63" s="66" t="str">
        <x:v>Provisional: official baseline reconciliation pending</x:v>
      </x:c>
      <x:c r="F63" s="66" t="str">
        <x:v>Not researched</x:v>
      </x:c>
      <x:c r="G63" s="66" t="str">
        <x:v>Not researched</x:v>
      </x:c>
      <x:c r="H63" s="66" t="str"/>
      <x:c r="I63" s="66" t="str"/>
      <x:c r="J63" s="66" t="str"/>
      <x:c r="K63" s="66" t="str">
        <x:v>SRC-001</x:v>
      </x:c>
      <x:c r="L63" s="67" t="str">
        <x:v>https://www.scribd.com/document/1014775753/1-1-IMO-Adopted-Traffic-Separation-Schemes-on-the-ADMIRALTY-Chart-Series</x:v>
      </x:c>
      <x:c r="M63" s="66" t="str">
        <x:v>Notice 17; scheme label: East Friesland</x:v>
      </x:c>
      <x:c r="N63" s="66" t="str">
        <x:v>UKHO-labelled document on third-party host; edition and currency unverified.</x:v>
      </x:c>
      <x:c r="O63" s="66" t="str"/>
      <x:c r="P63" s="67" t="str"/>
      <x:c r="Q63" s="66" t="str">
        <x:v>B12</x:v>
      </x:c>
      <x:c r="R63" s="66" t="str">
        <x:v>Candidate recorded</x:v>
      </x:c>
      <x:c r="S63" s="66" t="str">
        <x:v>Not established</x:v>
      </x:c>
    </x:row>
    <x:row r="64" ht="60" customHeight="1">
      <x:c r="A64" s="66" t="str">
        <x:v>TSS-0058</x:v>
      </x:c>
      <x:c r="B64" s="66" t="str">
        <x:v>North Sea continental coast</x:v>
      </x:c>
      <x:c r="C64" s="66" t="str">
        <x:v>Off Botney Ground</x:v>
      </x:c>
      <x:c r="D64" s="66" t="str">
        <x:v>Source entry; component check pending</x:v>
      </x:c>
      <x:c r="E64" s="66" t="str">
        <x:v>Provisional: official baseline reconciliation pending</x:v>
      </x:c>
      <x:c r="F64" s="66" t="str">
        <x:v>Not researched</x:v>
      </x:c>
      <x:c r="G64" s="66" t="str">
        <x:v>Not researched</x:v>
      </x:c>
      <x:c r="H64" s="66" t="str"/>
      <x:c r="I64" s="66" t="str"/>
      <x:c r="J64" s="66" t="str"/>
      <x:c r="K64" s="66" t="str">
        <x:v>SRC-001</x:v>
      </x:c>
      <x:c r="L64" s="67" t="str">
        <x:v>https://www.scribd.com/document/1014775753/1-1-IMO-Adopted-Traffic-Separation-Schemes-on-the-ADMIRALTY-Chart-Series</x:v>
      </x:c>
      <x:c r="M64" s="66" t="str">
        <x:v>Notice 17; scheme label: Off Botney Ground</x:v>
      </x:c>
      <x:c r="N64" s="66" t="str">
        <x:v>UKHO-labelled document on third-party host; edition and currency unverified.</x:v>
      </x:c>
      <x:c r="O64" s="66" t="str"/>
      <x:c r="P64" s="67" t="str"/>
      <x:c r="Q64" s="66" t="str">
        <x:v>B12</x:v>
      </x:c>
      <x:c r="R64" s="66" t="str">
        <x:v>Candidate recorded</x:v>
      </x:c>
      <x:c r="S64" s="66" t="str">
        <x:v>Not established</x:v>
      </x:c>
    </x:row>
    <x:row r="65" ht="60" customHeight="1">
      <x:c r="A65" s="66" t="str">
        <x:v>TSS-0059</x:v>
      </x:c>
      <x:c r="B65" s="66" t="str">
        <x:v>France, Iberia and Canary Islands</x:v>
      </x:c>
      <x:c r="C65" s="66" t="str">
        <x:v>Off Ushant (Île d'Ouessant)</x:v>
      </x:c>
      <x:c r="D65" s="66" t="str">
        <x:v>Source entry; component check pending</x:v>
      </x:c>
      <x:c r="E65" s="66" t="str">
        <x:v>Provisional: official baseline reconciliation pending</x:v>
      </x:c>
      <x:c r="F65" s="66" t="str">
        <x:v>Not researched</x:v>
      </x:c>
      <x:c r="G65" s="66" t="str">
        <x:v>Not researched</x:v>
      </x:c>
      <x:c r="H65" s="66" t="str"/>
      <x:c r="I65" s="66" t="str"/>
      <x:c r="J65" s="66" t="str"/>
      <x:c r="K65" s="66" t="str">
        <x:v>SRC-001</x:v>
      </x:c>
      <x:c r="L65" s="67" t="str">
        <x:v>https://www.scribd.com/document/1014775753/1-1-IMO-Adopted-Traffic-Separation-Schemes-on-the-ADMIRALTY-Chart-Series</x:v>
      </x:c>
      <x:c r="M65" s="66" t="str">
        <x:v>Notice 17; scheme label: Off Ushant (Île d'Ouessant)</x:v>
      </x:c>
      <x:c r="N65" s="66" t="str">
        <x:v>UKHO-labelled document on third-party host; edition and currency unverified.</x:v>
      </x:c>
      <x:c r="O65" s="66" t="str"/>
      <x:c r="P65" s="67" t="str"/>
      <x:c r="Q65" s="66" t="str">
        <x:v>B12</x:v>
      </x:c>
      <x:c r="R65" s="66" t="str">
        <x:v>Candidate recorded</x:v>
      </x:c>
      <x:c r="S65" s="66" t="str">
        <x:v>Not established</x:v>
      </x:c>
    </x:row>
    <x:row r="66" ht="60" customHeight="1">
      <x:c r="A66" s="66" t="str">
        <x:v>TSS-0060</x:v>
      </x:c>
      <x:c r="B66" s="66" t="str">
        <x:v>France, Iberia and Canary Islands</x:v>
      </x:c>
      <x:c r="C66" s="66" t="str">
        <x:v>Off Finisterre</x:v>
      </x:c>
      <x:c r="D66" s="66" t="str">
        <x:v>Source entry; component check pending</x:v>
      </x:c>
      <x:c r="E66" s="66" t="str">
        <x:v>Provisional: official baseline reconciliation pending</x:v>
      </x:c>
      <x:c r="F66" s="66" t="str">
        <x:v>Not researched</x:v>
      </x:c>
      <x:c r="G66" s="66" t="str">
        <x:v>Not researched</x:v>
      </x:c>
      <x:c r="H66" s="66" t="str"/>
      <x:c r="I66" s="66" t="str"/>
      <x:c r="J66" s="66" t="str"/>
      <x:c r="K66" s="66" t="str">
        <x:v>SRC-001</x:v>
      </x:c>
      <x:c r="L66" s="67" t="str">
        <x:v>https://www.scribd.com/document/1014775753/1-1-IMO-Adopted-Traffic-Separation-Schemes-on-the-ADMIRALTY-Chart-Series</x:v>
      </x:c>
      <x:c r="M66" s="66" t="str">
        <x:v>Notice 17; scheme label: Off Finisterre</x:v>
      </x:c>
      <x:c r="N66" s="66" t="str">
        <x:v>UKHO-labelled document on third-party host; edition and currency unverified.</x:v>
      </x:c>
      <x:c r="O66" s="66" t="str"/>
      <x:c r="P66" s="67" t="str"/>
      <x:c r="Q66" s="66" t="str">
        <x:v>B12</x:v>
      </x:c>
      <x:c r="R66" s="66" t="str">
        <x:v>Candidate recorded</x:v>
      </x:c>
      <x:c r="S66" s="66" t="str">
        <x:v>Not established</x:v>
      </x:c>
    </x:row>
    <x:row r="67" ht="60" customHeight="1">
      <x:c r="A67" s="66" t="str">
        <x:v>TSS-0061</x:v>
      </x:c>
      <x:c r="B67" s="66" t="str">
        <x:v>France, Iberia and Canary Islands</x:v>
      </x:c>
      <x:c r="C67" s="66" t="str">
        <x:v>Off Cape Roca (Cabo da Roca)</x:v>
      </x:c>
      <x:c r="D67" s="66" t="str">
        <x:v>Source entry; component check pending</x:v>
      </x:c>
      <x:c r="E67" s="66" t="str">
        <x:v>Provisional: official baseline reconciliation pending</x:v>
      </x:c>
      <x:c r="F67" s="66" t="str">
        <x:v>Not researched</x:v>
      </x:c>
      <x:c r="G67" s="66" t="str">
        <x:v>Not researched</x:v>
      </x:c>
      <x:c r="H67" s="66" t="str"/>
      <x:c r="I67" s="66" t="str"/>
      <x:c r="J67" s="66" t="str"/>
      <x:c r="K67" s="66" t="str">
        <x:v>SRC-001</x:v>
      </x:c>
      <x:c r="L67" s="67" t="str">
        <x:v>https://www.scribd.com/document/1014775753/1-1-IMO-Adopted-Traffic-Separation-Schemes-on-the-ADMIRALTY-Chart-Series</x:v>
      </x:c>
      <x:c r="M67" s="66" t="str">
        <x:v>Notice 17; scheme label: Off Cape Roca (Cabo da Roca)</x:v>
      </x:c>
      <x:c r="N67" s="66" t="str">
        <x:v>UKHO-labelled document on third-party host; edition and currency unverified.</x:v>
      </x:c>
      <x:c r="O67" s="66" t="str"/>
      <x:c r="P67" s="67" t="str"/>
      <x:c r="Q67" s="66" t="str">
        <x:v>B13</x:v>
      </x:c>
      <x:c r="R67" s="66" t="str">
        <x:v>Candidate recorded</x:v>
      </x:c>
      <x:c r="S67" s="66" t="str">
        <x:v>Not established</x:v>
      </x:c>
    </x:row>
    <x:row r="68" ht="60" customHeight="1">
      <x:c r="A68" s="66" t="str">
        <x:v>TSS-0062</x:v>
      </x:c>
      <x:c r="B68" s="66" t="str">
        <x:v>France, Iberia and Canary Islands</x:v>
      </x:c>
      <x:c r="C68" s="66" t="str">
        <x:v>Off Cape St. Vicente (Cabo de São Vicente)</x:v>
      </x:c>
      <x:c r="D68" s="66" t="str">
        <x:v>Source entry; component check pending</x:v>
      </x:c>
      <x:c r="E68" s="66" t="str">
        <x:v>Provisional: official baseline reconciliation pending</x:v>
      </x:c>
      <x:c r="F68" s="66" t="str">
        <x:v>Not researched</x:v>
      </x:c>
      <x:c r="G68" s="66" t="str">
        <x:v>Not researched</x:v>
      </x:c>
      <x:c r="H68" s="66" t="str"/>
      <x:c r="I68" s="66" t="str"/>
      <x:c r="J68" s="66" t="str"/>
      <x:c r="K68" s="66" t="str">
        <x:v>SRC-001</x:v>
      </x:c>
      <x:c r="L68" s="67" t="str">
        <x:v>https://www.scribd.com/document/1014775753/1-1-IMO-Adopted-Traffic-Separation-Schemes-on-the-ADMIRALTY-Chart-Series</x:v>
      </x:c>
      <x:c r="M68" s="66" t="str">
        <x:v>Notice 17; scheme label: Off Cape St. Vicente (Cabo de São Vicente)</x:v>
      </x:c>
      <x:c r="N68" s="66" t="str">
        <x:v>UKHO-labelled document on third-party host; edition and currency unverified.</x:v>
      </x:c>
      <x:c r="O68" s="66" t="str"/>
      <x:c r="P68" s="67" t="str"/>
      <x:c r="Q68" s="66" t="str">
        <x:v>B13</x:v>
      </x:c>
      <x:c r="R68" s="66" t="str">
        <x:v>Candidate recorded</x:v>
      </x:c>
      <x:c r="S68" s="66" t="str">
        <x:v>Not established</x:v>
      </x:c>
    </x:row>
    <x:row r="69" ht="60" customHeight="1">
      <x:c r="A69" s="66" t="str">
        <x:v>TSS-0063</x:v>
      </x:c>
      <x:c r="B69" s="66" t="str">
        <x:v>France, Iberia and Canary Islands</x:v>
      </x:c>
      <x:c r="C69" s="66" t="str">
        <x:v>At Banco del Hoyo</x:v>
      </x:c>
      <x:c r="D69" s="66" t="str">
        <x:v>Source entry; component check pending</x:v>
      </x:c>
      <x:c r="E69" s="66" t="str">
        <x:v>Provisional: official baseline reconciliation pending</x:v>
      </x:c>
      <x:c r="F69" s="66" t="str">
        <x:v>Not researched</x:v>
      </x:c>
      <x:c r="G69" s="66" t="str">
        <x:v>Not researched</x:v>
      </x:c>
      <x:c r="H69" s="66" t="str"/>
      <x:c r="I69" s="66" t="str"/>
      <x:c r="J69" s="66" t="str"/>
      <x:c r="K69" s="66" t="str">
        <x:v>SRC-001</x:v>
      </x:c>
      <x:c r="L69" s="67" t="str">
        <x:v>https://www.scribd.com/document/1014775753/1-1-IMO-Adopted-Traffic-Separation-Schemes-on-the-ADMIRALTY-Chart-Series</x:v>
      </x:c>
      <x:c r="M69" s="66" t="str">
        <x:v>Notice 17; scheme label: At Banco del Hoyo</x:v>
      </x:c>
      <x:c r="N69" s="66" t="str">
        <x:v>UKHO-labelled document on third-party host; edition and currency unverified.</x:v>
      </x:c>
      <x:c r="O69" s="66" t="str"/>
      <x:c r="P69" s="67" t="str"/>
      <x:c r="Q69" s="66" t="str">
        <x:v>B13</x:v>
      </x:c>
      <x:c r="R69" s="66" t="str">
        <x:v>Candidate recorded</x:v>
      </x:c>
      <x:c r="S69" s="66" t="str">
        <x:v>Not established</x:v>
      </x:c>
    </x:row>
    <x:row r="70" ht="60" customHeight="1">
      <x:c r="A70" s="66" t="str">
        <x:v>TSS-0064</x:v>
      </x:c>
      <x:c r="B70" s="66" t="str">
        <x:v>France, Iberia and Canary Islands</x:v>
      </x:c>
      <x:c r="C70" s="66" t="str">
        <x:v>Between Grand Canary and Tenerife</x:v>
      </x:c>
      <x:c r="D70" s="66" t="str">
        <x:v>Source entry; component check pending</x:v>
      </x:c>
      <x:c r="E70" s="66" t="str">
        <x:v>Provisional: official baseline reconciliation pending</x:v>
      </x:c>
      <x:c r="F70" s="66" t="str">
        <x:v>Not researched</x:v>
      </x:c>
      <x:c r="G70" s="66" t="str">
        <x:v>Not researched</x:v>
      </x:c>
      <x:c r="H70" s="66" t="str"/>
      <x:c r="I70" s="66" t="str"/>
      <x:c r="J70" s="66" t="str"/>
      <x:c r="K70" s="66" t="str">
        <x:v>SRC-001</x:v>
      </x:c>
      <x:c r="L70" s="67" t="str">
        <x:v>https://www.scribd.com/document/1014775753/1-1-IMO-Adopted-Traffic-Separation-Schemes-on-the-ADMIRALTY-Chart-Series</x:v>
      </x:c>
      <x:c r="M70" s="66" t="str">
        <x:v>Notice 17; scheme label: Between Grand Canary and Tenerife</x:v>
      </x:c>
      <x:c r="N70" s="66" t="str">
        <x:v>UKHO-labelled document on third-party host; edition and currency unverified.</x:v>
      </x:c>
      <x:c r="O70" s="66" t="str"/>
      <x:c r="P70" s="67" t="str"/>
      <x:c r="Q70" s="66" t="str">
        <x:v>B13</x:v>
      </x:c>
      <x:c r="R70" s="66" t="str">
        <x:v>Candidate recorded</x:v>
      </x:c>
      <x:c r="S70" s="66" t="str">
        <x:v>Not established</x:v>
      </x:c>
    </x:row>
    <x:row r="71" ht="60" customHeight="1">
      <x:c r="A71" s="66" t="str">
        <x:v>TSS-0065</x:v>
      </x:c>
      <x:c r="B71" s="66" t="str">
        <x:v>France, Iberia and Canary Islands</x:v>
      </x:c>
      <x:c r="C71" s="66" t="str">
        <x:v>Between Grand Canary and Fuerteventura</x:v>
      </x:c>
      <x:c r="D71" s="66" t="str">
        <x:v>Source entry; component check pending</x:v>
      </x:c>
      <x:c r="E71" s="66" t="str">
        <x:v>Provisional: official baseline reconciliation pending</x:v>
      </x:c>
      <x:c r="F71" s="66" t="str">
        <x:v>Not researched</x:v>
      </x:c>
      <x:c r="G71" s="66" t="str">
        <x:v>Not researched</x:v>
      </x:c>
      <x:c r="H71" s="66" t="str"/>
      <x:c r="I71" s="66" t="str"/>
      <x:c r="J71" s="66" t="str"/>
      <x:c r="K71" s="66" t="str">
        <x:v>SRC-001</x:v>
      </x:c>
      <x:c r="L71" s="67" t="str">
        <x:v>https://www.scribd.com/document/1014775753/1-1-IMO-Adopted-Traffic-Separation-Schemes-on-the-ADMIRALTY-Chart-Series</x:v>
      </x:c>
      <x:c r="M71" s="66" t="str">
        <x:v>Notice 17; scheme label: Between Grand Canary and Fuerteventura</x:v>
      </x:c>
      <x:c r="N71" s="66" t="str">
        <x:v>UKHO-labelled document on third-party host; edition and currency unverified.</x:v>
      </x:c>
      <x:c r="O71" s="66" t="str"/>
      <x:c r="P71" s="67" t="str"/>
      <x:c r="Q71" s="66" t="str">
        <x:v>B13</x:v>
      </x:c>
      <x:c r="R71" s="66" t="str">
        <x:v>Candidate recorded</x:v>
      </x:c>
      <x:c r="S71" s="66" t="str">
        <x:v>Not established</x:v>
      </x:c>
    </x:row>
    <x:row r="72" ht="60" customHeight="1">
      <x:c r="A72" s="66" t="str">
        <x:v>TSS-0066</x:v>
      </x:c>
      <x:c r="B72" s="66" t="str">
        <x:v>Mediterranean and Black Seas</x:v>
      </x:c>
      <x:c r="C72" s="66" t="str">
        <x:v>In the Strait of Gibraltar</x:v>
      </x:c>
      <x:c r="D72" s="66" t="str">
        <x:v>Source entry; component check pending</x:v>
      </x:c>
      <x:c r="E72" s="66" t="str">
        <x:v>Provisional: official baseline reconciliation pending</x:v>
      </x:c>
      <x:c r="F72" s="66" t="str">
        <x:v>Not researched</x:v>
      </x:c>
      <x:c r="G72" s="66" t="str">
        <x:v>Not researched</x:v>
      </x:c>
      <x:c r="H72" s="66" t="str"/>
      <x:c r="I72" s="66" t="str"/>
      <x:c r="J72" s="66" t="str"/>
      <x:c r="K72" s="66" t="str">
        <x:v>SRC-001</x:v>
      </x:c>
      <x:c r="L72" s="67" t="str">
        <x:v>https://www.scribd.com/document/1014775753/1-1-IMO-Adopted-Traffic-Separation-Schemes-on-the-ADMIRALTY-Chart-Series</x:v>
      </x:c>
      <x:c r="M72" s="66" t="str">
        <x:v>Notice 17; scheme label: In the Strait of Gibraltar</x:v>
      </x:c>
      <x:c r="N72" s="66" t="str">
        <x:v>UKHO-labelled document on third-party host; edition and currency unverified.</x:v>
      </x:c>
      <x:c r="O72" s="66" t="str"/>
      <x:c r="P72" s="67" t="str"/>
      <x:c r="Q72" s="66" t="str">
        <x:v>B14</x:v>
      </x:c>
      <x:c r="R72" s="66" t="str">
        <x:v>Candidate recorded</x:v>
      </x:c>
      <x:c r="S72" s="66" t="str">
        <x:v>Not established</x:v>
      </x:c>
    </x:row>
    <x:row r="73" ht="60" customHeight="1">
      <x:c r="A73" s="66" t="str">
        <x:v>TSS-0067</x:v>
      </x:c>
      <x:c r="B73" s="66" t="str">
        <x:v>Mediterranean and Black Seas</x:v>
      </x:c>
      <x:c r="C73" s="66" t="str">
        <x:v>Off Cabo de Gata</x:v>
      </x:c>
      <x:c r="D73" s="66" t="str">
        <x:v>Source entry; component check pending</x:v>
      </x:c>
      <x:c r="E73" s="66" t="str">
        <x:v>Provisional: official baseline reconciliation pending</x:v>
      </x:c>
      <x:c r="F73" s="66" t="str">
        <x:v>Not researched</x:v>
      </x:c>
      <x:c r="G73" s="66" t="str">
        <x:v>Not researched</x:v>
      </x:c>
      <x:c r="H73" s="66" t="str"/>
      <x:c r="I73" s="66" t="str"/>
      <x:c r="J73" s="66" t="str"/>
      <x:c r="K73" s="66" t="str">
        <x:v>SRC-001</x:v>
      </x:c>
      <x:c r="L73" s="67" t="str">
        <x:v>https://www.scribd.com/document/1014775753/1-1-IMO-Adopted-Traffic-Separation-Schemes-on-the-ADMIRALTY-Chart-Series</x:v>
      </x:c>
      <x:c r="M73" s="66" t="str">
        <x:v>Notice 17; scheme label: Off Cabo de Gata</x:v>
      </x:c>
      <x:c r="N73" s="66" t="str">
        <x:v>UKHO-labelled document on third-party host; edition and currency unverified.</x:v>
      </x:c>
      <x:c r="O73" s="66" t="str"/>
      <x:c r="P73" s="67" t="str"/>
      <x:c r="Q73" s="66" t="str">
        <x:v>B14</x:v>
      </x:c>
      <x:c r="R73" s="66" t="str">
        <x:v>Candidate recorded</x:v>
      </x:c>
      <x:c r="S73" s="66" t="str">
        <x:v>Not established</x:v>
      </x:c>
    </x:row>
    <x:row r="74" ht="60" customHeight="1">
      <x:c r="A74" s="66" t="str">
        <x:v>TSS-0068</x:v>
      </x:c>
      <x:c r="B74" s="66" t="str">
        <x:v>Mediterranean and Black Seas</x:v>
      </x:c>
      <x:c r="C74" s="66" t="str">
        <x:v>Off Cape Palos (Cabo de Palos)</x:v>
      </x:c>
      <x:c r="D74" s="66" t="str">
        <x:v>Source entry; component check pending</x:v>
      </x:c>
      <x:c r="E74" s="66" t="str">
        <x:v>Provisional: official baseline reconciliation pending</x:v>
      </x:c>
      <x:c r="F74" s="66" t="str">
        <x:v>Not researched</x:v>
      </x:c>
      <x:c r="G74" s="66" t="str">
        <x:v>Not researched</x:v>
      </x:c>
      <x:c r="H74" s="66" t="str"/>
      <x:c r="I74" s="66" t="str"/>
      <x:c r="J74" s="66" t="str"/>
      <x:c r="K74" s="66" t="str">
        <x:v>SRC-001</x:v>
      </x:c>
      <x:c r="L74" s="67" t="str">
        <x:v>https://www.scribd.com/document/1014775753/1-1-IMO-Adopted-Traffic-Separation-Schemes-on-the-ADMIRALTY-Chart-Series</x:v>
      </x:c>
      <x:c r="M74" s="66" t="str">
        <x:v>Notice 17; scheme label: Off Cape Palos (Cabo de Palos)</x:v>
      </x:c>
      <x:c r="N74" s="66" t="str">
        <x:v>UKHO-labelled document on third-party host; edition and currency unverified.</x:v>
      </x:c>
      <x:c r="O74" s="66" t="str"/>
      <x:c r="P74" s="67" t="str"/>
      <x:c r="Q74" s="66" t="str">
        <x:v>B14</x:v>
      </x:c>
      <x:c r="R74" s="66" t="str">
        <x:v>Candidate recorded</x:v>
      </x:c>
      <x:c r="S74" s="66" t="str">
        <x:v>Not established</x:v>
      </x:c>
    </x:row>
    <x:row r="75" ht="60" customHeight="1">
      <x:c r="A75" s="66" t="str">
        <x:v>TSS-0069</x:v>
      </x:c>
      <x:c r="B75" s="66" t="str">
        <x:v>Mediterranean and Black Seas</x:v>
      </x:c>
      <x:c r="C75" s="66" t="str">
        <x:v>Off Cape la Nao (Cabo de la Nao)</x:v>
      </x:c>
      <x:c r="D75" s="66" t="str">
        <x:v>Source entry; component check pending</x:v>
      </x:c>
      <x:c r="E75" s="66" t="str">
        <x:v>Provisional: official baseline reconciliation pending</x:v>
      </x:c>
      <x:c r="F75" s="66" t="str">
        <x:v>Not researched</x:v>
      </x:c>
      <x:c r="G75" s="66" t="str">
        <x:v>Not researched</x:v>
      </x:c>
      <x:c r="H75" s="66" t="str"/>
      <x:c r="I75" s="66" t="str"/>
      <x:c r="J75" s="66" t="str"/>
      <x:c r="K75" s="66" t="str">
        <x:v>SRC-001</x:v>
      </x:c>
      <x:c r="L75" s="67" t="str">
        <x:v>https://www.scribd.com/document/1014775753/1-1-IMO-Adopted-Traffic-Separation-Schemes-on-the-ADMIRALTY-Chart-Series</x:v>
      </x:c>
      <x:c r="M75" s="66" t="str">
        <x:v>Notice 17; scheme label: Off Cape la Nao (Cabo de la Nao)</x:v>
      </x:c>
      <x:c r="N75" s="66" t="str">
        <x:v>UKHO-labelled document on third-party host; edition and currency unverified.</x:v>
      </x:c>
      <x:c r="O75" s="66" t="str"/>
      <x:c r="P75" s="67" t="str"/>
      <x:c r="Q75" s="66" t="str">
        <x:v>B14</x:v>
      </x:c>
      <x:c r="R75" s="66" t="str">
        <x:v>Candidate recorded</x:v>
      </x:c>
      <x:c r="S75" s="66" t="str">
        <x:v>Not established</x:v>
      </x:c>
    </x:row>
    <x:row r="76" ht="60" customHeight="1">
      <x:c r="A76" s="66" t="str">
        <x:v>TSS-0070</x:v>
      </x:c>
      <x:c r="B76" s="66" t="str">
        <x:v>Mediterranean and Black Seas</x:v>
      </x:c>
      <x:c r="C76" s="66" t="str">
        <x:v>Off Cani Island (Îles Cani)</x:v>
      </x:c>
      <x:c r="D76" s="66" t="str">
        <x:v>Source entry; component check pending</x:v>
      </x:c>
      <x:c r="E76" s="66" t="str">
        <x:v>Provisional: official baseline reconciliation pending</x:v>
      </x:c>
      <x:c r="F76" s="66" t="str">
        <x:v>Not researched</x:v>
      </x:c>
      <x:c r="G76" s="66" t="str">
        <x:v>Not researched</x:v>
      </x:c>
      <x:c r="H76" s="66" t="str"/>
      <x:c r="I76" s="66" t="str"/>
      <x:c r="J76" s="66" t="str"/>
      <x:c r="K76" s="66" t="str">
        <x:v>SRC-001</x:v>
      </x:c>
      <x:c r="L76" s="67" t="str">
        <x:v>https://www.scribd.com/document/1014775753/1-1-IMO-Adopted-Traffic-Separation-Schemes-on-the-ADMIRALTY-Chart-Series</x:v>
      </x:c>
      <x:c r="M76" s="66" t="str">
        <x:v>Notice 17; scheme label: Off Cani Island (Îles Cani)</x:v>
      </x:c>
      <x:c r="N76" s="66" t="str">
        <x:v>UKHO-labelled document on third-party host; edition and currency unverified.</x:v>
      </x:c>
      <x:c r="O76" s="66" t="str"/>
      <x:c r="P76" s="67" t="str"/>
      <x:c r="Q76" s="66" t="str">
        <x:v>B14</x:v>
      </x:c>
      <x:c r="R76" s="66" t="str">
        <x:v>Candidate recorded</x:v>
      </x:c>
      <x:c r="S76" s="66" t="str">
        <x:v>Not established</x:v>
      </x:c>
    </x:row>
    <x:row r="77" ht="60" customHeight="1">
      <x:c r="A77" s="66" t="str">
        <x:v>TSS-0071</x:v>
      </x:c>
      <x:c r="B77" s="66" t="str">
        <x:v>Mediterranean and Black Seas</x:v>
      </x:c>
      <x:c r="C77" s="66" t="str">
        <x:v>Off Cape Bon (Cap Bon)</x:v>
      </x:c>
      <x:c r="D77" s="66" t="str">
        <x:v>Source entry; component check pending</x:v>
      </x:c>
      <x:c r="E77" s="66" t="str">
        <x:v>Provisional: official baseline reconciliation pending</x:v>
      </x:c>
      <x:c r="F77" s="66" t="str">
        <x:v>Not researched</x:v>
      </x:c>
      <x:c r="G77" s="66" t="str">
        <x:v>Not researched</x:v>
      </x:c>
      <x:c r="H77" s="66" t="str"/>
      <x:c r="I77" s="66" t="str"/>
      <x:c r="J77" s="66" t="str"/>
      <x:c r="K77" s="66" t="str">
        <x:v>SRC-001</x:v>
      </x:c>
      <x:c r="L77" s="67" t="str">
        <x:v>https://www.scribd.com/document/1014775753/1-1-IMO-Adopted-Traffic-Separation-Schemes-on-the-ADMIRALTY-Chart-Series</x:v>
      </x:c>
      <x:c r="M77" s="66" t="str">
        <x:v>Notice 17; scheme label: Off Cape Bon (Cap Bon)</x:v>
      </x:c>
      <x:c r="N77" s="66" t="str">
        <x:v>UKHO-labelled document on third-party host; edition and currency unverified.</x:v>
      </x:c>
      <x:c r="O77" s="66" t="str"/>
      <x:c r="P77" s="67" t="str"/>
      <x:c r="Q77" s="66" t="str">
        <x:v>B15</x:v>
      </x:c>
      <x:c r="R77" s="66" t="str">
        <x:v>Candidate recorded</x:v>
      </x:c>
      <x:c r="S77" s="66" t="str">
        <x:v>Not established</x:v>
      </x:c>
    </x:row>
    <x:row r="78" ht="60" customHeight="1">
      <x:c r="A78" s="66" t="str">
        <x:v>TSS-0072</x:v>
      </x:c>
      <x:c r="B78" s="66" t="str">
        <x:v>Mediterranean and Black Seas</x:v>
      </x:c>
      <x:c r="C78" s="66" t="str">
        <x:v>In the Corsica Channel</x:v>
      </x:c>
      <x:c r="D78" s="66" t="str">
        <x:v>Source entry; component check pending</x:v>
      </x:c>
      <x:c r="E78" s="66" t="str">
        <x:v>Provisional: official baseline reconciliation pending</x:v>
      </x:c>
      <x:c r="F78" s="66" t="str">
        <x:v>Not researched</x:v>
      </x:c>
      <x:c r="G78" s="66" t="str">
        <x:v>Not researched</x:v>
      </x:c>
      <x:c r="H78" s="66" t="str"/>
      <x:c r="I78" s="66" t="str"/>
      <x:c r="J78" s="66" t="str"/>
      <x:c r="K78" s="66" t="str">
        <x:v>SRC-001</x:v>
      </x:c>
      <x:c r="L78" s="67" t="str">
        <x:v>https://www.scribd.com/document/1014775753/1-1-IMO-Adopted-Traffic-Separation-Schemes-on-the-ADMIRALTY-Chart-Series</x:v>
      </x:c>
      <x:c r="M78" s="66" t="str">
        <x:v>Notice 17; scheme label: In the Corsica Channel</x:v>
      </x:c>
      <x:c r="N78" s="66" t="str">
        <x:v>UKHO-labelled document on third-party host; edition and currency unverified.</x:v>
      </x:c>
      <x:c r="O78" s="66" t="str"/>
      <x:c r="P78" s="67" t="str"/>
      <x:c r="Q78" s="66" t="str">
        <x:v>B15</x:v>
      </x:c>
      <x:c r="R78" s="66" t="str">
        <x:v>Candidate recorded</x:v>
      </x:c>
      <x:c r="S78" s="66" t="str">
        <x:v>Not established</x:v>
      </x:c>
    </x:row>
    <x:row r="79" ht="60" customHeight="1">
      <x:c r="A79" s="66" t="str">
        <x:v>TSS-0073</x:v>
      </x:c>
      <x:c r="B79" s="66" t="str">
        <x:v>Mediterranean and Black Seas</x:v>
      </x:c>
      <x:c r="C79" s="66" t="str">
        <x:v>In the Adriatic Sea: In the North Adriatic Sea</x:v>
      </x:c>
      <x:c r="D79" s="66" t="str">
        <x:v>Source entry; component check pending</x:v>
      </x:c>
      <x:c r="E79" s="66" t="str">
        <x:v>Provisional: official baseline reconciliation pending</x:v>
      </x:c>
      <x:c r="F79" s="66" t="str">
        <x:v>Not researched</x:v>
      </x:c>
      <x:c r="G79" s="66" t="str">
        <x:v>Not researched</x:v>
      </x:c>
      <x:c r="H79" s="66" t="str"/>
      <x:c r="I79" s="66" t="str"/>
      <x:c r="J79" s="66" t="str"/>
      <x:c r="K79" s="66" t="str">
        <x:v>SRC-001</x:v>
      </x:c>
      <x:c r="L79" s="67" t="str">
        <x:v>https://www.scribd.com/document/1014775753/1-1-IMO-Adopted-Traffic-Separation-Schemes-on-the-ADMIRALTY-Chart-Series</x:v>
      </x:c>
      <x:c r="M79" s="66" t="str">
        <x:v>Notice 17; scheme label: In the Adriatic Sea: In the North Adriatic Sea</x:v>
      </x:c>
      <x:c r="N79" s="66" t="str">
        <x:v>UKHO-labelled document on third-party host; edition and currency unverified.</x:v>
      </x:c>
      <x:c r="O79" s="66" t="str"/>
      <x:c r="P79" s="67" t="str"/>
      <x:c r="Q79" s="66" t="str">
        <x:v>B15</x:v>
      </x:c>
      <x:c r="R79" s="66" t="str">
        <x:v>Candidate recorded</x:v>
      </x:c>
      <x:c r="S79" s="66" t="str">
        <x:v>Not established</x:v>
      </x:c>
    </x:row>
    <x:row r="80" ht="60" customHeight="1">
      <x:c r="A80" s="66" t="str">
        <x:v>TSS-0074</x:v>
      </x:c>
      <x:c r="B80" s="66" t="str">
        <x:v>Mediterranean and Black Seas</x:v>
      </x:c>
      <x:c r="C80" s="66" t="str">
        <x:v>In the Adriatic Sea: Approaches to the Gulf of Trieste</x:v>
      </x:c>
      <x:c r="D80" s="66" t="str">
        <x:v>Source entry; component check pending</x:v>
      </x:c>
      <x:c r="E80" s="66" t="str">
        <x:v>Provisional: official baseline reconciliation pending</x:v>
      </x:c>
      <x:c r="F80" s="66" t="str">
        <x:v>Not researched</x:v>
      </x:c>
      <x:c r="G80" s="66" t="str">
        <x:v>Not researched</x:v>
      </x:c>
      <x:c r="H80" s="66" t="str"/>
      <x:c r="I80" s="66" t="str"/>
      <x:c r="J80" s="66" t="str"/>
      <x:c r="K80" s="66" t="str">
        <x:v>SRC-001</x:v>
      </x:c>
      <x:c r="L80" s="67" t="str">
        <x:v>https://www.scribd.com/document/1014775753/1-1-IMO-Adopted-Traffic-Separation-Schemes-on-the-ADMIRALTY-Chart-Series</x:v>
      </x:c>
      <x:c r="M80" s="66" t="str">
        <x:v>Notice 17; scheme label: In the Adriatic Sea: Approaches to the Gulf of Trieste</x:v>
      </x:c>
      <x:c r="N80" s="66" t="str">
        <x:v>UKHO-labelled document on third-party host; edition and currency unverified.</x:v>
      </x:c>
      <x:c r="O80" s="66" t="str"/>
      <x:c r="P80" s="67" t="str"/>
      <x:c r="Q80" s="66" t="str">
        <x:v>B15</x:v>
      </x:c>
      <x:c r="R80" s="66" t="str">
        <x:v>Candidate recorded</x:v>
      </x:c>
      <x:c r="S80" s="66" t="str">
        <x:v>Not established</x:v>
      </x:c>
    </x:row>
    <x:row r="81" ht="60" customHeight="1">
      <x:c r="A81" s="66" t="str">
        <x:v>TSS-0075</x:v>
      </x:c>
      <x:c r="B81" s="66" t="str">
        <x:v>Mediterranean and Black Seas</x:v>
      </x:c>
      <x:c r="C81" s="66" t="str">
        <x:v>In the Adriatic Sea: Approaches to the Gulf of Venice</x:v>
      </x:c>
      <x:c r="D81" s="66" t="str">
        <x:v>Source entry; component check pending</x:v>
      </x:c>
      <x:c r="E81" s="66" t="str">
        <x:v>Provisional: official baseline reconciliation pending</x:v>
      </x:c>
      <x:c r="F81" s="66" t="str">
        <x:v>Not researched</x:v>
      </x:c>
      <x:c r="G81" s="66" t="str">
        <x:v>Not researched</x:v>
      </x:c>
      <x:c r="H81" s="66" t="str"/>
      <x:c r="I81" s="66" t="str"/>
      <x:c r="J81" s="66" t="str"/>
      <x:c r="K81" s="66" t="str">
        <x:v>SRC-001</x:v>
      </x:c>
      <x:c r="L81" s="67" t="str">
        <x:v>https://www.scribd.com/document/1014775753/1-1-IMO-Adopted-Traffic-Separation-Schemes-on-the-ADMIRALTY-Chart-Series</x:v>
      </x:c>
      <x:c r="M81" s="66" t="str">
        <x:v>Notice 17; scheme label: In the Adriatic Sea: Approaches to the Gulf of Venice</x:v>
      </x:c>
      <x:c r="N81" s="66" t="str">
        <x:v>UKHO-labelled document on third-party host; edition and currency unverified.</x:v>
      </x:c>
      <x:c r="O81" s="66" t="str"/>
      <x:c r="P81" s="67" t="str"/>
      <x:c r="Q81" s="66" t="str">
        <x:v>B15</x:v>
      </x:c>
      <x:c r="R81" s="66" t="str">
        <x:v>Candidate recorded</x:v>
      </x:c>
      <x:c r="S81" s="66" t="str">
        <x:v>Not established</x:v>
      </x:c>
    </x:row>
    <x:row r="82" ht="60" customHeight="1">
      <x:c r="A82" s="66" t="str">
        <x:v>TSS-0076</x:v>
      </x:c>
      <x:c r="B82" s="66" t="str">
        <x:v>Mediterranean and Black Seas</x:v>
      </x:c>
      <x:c r="C82" s="66" t="str">
        <x:v>In the Adriatic Sea: In the Gulf of Trieste and approaches to/from Koper</x:v>
      </x:c>
      <x:c r="D82" s="66" t="str">
        <x:v>Source entry; component check pending</x:v>
      </x:c>
      <x:c r="E82" s="66" t="str">
        <x:v>Provisional: official baseline reconciliation pending</x:v>
      </x:c>
      <x:c r="F82" s="66" t="str">
        <x:v>Not researched</x:v>
      </x:c>
      <x:c r="G82" s="66" t="str">
        <x:v>Not researched</x:v>
      </x:c>
      <x:c r="H82" s="66" t="str"/>
      <x:c r="I82" s="66" t="str"/>
      <x:c r="J82" s="66" t="str"/>
      <x:c r="K82" s="66" t="str">
        <x:v>SRC-001</x:v>
      </x:c>
      <x:c r="L82" s="67" t="str">
        <x:v>https://www.scribd.com/document/1014775753/1-1-IMO-Adopted-Traffic-Separation-Schemes-on-the-ADMIRALTY-Chart-Series</x:v>
      </x:c>
      <x:c r="M82" s="66" t="str">
        <x:v>Notice 17; scheme label: In the Adriatic Sea: In the Gulf of Trieste and approaches to/from Koper</x:v>
      </x:c>
      <x:c r="N82" s="66" t="str">
        <x:v>UKHO-labelled document on third-party host; edition and currency unverified.</x:v>
      </x:c>
      <x:c r="O82" s="66" t="str"/>
      <x:c r="P82" s="67" t="str"/>
      <x:c r="Q82" s="66" t="str">
        <x:v>B16</x:v>
      </x:c>
      <x:c r="R82" s="66" t="str">
        <x:v>Candidate recorded</x:v>
      </x:c>
      <x:c r="S82" s="66" t="str">
        <x:v>Not established</x:v>
      </x:c>
    </x:row>
    <x:row r="83" ht="60" customHeight="1">
      <x:c r="A83" s="66" t="str">
        <x:v>TSS-0077</x:v>
      </x:c>
      <x:c r="B83" s="66" t="str">
        <x:v>Mediterranean and Black Seas</x:v>
      </x:c>
      <x:c r="C83" s="66" t="str">
        <x:v>In the Adriatic Sea: Approaches to/from Monfalcone</x:v>
      </x:c>
      <x:c r="D83" s="66" t="str">
        <x:v>Source entry; component check pending</x:v>
      </x:c>
      <x:c r="E83" s="66" t="str">
        <x:v>Provisional: official baseline reconciliation pending</x:v>
      </x:c>
      <x:c r="F83" s="66" t="str">
        <x:v>Not researched</x:v>
      </x:c>
      <x:c r="G83" s="66" t="str">
        <x:v>Not researched</x:v>
      </x:c>
      <x:c r="H83" s="66" t="str"/>
      <x:c r="I83" s="66" t="str"/>
      <x:c r="J83" s="66" t="str"/>
      <x:c r="K83" s="66" t="str">
        <x:v>SRC-001</x:v>
      </x:c>
      <x:c r="L83" s="67" t="str">
        <x:v>https://www.scribd.com/document/1014775753/1-1-IMO-Adopted-Traffic-Separation-Schemes-on-the-ADMIRALTY-Chart-Series</x:v>
      </x:c>
      <x:c r="M83" s="66" t="str">
        <x:v>Notice 17; scheme label: In the Adriatic Sea: Approaches to/from Monfalcone</x:v>
      </x:c>
      <x:c r="N83" s="66" t="str">
        <x:v>UKHO-labelled document on third-party host; edition and currency unverified.</x:v>
      </x:c>
      <x:c r="O83" s="66" t="str"/>
      <x:c r="P83" s="67" t="str"/>
      <x:c r="Q83" s="66" t="str">
        <x:v>B16</x:v>
      </x:c>
      <x:c r="R83" s="66" t="str">
        <x:v>Candidate recorded</x:v>
      </x:c>
      <x:c r="S83" s="66" t="str">
        <x:v>Not established</x:v>
      </x:c>
    </x:row>
    <x:row r="84" ht="60" customHeight="1">
      <x:c r="A84" s="66" t="str">
        <x:v>TSS-0078</x:v>
      </x:c>
      <x:c r="B84" s="66" t="str">
        <x:v>Mediterranean and Black Seas</x:v>
      </x:c>
      <x:c r="C84" s="66" t="str">
        <x:v>Saronicos Gulf (Saronikós Kólpos, in the Approaches to Piraiévs)</x:v>
      </x:c>
      <x:c r="D84" s="66" t="str">
        <x:v>Source entry; component check pending</x:v>
      </x:c>
      <x:c r="E84" s="66" t="str">
        <x:v>Provisional: official baseline reconciliation pending</x:v>
      </x:c>
      <x:c r="F84" s="66" t="str">
        <x:v>Not researched</x:v>
      </x:c>
      <x:c r="G84" s="66" t="str">
        <x:v>Not researched</x:v>
      </x:c>
      <x:c r="H84" s="66" t="str"/>
      <x:c r="I84" s="66" t="str"/>
      <x:c r="J84" s="66" t="str"/>
      <x:c r="K84" s="66" t="str">
        <x:v>SRC-001</x:v>
      </x:c>
      <x:c r="L84" s="67" t="str">
        <x:v>https://www.scribd.com/document/1014775753/1-1-IMO-Adopted-Traffic-Separation-Schemes-on-the-ADMIRALTY-Chart-Series</x:v>
      </x:c>
      <x:c r="M84" s="66" t="str">
        <x:v>Notice 17; scheme label: Saronicos Gulf (Saronikós Kólpos, in the Approaches to Piraiévs)</x:v>
      </x:c>
      <x:c r="N84" s="66" t="str">
        <x:v>UKHO-labelled document on third-party host; edition and currency unverified.</x:v>
      </x:c>
      <x:c r="O84" s="66" t="str"/>
      <x:c r="P84" s="67" t="str"/>
      <x:c r="Q84" s="66" t="str">
        <x:v>B16</x:v>
      </x:c>
      <x:c r="R84" s="66" t="str">
        <x:v>Candidate recorded</x:v>
      </x:c>
      <x:c r="S84" s="66" t="str">
        <x:v>Not established</x:v>
      </x:c>
    </x:row>
    <x:row r="85" ht="60" customHeight="1">
      <x:c r="A85" s="66" t="str">
        <x:v>TSS-0079</x:v>
      </x:c>
      <x:c r="B85" s="66" t="str">
        <x:v>Mediterranean and Black Seas</x:v>
      </x:c>
      <x:c r="C85" s="66" t="str">
        <x:v>In the approaches to the port of Thessaloníki</x:v>
      </x:c>
      <x:c r="D85" s="66" t="str">
        <x:v>Source entry; component check pending</x:v>
      </x:c>
      <x:c r="E85" s="66" t="str">
        <x:v>Provisional: official baseline reconciliation pending</x:v>
      </x:c>
      <x:c r="F85" s="66" t="str">
        <x:v>Not researched</x:v>
      </x:c>
      <x:c r="G85" s="66" t="str">
        <x:v>Not researched</x:v>
      </x:c>
      <x:c r="H85" s="66" t="str"/>
      <x:c r="I85" s="66" t="str"/>
      <x:c r="J85" s="66" t="str"/>
      <x:c r="K85" s="66" t="str">
        <x:v>SRC-001</x:v>
      </x:c>
      <x:c r="L85" s="67" t="str">
        <x:v>https://www.scribd.com/document/1014775753/1-1-IMO-Adopted-Traffic-Separation-Schemes-on-the-ADMIRALTY-Chart-Series</x:v>
      </x:c>
      <x:c r="M85" s="66" t="str">
        <x:v>Notice 17; scheme label: In the approaches to the port of Thessaloníki</x:v>
      </x:c>
      <x:c r="N85" s="66" t="str">
        <x:v>UKHO-labelled document on third-party host; edition and currency unverified.</x:v>
      </x:c>
      <x:c r="O85" s="66" t="str"/>
      <x:c r="P85" s="67" t="str"/>
      <x:c r="Q85" s="66" t="str">
        <x:v>B16</x:v>
      </x:c>
      <x:c r="R85" s="66" t="str">
        <x:v>Candidate recorded</x:v>
      </x:c>
      <x:c r="S85" s="66" t="str">
        <x:v>Not established</x:v>
      </x:c>
    </x:row>
    <x:row r="86" ht="60" customHeight="1">
      <x:c r="A86" s="66" t="str">
        <x:v>TSS-0080</x:v>
      </x:c>
      <x:c r="B86" s="66" t="str">
        <x:v>Mediterranean and Black Seas</x:v>
      </x:c>
      <x:c r="C86" s="66" t="str">
        <x:v>Strait of Istanbul - North Approach</x:v>
      </x:c>
      <x:c r="D86" s="66" t="str">
        <x:v>Source entry; component check pending</x:v>
      </x:c>
      <x:c r="E86" s="66" t="str">
        <x:v>Provisional: official baseline reconciliation pending</x:v>
      </x:c>
      <x:c r="F86" s="66" t="str">
        <x:v>Not researched</x:v>
      </x:c>
      <x:c r="G86" s="66" t="str">
        <x:v>Not researched</x:v>
      </x:c>
      <x:c r="H86" s="66" t="str"/>
      <x:c r="I86" s="66" t="str"/>
      <x:c r="J86" s="66" t="str">
        <x:v>Linked Turkish Straits source segments. Resolve component schemes and VTS areas separately.</x:v>
      </x:c>
      <x:c r="K86" s="66" t="str">
        <x:v>SRC-001</x:v>
      </x:c>
      <x:c r="L86" s="67" t="str">
        <x:v>https://www.scribd.com/document/1014775753/1-1-IMO-Adopted-Traffic-Separation-Schemes-on-the-ADMIRALTY-Chart-Series</x:v>
      </x:c>
      <x:c r="M86" s="66" t="str">
        <x:v>Notice 17; scheme label: Strait of Istanbul - North Approach</x:v>
      </x:c>
      <x:c r="N86" s="66" t="str">
        <x:v>UKHO-labelled document on third-party host; edition and currency unverified.</x:v>
      </x:c>
      <x:c r="O86" s="66" t="str"/>
      <x:c r="P86" s="67" t="str"/>
      <x:c r="Q86" s="66" t="str">
        <x:v>B16</x:v>
      </x:c>
      <x:c r="R86" s="66" t="str">
        <x:v>Candidate recorded</x:v>
      </x:c>
      <x:c r="S86" s="66" t="str">
        <x:v>Not established</x:v>
      </x:c>
    </x:row>
    <x:row r="87" ht="60" customHeight="1">
      <x:c r="A87" s="66" t="str">
        <x:v>TSS-0081</x:v>
      </x:c>
      <x:c r="B87" s="66" t="str">
        <x:v>Mediterranean and Black Seas</x:v>
      </x:c>
      <x:c r="C87" s="66" t="str">
        <x:v>Strait of Istanbul</x:v>
      </x:c>
      <x:c r="D87" s="66" t="str">
        <x:v>Source entry; component check pending</x:v>
      </x:c>
      <x:c r="E87" s="66" t="str">
        <x:v>Provisional: official baseline reconciliation pending</x:v>
      </x:c>
      <x:c r="F87" s="66" t="str">
        <x:v>Not researched</x:v>
      </x:c>
      <x:c r="G87" s="66" t="str">
        <x:v>Not researched</x:v>
      </x:c>
      <x:c r="H87" s="66" t="str"/>
      <x:c r="I87" s="66" t="str"/>
      <x:c r="J87" s="66" t="str">
        <x:v>Linked Turkish Straits source segments. Resolve component schemes and VTS areas separately.</x:v>
      </x:c>
      <x:c r="K87" s="66" t="str">
        <x:v>SRC-001</x:v>
      </x:c>
      <x:c r="L87" s="67" t="str">
        <x:v>https://www.scribd.com/document/1014775753/1-1-IMO-Adopted-Traffic-Separation-Schemes-on-the-ADMIRALTY-Chart-Series</x:v>
      </x:c>
      <x:c r="M87" s="66" t="str">
        <x:v>Notice 17; scheme label: Strait of Istanbul</x:v>
      </x:c>
      <x:c r="N87" s="66" t="str">
        <x:v>UKHO-labelled document on third-party host; edition and currency unverified.</x:v>
      </x:c>
      <x:c r="O87" s="66" t="str"/>
      <x:c r="P87" s="67" t="str"/>
      <x:c r="Q87" s="66" t="str">
        <x:v>B17</x:v>
      </x:c>
      <x:c r="R87" s="66" t="str">
        <x:v>Candidate recorded</x:v>
      </x:c>
      <x:c r="S87" s="66" t="str">
        <x:v>Not established</x:v>
      </x:c>
    </x:row>
    <x:row r="88" ht="60" customHeight="1">
      <x:c r="A88" s="66" t="str">
        <x:v>TSS-0082</x:v>
      </x:c>
      <x:c r="B88" s="66" t="str">
        <x:v>Mediterranean and Black Seas</x:v>
      </x:c>
      <x:c r="C88" s="66" t="str">
        <x:v>Strait of Istanbul - South Approach and Sea of Marmara</x:v>
      </x:c>
      <x:c r="D88" s="66" t="str">
        <x:v>Source entry; component check pending</x:v>
      </x:c>
      <x:c r="E88" s="66" t="str">
        <x:v>Provisional: official baseline reconciliation pending</x:v>
      </x:c>
      <x:c r="F88" s="66" t="str">
        <x:v>Not researched</x:v>
      </x:c>
      <x:c r="G88" s="66" t="str">
        <x:v>Not researched</x:v>
      </x:c>
      <x:c r="H88" s="66" t="str"/>
      <x:c r="I88" s="66" t="str"/>
      <x:c r="J88" s="66" t="str">
        <x:v>Linked Turkish Straits source segments. Resolve component schemes and VTS areas separately.</x:v>
      </x:c>
      <x:c r="K88" s="66" t="str">
        <x:v>SRC-001</x:v>
      </x:c>
      <x:c r="L88" s="67" t="str">
        <x:v>https://www.scribd.com/document/1014775753/1-1-IMO-Adopted-Traffic-Separation-Schemes-on-the-ADMIRALTY-Chart-Series</x:v>
      </x:c>
      <x:c r="M88" s="66" t="str">
        <x:v>Notice 17; scheme label: Strait of Istanbul - South Approach and Sea of Marmara</x:v>
      </x:c>
      <x:c r="N88" s="66" t="str">
        <x:v>UKHO-labelled document on third-party host; edition and currency unverified.</x:v>
      </x:c>
      <x:c r="O88" s="66" t="str"/>
      <x:c r="P88" s="67" t="str"/>
      <x:c r="Q88" s="66" t="str">
        <x:v>B17</x:v>
      </x:c>
      <x:c r="R88" s="66" t="str">
        <x:v>Candidate recorded</x:v>
      </x:c>
      <x:c r="S88" s="66" t="str">
        <x:v>Not established</x:v>
      </x:c>
    </x:row>
    <x:row r="89" ht="60" customHeight="1">
      <x:c r="A89" s="66" t="str">
        <x:v>TSS-0083</x:v>
      </x:c>
      <x:c r="B89" s="66" t="str">
        <x:v>Mediterranean and Black Seas</x:v>
      </x:c>
      <x:c r="C89" s="66" t="str">
        <x:v>Strait of Canakkale</x:v>
      </x:c>
      <x:c r="D89" s="66" t="str">
        <x:v>Source entry; component check pending</x:v>
      </x:c>
      <x:c r="E89" s="66" t="str">
        <x:v>Provisional: official baseline reconciliation pending</x:v>
      </x:c>
      <x:c r="F89" s="66" t="str">
        <x:v>Not researched</x:v>
      </x:c>
      <x:c r="G89" s="66" t="str">
        <x:v>Not researched</x:v>
      </x:c>
      <x:c r="H89" s="66" t="str"/>
      <x:c r="I89" s="66" t="str"/>
      <x:c r="J89" s="66" t="str">
        <x:v>Linked Turkish Straits source segments. Resolve component schemes and VTS areas separately.</x:v>
      </x:c>
      <x:c r="K89" s="66" t="str">
        <x:v>SRC-001</x:v>
      </x:c>
      <x:c r="L89" s="67" t="str">
        <x:v>https://www.scribd.com/document/1014775753/1-1-IMO-Adopted-Traffic-Separation-Schemes-on-the-ADMIRALTY-Chart-Series</x:v>
      </x:c>
      <x:c r="M89" s="66" t="str">
        <x:v>Notice 17; scheme label: Strait of Canakkale</x:v>
      </x:c>
      <x:c r="N89" s="66" t="str">
        <x:v>UKHO-labelled document on third-party host; edition and currency unverified.</x:v>
      </x:c>
      <x:c r="O89" s="66" t="str"/>
      <x:c r="P89" s="67" t="str"/>
      <x:c r="Q89" s="66" t="str">
        <x:v>B17</x:v>
      </x:c>
      <x:c r="R89" s="66" t="str">
        <x:v>Candidate recorded</x:v>
      </x:c>
      <x:c r="S89" s="66" t="str">
        <x:v>Not established</x:v>
      </x:c>
    </x:row>
    <x:row r="90" ht="60" customHeight="1">
      <x:c r="A90" s="66" t="str">
        <x:v>TSS-0084</x:v>
      </x:c>
      <x:c r="B90" s="66" t="str">
        <x:v>Mediterranean and Black Seas</x:v>
      </x:c>
      <x:c r="C90" s="66" t="str">
        <x:v>Strait of Canakkale - South-west Approach</x:v>
      </x:c>
      <x:c r="D90" s="66" t="str">
        <x:v>Source entry; component check pending</x:v>
      </x:c>
      <x:c r="E90" s="66" t="str">
        <x:v>Provisional: official baseline reconciliation pending</x:v>
      </x:c>
      <x:c r="F90" s="66" t="str">
        <x:v>Not researched</x:v>
      </x:c>
      <x:c r="G90" s="66" t="str">
        <x:v>Not researched</x:v>
      </x:c>
      <x:c r="H90" s="66" t="str"/>
      <x:c r="I90" s="66" t="str"/>
      <x:c r="J90" s="66" t="str">
        <x:v>Linked Turkish Straits source segments. Resolve component schemes and VTS areas separately.</x:v>
      </x:c>
      <x:c r="K90" s="66" t="str">
        <x:v>SRC-001</x:v>
      </x:c>
      <x:c r="L90" s="67" t="str">
        <x:v>https://www.scribd.com/document/1014775753/1-1-IMO-Adopted-Traffic-Separation-Schemes-on-the-ADMIRALTY-Chart-Series</x:v>
      </x:c>
      <x:c r="M90" s="66" t="str">
        <x:v>Notice 17; scheme label: Strait of Canakkale - South-west Approach</x:v>
      </x:c>
      <x:c r="N90" s="66" t="str">
        <x:v>UKHO-labelled document on third-party host; edition and currency unverified.</x:v>
      </x:c>
      <x:c r="O90" s="66" t="str"/>
      <x:c r="P90" s="67" t="str"/>
      <x:c r="Q90" s="66" t="str">
        <x:v>B17</x:v>
      </x:c>
      <x:c r="R90" s="66" t="str">
        <x:v>Candidate recorded</x:v>
      </x:c>
      <x:c r="S90" s="66" t="str">
        <x:v>Not established</x:v>
      </x:c>
    </x:row>
    <x:row r="91" ht="60" customHeight="1">
      <x:c r="A91" s="66" t="str">
        <x:v>TSS-0085</x:v>
      </x:c>
      <x:c r="B91" s="66" t="str">
        <x:v>Mediterranean and Black Seas</x:v>
      </x:c>
      <x:c r="C91" s="66" t="str">
        <x:v>In the Approaches to the Ports of Odessa and Ilichevsk</x:v>
      </x:c>
      <x:c r="D91" s="66" t="str">
        <x:v>Source entry; component check pending</x:v>
      </x:c>
      <x:c r="E91" s="66" t="str">
        <x:v>Provisional: official baseline reconciliation pending</x:v>
      </x:c>
      <x:c r="F91" s="66" t="str">
        <x:v>Not researched</x:v>
      </x:c>
      <x:c r="G91" s="66" t="str">
        <x:v>Not researched</x:v>
      </x:c>
      <x:c r="H91" s="66" t="str"/>
      <x:c r="I91" s="66" t="str"/>
      <x:c r="J91" s="66" t="str">
        <x:v>Historical source label retained. Current naming, implementation and service status require authority confirmation.</x:v>
      </x:c>
      <x:c r="K91" s="66" t="str">
        <x:v>SRC-001</x:v>
      </x:c>
      <x:c r="L91" s="67" t="str">
        <x:v>https://www.scribd.com/document/1014775753/1-1-IMO-Adopted-Traffic-Separation-Schemes-on-the-ADMIRALTY-Chart-Series</x:v>
      </x:c>
      <x:c r="M91" s="66" t="str">
        <x:v>Notice 17; scheme label: In the Approaches to the Ports of Odessa and Ilichevsk</x:v>
      </x:c>
      <x:c r="N91" s="66" t="str">
        <x:v>UKHO-labelled document on third-party host; edition and currency unverified.</x:v>
      </x:c>
      <x:c r="O91" s="66" t="str"/>
      <x:c r="P91" s="67" t="str"/>
      <x:c r="Q91" s="66" t="str">
        <x:v>B17</x:v>
      </x:c>
      <x:c r="R91" s="66" t="str">
        <x:v>Candidate recorded</x:v>
      </x:c>
      <x:c r="S91" s="66" t="str">
        <x:v>Not established</x:v>
      </x:c>
    </x:row>
    <x:row r="92" ht="60" customHeight="1">
      <x:c r="A92" s="66" t="str">
        <x:v>TSS-0086</x:v>
      </x:c>
      <x:c r="B92" s="66" t="str">
        <x:v>Mediterranean and Black Seas</x:v>
      </x:c>
      <x:c r="C92" s="66" t="str">
        <x:v>Between the Ports of Odessa and Ilichevsk</x:v>
      </x:c>
      <x:c r="D92" s="66" t="str">
        <x:v>Source entry; component check pending</x:v>
      </x:c>
      <x:c r="E92" s="66" t="str">
        <x:v>Provisional: official baseline reconciliation pending</x:v>
      </x:c>
      <x:c r="F92" s="66" t="str">
        <x:v>Not researched</x:v>
      </x:c>
      <x:c r="G92" s="66" t="str">
        <x:v>Not researched</x:v>
      </x:c>
      <x:c r="H92" s="66" t="str"/>
      <x:c r="I92" s="66" t="str"/>
      <x:c r="J92" s="66" t="str">
        <x:v>Historical source label retained. Current naming, implementation and service status require authority confirmation.</x:v>
      </x:c>
      <x:c r="K92" s="66" t="str">
        <x:v>SRC-001</x:v>
      </x:c>
      <x:c r="L92" s="67" t="str">
        <x:v>https://www.scribd.com/document/1014775753/1-1-IMO-Adopted-Traffic-Separation-Schemes-on-the-ADMIRALTY-Chart-Series</x:v>
      </x:c>
      <x:c r="M92" s="66" t="str">
        <x:v>Notice 17; scheme label: Between the Ports of Odessa and Ilichevsk</x:v>
      </x:c>
      <x:c r="N92" s="66" t="str">
        <x:v>UKHO-labelled document on third-party host; edition and currency unverified.</x:v>
      </x:c>
      <x:c r="O92" s="66" t="str"/>
      <x:c r="P92" s="67" t="str"/>
      <x:c r="Q92" s="66" t="str">
        <x:v>B18</x:v>
      </x:c>
      <x:c r="R92" s="66" t="str">
        <x:v>Candidate recorded</x:v>
      </x:c>
      <x:c r="S92" s="66" t="str">
        <x:v>Not established</x:v>
      </x:c>
    </x:row>
    <x:row r="93" ht="60" customHeight="1">
      <x:c r="A93" s="66" t="str">
        <x:v>TSS-0087</x:v>
      </x:c>
      <x:c r="B93" s="66" t="str">
        <x:v>Mediterranean and Black Seas</x:v>
      </x:c>
      <x:c r="C93" s="66" t="str">
        <x:v>In the area Off the South-western Coast of the Crimea</x:v>
      </x:c>
      <x:c r="D93" s="66" t="str">
        <x:v>Source entry; component check pending</x:v>
      </x:c>
      <x:c r="E93" s="66" t="str">
        <x:v>Provisional: official baseline reconciliation pending</x:v>
      </x:c>
      <x:c r="F93" s="66" t="str">
        <x:v>Not researched</x:v>
      </x:c>
      <x:c r="G93" s="66" t="str">
        <x:v>Not researched</x:v>
      </x:c>
      <x:c r="H93" s="66" t="str"/>
      <x:c r="I93" s="66" t="str"/>
      <x:c r="J93" s="66" t="str">
        <x:v>Historical source label retained. Current naming, implementation and service status require authority confirmation.</x:v>
      </x:c>
      <x:c r="K93" s="66" t="str">
        <x:v>SRC-001</x:v>
      </x:c>
      <x:c r="L93" s="67" t="str">
        <x:v>https://www.scribd.com/document/1014775753/1-1-IMO-Adopted-Traffic-Separation-Schemes-on-the-ADMIRALTY-Chart-Series</x:v>
      </x:c>
      <x:c r="M93" s="66" t="str">
        <x:v>Notice 17; scheme label: In the area Off the South-western Coast of the Crimea</x:v>
      </x:c>
      <x:c r="N93" s="66" t="str">
        <x:v>UKHO-labelled document on third-party host; edition and currency unverified.</x:v>
      </x:c>
      <x:c r="O93" s="66" t="str"/>
      <x:c r="P93" s="67" t="str"/>
      <x:c r="Q93" s="66" t="str">
        <x:v>B18</x:v>
      </x:c>
      <x:c r="R93" s="66" t="str">
        <x:v>Candidate recorded</x:v>
      </x:c>
      <x:c r="S93" s="66" t="str">
        <x:v>Not established</x:v>
      </x:c>
    </x:row>
    <x:row r="94" ht="60" customHeight="1">
      <x:c r="A94" s="66" t="str">
        <x:v>TSS-0088</x:v>
      </x:c>
      <x:c r="B94" s="66" t="str">
        <x:v>Mediterranean and Black Seas</x:v>
      </x:c>
      <x:c r="C94" s="66" t="str">
        <x:v>In the Southern Approaches to the Kerch Strait</x:v>
      </x:c>
      <x:c r="D94" s="66" t="str">
        <x:v>Source entry; component check pending</x:v>
      </x:c>
      <x:c r="E94" s="66" t="str">
        <x:v>Provisional: official baseline reconciliation pending</x:v>
      </x:c>
      <x:c r="F94" s="66" t="str">
        <x:v>Not researched</x:v>
      </x:c>
      <x:c r="G94" s="66" t="str">
        <x:v>Not researched</x:v>
      </x:c>
      <x:c r="H94" s="66" t="str"/>
      <x:c r="I94" s="66" t="str"/>
      <x:c r="J94" s="66" t="str">
        <x:v>Historical source label retained. Current naming, implementation and service status require authority confirmation.</x:v>
      </x:c>
      <x:c r="K94" s="66" t="str">
        <x:v>SRC-001</x:v>
      </x:c>
      <x:c r="L94" s="67" t="str">
        <x:v>https://www.scribd.com/document/1014775753/1-1-IMO-Adopted-Traffic-Separation-Schemes-on-the-ADMIRALTY-Chart-Series</x:v>
      </x:c>
      <x:c r="M94" s="66" t="str">
        <x:v>Notice 17; scheme label: In the Southern Approaches to the Kerch Strait</x:v>
      </x:c>
      <x:c r="N94" s="66" t="str">
        <x:v>UKHO-labelled document on third-party host; edition and currency unverified.</x:v>
      </x:c>
      <x:c r="O94" s="66" t="str"/>
      <x:c r="P94" s="67" t="str"/>
      <x:c r="Q94" s="66" t="str">
        <x:v>B18</x:v>
      </x:c>
      <x:c r="R94" s="66" t="str">
        <x:v>Candidate recorded</x:v>
      </x:c>
      <x:c r="S94" s="66" t="str">
        <x:v>Not established</x:v>
      </x:c>
    </x:row>
    <x:row r="95" ht="60" customHeight="1">
      <x:c r="A95" s="66" t="str">
        <x:v>TSS-0089</x:v>
      </x:c>
      <x:c r="B95" s="66" t="str">
        <x:v>Mediterranean and Black Seas</x:v>
      </x:c>
      <x:c r="C95" s="66" t="str">
        <x:v>Off the Mediterranean Coast of Egypt</x:v>
      </x:c>
      <x:c r="D95" s="66" t="str">
        <x:v>Source entry; component check pending</x:v>
      </x:c>
      <x:c r="E95" s="66" t="str">
        <x:v>Provisional: official baseline reconciliation pending</x:v>
      </x:c>
      <x:c r="F95" s="66" t="str">
        <x:v>Not researched</x:v>
      </x:c>
      <x:c r="G95" s="66" t="str">
        <x:v>Not researched</x:v>
      </x:c>
      <x:c r="H95" s="66" t="str"/>
      <x:c r="I95" s="66" t="str"/>
      <x:c r="J95" s="66" t="str"/>
      <x:c r="K95" s="66" t="str">
        <x:v>SRC-001</x:v>
      </x:c>
      <x:c r="L95" s="67" t="str">
        <x:v>https://www.scribd.com/document/1014775753/1-1-IMO-Adopted-Traffic-Separation-Schemes-on-the-ADMIRALTY-Chart-Series</x:v>
      </x:c>
      <x:c r="M95" s="66" t="str">
        <x:v>Notice 17; scheme label: Off the Mediterranean Coast of Egypt</x:v>
      </x:c>
      <x:c r="N95" s="66" t="str">
        <x:v>UKHO-labelled document on third-party host; edition and currency unverified.</x:v>
      </x:c>
      <x:c r="O95" s="66" t="str"/>
      <x:c r="P95" s="67" t="str"/>
      <x:c r="Q95" s="66" t="str">
        <x:v>B18</x:v>
      </x:c>
      <x:c r="R95" s="66" t="str">
        <x:v>Candidate recorded</x:v>
      </x:c>
      <x:c r="S95" s="66" t="str">
        <x:v>Not established</x:v>
      </x:c>
    </x:row>
    <x:row r="96" ht="60" customHeight="1">
      <x:c r="A96" s="66" t="str">
        <x:v>TSS-0090</x:v>
      </x:c>
      <x:c r="B96" s="66" t="str">
        <x:v>Southern Africa</x:v>
      </x:c>
      <x:c r="C96" s="66" t="str">
        <x:v>Off Alphard Banks, 34 miles south of Cape Infanta</x:v>
      </x:c>
      <x:c r="D96" s="66" t="str">
        <x:v>Source entry; component check pending</x:v>
      </x:c>
      <x:c r="E96" s="66" t="str">
        <x:v>Provisional: official baseline reconciliation pending</x:v>
      </x:c>
      <x:c r="F96" s="66" t="str">
        <x:v>Not researched</x:v>
      </x:c>
      <x:c r="G96" s="66" t="str">
        <x:v>Not researched</x:v>
      </x:c>
      <x:c r="H96" s="66" t="str"/>
      <x:c r="I96" s="66" t="str"/>
      <x:c r="J96" s="66" t="str"/>
      <x:c r="K96" s="66" t="str">
        <x:v>SRC-001</x:v>
      </x:c>
      <x:c r="L96" s="67" t="str">
        <x:v>https://www.scribd.com/document/1014775753/1-1-IMO-Adopted-Traffic-Separation-Schemes-on-the-ADMIRALTY-Chart-Series</x:v>
      </x:c>
      <x:c r="M96" s="66" t="str">
        <x:v>Notice 17; scheme label: Off Alphard Banks, 34 miles south of Cape Infanta</x:v>
      </x:c>
      <x:c r="N96" s="66" t="str">
        <x:v>UKHO-labelled document on third-party host; edition and currency unverified.</x:v>
      </x:c>
      <x:c r="O96" s="66" t="str"/>
      <x:c r="P96" s="67" t="str"/>
      <x:c r="Q96" s="66" t="str">
        <x:v>B18</x:v>
      </x:c>
      <x:c r="R96" s="66" t="str">
        <x:v>Candidate recorded</x:v>
      </x:c>
      <x:c r="S96" s="66" t="str">
        <x:v>Not established</x:v>
      </x:c>
    </x:row>
    <x:row r="97" ht="60" customHeight="1">
      <x:c r="A97" s="66" t="str">
        <x:v>TSS-0091</x:v>
      </x:c>
      <x:c r="B97" s="66" t="str">
        <x:v>Southern Africa</x:v>
      </x:c>
      <x:c r="C97" s="66" t="str">
        <x:v>Off the FA Platform, 47 miles south of Mossel Bay</x:v>
      </x:c>
      <x:c r="D97" s="66" t="str">
        <x:v>Source entry; component check pending</x:v>
      </x:c>
      <x:c r="E97" s="66" t="str">
        <x:v>Provisional: official baseline reconciliation pending</x:v>
      </x:c>
      <x:c r="F97" s="66" t="str">
        <x:v>Not researched</x:v>
      </x:c>
      <x:c r="G97" s="66" t="str">
        <x:v>Not researched</x:v>
      </x:c>
      <x:c r="H97" s="66" t="str"/>
      <x:c r="I97" s="66" t="str"/>
      <x:c r="J97" s="66" t="str"/>
      <x:c r="K97" s="66" t="str">
        <x:v>SRC-001</x:v>
      </x:c>
      <x:c r="L97" s="67" t="str">
        <x:v>https://www.scribd.com/document/1014775753/1-1-IMO-Adopted-Traffic-Separation-Schemes-on-the-ADMIRALTY-Chart-Series</x:v>
      </x:c>
      <x:c r="M97" s="66" t="str">
        <x:v>Notice 17; scheme label: Off the FA Platform, 47 miles south of Mossel Bay</x:v>
      </x:c>
      <x:c r="N97" s="66" t="str">
        <x:v>UKHO-labelled document on third-party host; edition and currency unverified.</x:v>
      </x:c>
      <x:c r="O97" s="66" t="str"/>
      <x:c r="P97" s="67" t="str"/>
      <x:c r="Q97" s="66" t="str">
        <x:v>B19</x:v>
      </x:c>
      <x:c r="R97" s="66" t="str">
        <x:v>Candidate recorded</x:v>
      </x:c>
      <x:c r="S97" s="66" t="str">
        <x:v>Not established</x:v>
      </x:c>
    </x:row>
    <x:row r="98" ht="60" customHeight="1">
      <x:c r="A98" s="66" t="str">
        <x:v>TSS-0092</x:v>
      </x:c>
      <x:c r="B98" s="66" t="str">
        <x:v>Red Sea and Arabian region</x:v>
      </x:c>
      <x:c r="C98" s="66" t="str">
        <x:v>In the Gulf of Suez</x:v>
      </x:c>
      <x:c r="D98" s="66" t="str">
        <x:v>Source entry; component check pending</x:v>
      </x:c>
      <x:c r="E98" s="66" t="str">
        <x:v>Provisional: official baseline reconciliation pending</x:v>
      </x:c>
      <x:c r="F98" s="66" t="str">
        <x:v>Not researched</x:v>
      </x:c>
      <x:c r="G98" s="66" t="str">
        <x:v>Not researched</x:v>
      </x:c>
      <x:c r="H98" s="66" t="str"/>
      <x:c r="I98" s="66" t="str"/>
      <x:c r="J98" s="66" t="str"/>
      <x:c r="K98" s="66" t="str">
        <x:v>SRC-001</x:v>
      </x:c>
      <x:c r="L98" s="67" t="str">
        <x:v>https://www.scribd.com/document/1014775753/1-1-IMO-Adopted-Traffic-Separation-Schemes-on-the-ADMIRALTY-Chart-Series</x:v>
      </x:c>
      <x:c r="M98" s="66" t="str">
        <x:v>Notice 17; scheme label: In the Gulf of Suez</x:v>
      </x:c>
      <x:c r="N98" s="66" t="str">
        <x:v>UKHO-labelled document on third-party host; edition and currency unverified.</x:v>
      </x:c>
      <x:c r="O98" s="66" t="str"/>
      <x:c r="P98" s="67" t="str"/>
      <x:c r="Q98" s="66" t="str">
        <x:v>B19</x:v>
      </x:c>
      <x:c r="R98" s="66" t="str">
        <x:v>Candidate recorded</x:v>
      </x:c>
      <x:c r="S98" s="66" t="str">
        <x:v>Not established</x:v>
      </x:c>
    </x:row>
    <x:row r="99" ht="60" customHeight="1">
      <x:c r="A99" s="66" t="str">
        <x:v>TSS-0093</x:v>
      </x:c>
      <x:c r="B99" s="66" t="str">
        <x:v>Red Sea and Arabian region</x:v>
      </x:c>
      <x:c r="C99" s="66" t="str">
        <x:v>In the Entrance to the Gulf of Aqaba</x:v>
      </x:c>
      <x:c r="D99" s="66" t="str">
        <x:v>Source entry; component check pending</x:v>
      </x:c>
      <x:c r="E99" s="66" t="str">
        <x:v>Provisional: official baseline reconciliation pending</x:v>
      </x:c>
      <x:c r="F99" s="66" t="str">
        <x:v>Not researched</x:v>
      </x:c>
      <x:c r="G99" s="66" t="str">
        <x:v>Not researched</x:v>
      </x:c>
      <x:c r="H99" s="66" t="str"/>
      <x:c r="I99" s="66" t="str"/>
      <x:c r="J99" s="66" t="str"/>
      <x:c r="K99" s="66" t="str">
        <x:v>SRC-001</x:v>
      </x:c>
      <x:c r="L99" s="67" t="str">
        <x:v>https://www.scribd.com/document/1014775753/1-1-IMO-Adopted-Traffic-Separation-Schemes-on-the-ADMIRALTY-Chart-Series</x:v>
      </x:c>
      <x:c r="M99" s="66" t="str">
        <x:v>Notice 17; scheme label: In the Entrance to the Gulf of Aqaba</x:v>
      </x:c>
      <x:c r="N99" s="66" t="str">
        <x:v>UKHO-labelled document on third-party host; edition and currency unverified.</x:v>
      </x:c>
      <x:c r="O99" s="66" t="str"/>
      <x:c r="P99" s="67" t="str"/>
      <x:c r="Q99" s="66" t="str">
        <x:v>B19</x:v>
      </x:c>
      <x:c r="R99" s="66" t="str">
        <x:v>Candidate recorded</x:v>
      </x:c>
      <x:c r="S99" s="66" t="str">
        <x:v>Not established</x:v>
      </x:c>
    </x:row>
    <x:row r="100" ht="60" customHeight="1">
      <x:c r="A100" s="66" t="str">
        <x:v>TSS-0094</x:v>
      </x:c>
      <x:c r="B100" s="66" t="str">
        <x:v>Red Sea and Arabian region</x:v>
      </x:c>
      <x:c r="C100" s="66" t="str">
        <x:v>In the Southern Red Sea - West and South of Hanish al Kubra</x:v>
      </x:c>
      <x:c r="D100" s="66" t="str">
        <x:v>Source entry; component check pending</x:v>
      </x:c>
      <x:c r="E100" s="66" t="str">
        <x:v>Provisional: official baseline reconciliation pending</x:v>
      </x:c>
      <x:c r="F100" s="66" t="str">
        <x:v>Not researched</x:v>
      </x:c>
      <x:c r="G100" s="66" t="str">
        <x:v>Not researched</x:v>
      </x:c>
      <x:c r="H100" s="66" t="str"/>
      <x:c r="I100" s="66" t="str"/>
      <x:c r="J100" s="66" t="str"/>
      <x:c r="K100" s="66" t="str">
        <x:v>SRC-001</x:v>
      </x:c>
      <x:c r="L100" s="67" t="str">
        <x:v>https://www.scribd.com/document/1014775753/1-1-IMO-Adopted-Traffic-Separation-Schemes-on-the-ADMIRALTY-Chart-Series</x:v>
      </x:c>
      <x:c r="M100" s="66" t="str">
        <x:v>Notice 17; scheme label: In the Southern Red Sea - West and South of Hanish al Kubra</x:v>
      </x:c>
      <x:c r="N100" s="66" t="str">
        <x:v>UKHO-labelled document on third-party host; edition and currency unverified.</x:v>
      </x:c>
      <x:c r="O100" s="66" t="str"/>
      <x:c r="P100" s="67" t="str"/>
      <x:c r="Q100" s="66" t="str">
        <x:v>B19</x:v>
      </x:c>
      <x:c r="R100" s="66" t="str">
        <x:v>Candidate recorded</x:v>
      </x:c>
      <x:c r="S100" s="66" t="str">
        <x:v>Not established</x:v>
      </x:c>
    </x:row>
    <x:row r="101" ht="60" customHeight="1">
      <x:c r="A101" s="66" t="str">
        <x:v>TSS-0095</x:v>
      </x:c>
      <x:c r="B101" s="66" t="str">
        <x:v>Red Sea and Arabian region</x:v>
      </x:c>
      <x:c r="C101" s="66" t="str">
        <x:v>In the Southern Red Sea - East of Jabal Zuqar Island</x:v>
      </x:c>
      <x:c r="D101" s="66" t="str">
        <x:v>Source entry; component check pending</x:v>
      </x:c>
      <x:c r="E101" s="66" t="str">
        <x:v>Provisional: official baseline reconciliation pending</x:v>
      </x:c>
      <x:c r="F101" s="66" t="str">
        <x:v>Not researched</x:v>
      </x:c>
      <x:c r="G101" s="66" t="str">
        <x:v>Not researched</x:v>
      </x:c>
      <x:c r="H101" s="66" t="str"/>
      <x:c r="I101" s="66" t="str"/>
      <x:c r="J101" s="66" t="str"/>
      <x:c r="K101" s="66" t="str">
        <x:v>SRC-001</x:v>
      </x:c>
      <x:c r="L101" s="67" t="str">
        <x:v>https://www.scribd.com/document/1014775753/1-1-IMO-Adopted-Traffic-Separation-Schemes-on-the-ADMIRALTY-Chart-Series</x:v>
      </x:c>
      <x:c r="M101" s="66" t="str">
        <x:v>Notice 17; scheme label: In the Southern Red Sea - East of Jabal Zuqar Island</x:v>
      </x:c>
      <x:c r="N101" s="66" t="str">
        <x:v>UKHO-labelled document on third-party host; edition and currency unverified.</x:v>
      </x:c>
      <x:c r="O101" s="66" t="str"/>
      <x:c r="P101" s="67" t="str"/>
      <x:c r="Q101" s="66" t="str">
        <x:v>B19</x:v>
      </x:c>
      <x:c r="R101" s="66" t="str">
        <x:v>Candidate recorded</x:v>
      </x:c>
      <x:c r="S101" s="66" t="str">
        <x:v>Not established</x:v>
      </x:c>
    </x:row>
    <x:row r="102" ht="60" customHeight="1">
      <x:c r="A102" s="66" t="str">
        <x:v>TSS-0096</x:v>
      </x:c>
      <x:c r="B102" s="66" t="str">
        <x:v>Red Sea and Arabian region</x:v>
      </x:c>
      <x:c r="C102" s="66" t="str">
        <x:v>In the Strait of Bab-el-Mandeb</x:v>
      </x:c>
      <x:c r="D102" s="66" t="str">
        <x:v>Source entry; component check pending</x:v>
      </x:c>
      <x:c r="E102" s="66" t="str">
        <x:v>Provisional: official baseline reconciliation pending</x:v>
      </x:c>
      <x:c r="F102" s="66" t="str">
        <x:v>Not researched</x:v>
      </x:c>
      <x:c r="G102" s="66" t="str">
        <x:v>Not researched</x:v>
      </x:c>
      <x:c r="H102" s="66" t="str"/>
      <x:c r="I102" s="66" t="str"/>
      <x:c r="J102" s="66" t="str"/>
      <x:c r="K102" s="66" t="str">
        <x:v>SRC-001</x:v>
      </x:c>
      <x:c r="L102" s="67" t="str">
        <x:v>https://www.scribd.com/document/1014775753/1-1-IMO-Adopted-Traffic-Separation-Schemes-on-the-ADMIRALTY-Chart-Series</x:v>
      </x:c>
      <x:c r="M102" s="66" t="str">
        <x:v>Notice 17; scheme label: In the Strait of Bab-el-Mandeb</x:v>
      </x:c>
      <x:c r="N102" s="66" t="str">
        <x:v>UKHO-labelled document on third-party host; edition and currency unverified.</x:v>
      </x:c>
      <x:c r="O102" s="66" t="str"/>
      <x:c r="P102" s="67" t="str"/>
      <x:c r="Q102" s="66" t="str">
        <x:v>B20</x:v>
      </x:c>
      <x:c r="R102" s="66" t="str">
        <x:v>Candidate recorded</x:v>
      </x:c>
      <x:c r="S102" s="66" t="str">
        <x:v>Not established</x:v>
      </x:c>
    </x:row>
    <x:row r="103" ht="60" customHeight="1">
      <x:c r="A103" s="66" t="str">
        <x:v>TSS-0097</x:v>
      </x:c>
      <x:c r="B103" s="66" t="str">
        <x:v>Red Sea and Arabian region</x:v>
      </x:c>
      <x:c r="C103" s="66" t="str">
        <x:v>Off Ras al Hadd</x:v>
      </x:c>
      <x:c r="D103" s="66" t="str">
        <x:v>Source entry; component check pending</x:v>
      </x:c>
      <x:c r="E103" s="66" t="str">
        <x:v>Provisional: official baseline reconciliation pending</x:v>
      </x:c>
      <x:c r="F103" s="66" t="str">
        <x:v>Not researched</x:v>
      </x:c>
      <x:c r="G103" s="66" t="str">
        <x:v>Not researched</x:v>
      </x:c>
      <x:c r="H103" s="66" t="str"/>
      <x:c r="I103" s="66" t="str"/>
      <x:c r="J103" s="66" t="str"/>
      <x:c r="K103" s="66" t="str">
        <x:v>SRC-001</x:v>
      </x:c>
      <x:c r="L103" s="67" t="str">
        <x:v>https://www.scribd.com/document/1014775753/1-1-IMO-Adopted-Traffic-Separation-Schemes-on-the-ADMIRALTY-Chart-Series</x:v>
      </x:c>
      <x:c r="M103" s="66" t="str">
        <x:v>Notice 17; scheme label: Off Ras al Hadd</x:v>
      </x:c>
      <x:c r="N103" s="66" t="str">
        <x:v>UKHO-labelled document on third-party host; edition and currency unverified.</x:v>
      </x:c>
      <x:c r="O103" s="66" t="str"/>
      <x:c r="P103" s="67" t="str"/>
      <x:c r="Q103" s="66" t="str">
        <x:v>B20</x:v>
      </x:c>
      <x:c r="R103" s="66" t="str">
        <x:v>Candidate recorded</x:v>
      </x:c>
      <x:c r="S103" s="66" t="str">
        <x:v>Not established</x:v>
      </x:c>
    </x:row>
    <x:row r="104" ht="60" customHeight="1">
      <x:c r="A104" s="66" t="str">
        <x:v>TSS-0098</x:v>
      </x:c>
      <x:c r="B104" s="66" t="str">
        <x:v>Red Sea and Arabian region</x:v>
      </x:c>
      <x:c r="C104" s="66" t="str">
        <x:v>Off Ra's al Kuh</x:v>
      </x:c>
      <x:c r="D104" s="66" t="str">
        <x:v>Source entry; component check pending</x:v>
      </x:c>
      <x:c r="E104" s="66" t="str">
        <x:v>Provisional: official baseline reconciliation pending</x:v>
      </x:c>
      <x:c r="F104" s="66" t="str">
        <x:v>Not researched</x:v>
      </x:c>
      <x:c r="G104" s="66" t="str">
        <x:v>Not researched</x:v>
      </x:c>
      <x:c r="H104" s="66" t="str"/>
      <x:c r="I104" s="66" t="str"/>
      <x:c r="J104" s="66" t="str"/>
      <x:c r="K104" s="66" t="str">
        <x:v>SRC-001</x:v>
      </x:c>
      <x:c r="L104" s="67" t="str">
        <x:v>https://www.scribd.com/document/1014775753/1-1-IMO-Adopted-Traffic-Separation-Schemes-on-the-ADMIRALTY-Chart-Series</x:v>
      </x:c>
      <x:c r="M104" s="66" t="str">
        <x:v>Notice 17; scheme label: Off Ra's al Kuh</x:v>
      </x:c>
      <x:c r="N104" s="66" t="str">
        <x:v>UKHO-labelled document on third-party host; edition and currency unverified.</x:v>
      </x:c>
      <x:c r="O104" s="66" t="str"/>
      <x:c r="P104" s="67" t="str"/>
      <x:c r="Q104" s="66" t="str">
        <x:v>B20</x:v>
      </x:c>
      <x:c r="R104" s="66" t="str">
        <x:v>Candidate recorded</x:v>
      </x:c>
      <x:c r="S104" s="66" t="str">
        <x:v>Not established</x:v>
      </x:c>
    </x:row>
    <x:row r="105" ht="60" customHeight="1">
      <x:c r="A105" s="66" t="str">
        <x:v>TSS-0099</x:v>
      </x:c>
      <x:c r="B105" s="66" t="str">
        <x:v>Red Sea and Arabian region</x:v>
      </x:c>
      <x:c r="C105" s="66" t="str">
        <x:v>In the Strait of Hormuz</x:v>
      </x:c>
      <x:c r="D105" s="66" t="str">
        <x:v>Source entry; component check pending</x:v>
      </x:c>
      <x:c r="E105" s="66" t="str">
        <x:v>Provisional: official baseline reconciliation pending</x:v>
      </x:c>
      <x:c r="F105" s="66" t="str">
        <x:v>Not researched</x:v>
      </x:c>
      <x:c r="G105" s="66" t="str">
        <x:v>Not researched</x:v>
      </x:c>
      <x:c r="H105" s="66" t="str"/>
      <x:c r="I105" s="66" t="str"/>
      <x:c r="J105" s="66" t="str"/>
      <x:c r="K105" s="66" t="str">
        <x:v>SRC-001</x:v>
      </x:c>
      <x:c r="L105" s="67" t="str">
        <x:v>https://www.scribd.com/document/1014775753/1-1-IMO-Adopted-Traffic-Separation-Schemes-on-the-ADMIRALTY-Chart-Series</x:v>
      </x:c>
      <x:c r="M105" s="66" t="str">
        <x:v>Notice 17; scheme label: In the Strait of Hormuz</x:v>
      </x:c>
      <x:c r="N105" s="66" t="str">
        <x:v>UKHO-labelled document on third-party host; edition and currency unverified.</x:v>
      </x:c>
      <x:c r="O105" s="66" t="str"/>
      <x:c r="P105" s="67" t="str"/>
      <x:c r="Q105" s="66" t="str">
        <x:v>B20</x:v>
      </x:c>
      <x:c r="R105" s="66" t="str">
        <x:v>Candidate recorded</x:v>
      </x:c>
      <x:c r="S105" s="66" t="str">
        <x:v>Not established</x:v>
      </x:c>
    </x:row>
    <x:row r="106" ht="60" customHeight="1">
      <x:c r="A106" s="66" t="str">
        <x:v>TSS-0100</x:v>
      </x:c>
      <x:c r="B106" s="66" t="str">
        <x:v>Red Sea and Arabian region</x:v>
      </x:c>
      <x:c r="C106" s="66" t="str">
        <x:v>Tunb-Farur</x:v>
      </x:c>
      <x:c r="D106" s="66" t="str">
        <x:v>Source entry; component check pending</x:v>
      </x:c>
      <x:c r="E106" s="66" t="str">
        <x:v>Provisional: official baseline reconciliation pending</x:v>
      </x:c>
      <x:c r="F106" s="66" t="str">
        <x:v>Not researched</x:v>
      </x:c>
      <x:c r="G106" s="66" t="str">
        <x:v>Not researched</x:v>
      </x:c>
      <x:c r="H106" s="66" t="str"/>
      <x:c r="I106" s="66" t="str"/>
      <x:c r="J106" s="66" t="str"/>
      <x:c r="K106" s="66" t="str">
        <x:v>SRC-001</x:v>
      </x:c>
      <x:c r="L106" s="67" t="str">
        <x:v>https://www.scribd.com/document/1014775753/1-1-IMO-Adopted-Traffic-Separation-Schemes-on-the-ADMIRALTY-Chart-Series</x:v>
      </x:c>
      <x:c r="M106" s="66" t="str">
        <x:v>Notice 17; scheme label: Tunb-Farur</x:v>
      </x:c>
      <x:c r="N106" s="66" t="str">
        <x:v>UKHO-labelled document on third-party host; edition and currency unverified.</x:v>
      </x:c>
      <x:c r="O106" s="66" t="str"/>
      <x:c r="P106" s="67" t="str"/>
      <x:c r="Q106" s="66" t="str">
        <x:v>B20</x:v>
      </x:c>
      <x:c r="R106" s="66" t="str">
        <x:v>Candidate recorded</x:v>
      </x:c>
      <x:c r="S106" s="66" t="str">
        <x:v>Not established</x:v>
      </x:c>
    </x:row>
    <x:row r="107" ht="60" customHeight="1">
      <x:c r="A107" s="66" t="str">
        <x:v>TSS-0101</x:v>
      </x:c>
      <x:c r="B107" s="66" t="str">
        <x:v>Red Sea and Arabian region</x:v>
      </x:c>
      <x:c r="C107" s="66" t="str">
        <x:v>Between Zaqqum and Umm Shaif</x:v>
      </x:c>
      <x:c r="D107" s="66" t="str">
        <x:v>Source entry; component check pending</x:v>
      </x:c>
      <x:c r="E107" s="66" t="str">
        <x:v>Provisional: official baseline reconciliation pending</x:v>
      </x:c>
      <x:c r="F107" s="66" t="str">
        <x:v>Not researched</x:v>
      </x:c>
      <x:c r="G107" s="66" t="str">
        <x:v>Not researched</x:v>
      </x:c>
      <x:c r="H107" s="66" t="str"/>
      <x:c r="I107" s="66" t="str"/>
      <x:c r="J107" s="66" t="str"/>
      <x:c r="K107" s="66" t="str">
        <x:v>SRC-001</x:v>
      </x:c>
      <x:c r="L107" s="67" t="str">
        <x:v>https://www.scribd.com/document/1014775753/1-1-IMO-Adopted-Traffic-Separation-Schemes-on-the-ADMIRALTY-Chart-Series</x:v>
      </x:c>
      <x:c r="M107" s="66" t="str">
        <x:v>Notice 17; scheme label: Between Zaqqum and Umm Shaif</x:v>
      </x:c>
      <x:c r="N107" s="66" t="str">
        <x:v>UKHO-labelled document on third-party host; edition and currency unverified.</x:v>
      </x:c>
      <x:c r="O107" s="66" t="str"/>
      <x:c r="P107" s="67" t="str"/>
      <x:c r="Q107" s="66" t="str">
        <x:v>B21</x:v>
      </x:c>
      <x:c r="R107" s="66" t="str">
        <x:v>Candidate recorded</x:v>
      </x:c>
      <x:c r="S107" s="66" t="str">
        <x:v>Not established</x:v>
      </x:c>
    </x:row>
    <x:row r="108" ht="60" customHeight="1">
      <x:c r="A108" s="66" t="str">
        <x:v>TSS-0102</x:v>
      </x:c>
      <x:c r="B108" s="66" t="str">
        <x:v>Red Sea and Arabian region</x:v>
      </x:c>
      <x:c r="C108" s="66" t="str">
        <x:v>In the Approaches to Ras Tanura and Ju'aymah</x:v>
      </x:c>
      <x:c r="D108" s="66" t="str">
        <x:v>Source entry; component check pending</x:v>
      </x:c>
      <x:c r="E108" s="66" t="str">
        <x:v>Provisional: official baseline reconciliation pending</x:v>
      </x:c>
      <x:c r="F108" s="66" t="str">
        <x:v>Not researched</x:v>
      </x:c>
      <x:c r="G108" s="66" t="str">
        <x:v>Not researched</x:v>
      </x:c>
      <x:c r="H108" s="66" t="str"/>
      <x:c r="I108" s="66" t="str"/>
      <x:c r="J108" s="66" t="str"/>
      <x:c r="K108" s="66" t="str">
        <x:v>SRC-001</x:v>
      </x:c>
      <x:c r="L108" s="67" t="str">
        <x:v>https://www.scribd.com/document/1014775753/1-1-IMO-Adopted-Traffic-Separation-Schemes-on-the-ADMIRALTY-Chart-Series</x:v>
      </x:c>
      <x:c r="M108" s="66" t="str">
        <x:v>Notice 17; scheme label: In the Approaches to Ras Tanura and Ju'aymah</x:v>
      </x:c>
      <x:c r="N108" s="66" t="str">
        <x:v>UKHO-labelled document on third-party host; edition and currency unverified.</x:v>
      </x:c>
      <x:c r="O108" s="66" t="str"/>
      <x:c r="P108" s="67" t="str"/>
      <x:c r="Q108" s="66" t="str">
        <x:v>B21</x:v>
      </x:c>
      <x:c r="R108" s="66" t="str">
        <x:v>Candidate recorded</x:v>
      </x:c>
      <x:c r="S108" s="66" t="str">
        <x:v>Not established</x:v>
      </x:c>
    </x:row>
    <x:row r="109" ht="60" customHeight="1">
      <x:c r="A109" s="66" t="str">
        <x:v>TSS-0103</x:v>
      </x:c>
      <x:c r="B109" s="66" t="str">
        <x:v>Red Sea and Arabian region</x:v>
      </x:c>
      <x:c r="C109" s="66" t="str">
        <x:v>Marjan/Zuluf</x:v>
      </x:c>
      <x:c r="D109" s="66" t="str">
        <x:v>Source entry; component check pending</x:v>
      </x:c>
      <x:c r="E109" s="66" t="str">
        <x:v>Provisional: official baseline reconciliation pending</x:v>
      </x:c>
      <x:c r="F109" s="66" t="str">
        <x:v>Not researched</x:v>
      </x:c>
      <x:c r="G109" s="66" t="str">
        <x:v>Not researched</x:v>
      </x:c>
      <x:c r="H109" s="66" t="str"/>
      <x:c r="I109" s="66" t="str"/>
      <x:c r="J109" s="66" t="str"/>
      <x:c r="K109" s="66" t="str">
        <x:v>SRC-001</x:v>
      </x:c>
      <x:c r="L109" s="67" t="str">
        <x:v>https://www.scribd.com/document/1014775753/1-1-IMO-Adopted-Traffic-Separation-Schemes-on-the-ADMIRALTY-Chart-Series</x:v>
      </x:c>
      <x:c r="M109" s="66" t="str">
        <x:v>Notice 17; scheme label: Marjan/Zuluf</x:v>
      </x:c>
      <x:c r="N109" s="66" t="str">
        <x:v>UKHO-labelled document on third-party host; edition and currency unverified.</x:v>
      </x:c>
      <x:c r="O109" s="66" t="str"/>
      <x:c r="P109" s="67" t="str"/>
      <x:c r="Q109" s="66" t="str">
        <x:v>B21</x:v>
      </x:c>
      <x:c r="R109" s="66" t="str">
        <x:v>Candidate recorded</x:v>
      </x:c>
      <x:c r="S109" s="66" t="str">
        <x:v>Not established</x:v>
      </x:c>
    </x:row>
    <x:row r="110" ht="60" customHeight="1">
      <x:c r="A110" s="66" t="str">
        <x:v>TSS-0104</x:v>
      </x:c>
      <x:c r="B110" s="66" t="str">
        <x:v>Red Sea and Arabian region</x:v>
      </x:c>
      <x:c r="C110" s="66" t="str">
        <x:v>Approaches to the Port of Ra's al Khafji</x:v>
      </x:c>
      <x:c r="D110" s="66" t="str">
        <x:v>Source entry; component check pending</x:v>
      </x:c>
      <x:c r="E110" s="66" t="str">
        <x:v>Provisional: official baseline reconciliation pending</x:v>
      </x:c>
      <x:c r="F110" s="66" t="str">
        <x:v>Not researched</x:v>
      </x:c>
      <x:c r="G110" s="66" t="str">
        <x:v>Not researched</x:v>
      </x:c>
      <x:c r="H110" s="66" t="str"/>
      <x:c r="I110" s="66" t="str"/>
      <x:c r="J110" s="66" t="str"/>
      <x:c r="K110" s="66" t="str">
        <x:v>SRC-001</x:v>
      </x:c>
      <x:c r="L110" s="67" t="str">
        <x:v>https://www.scribd.com/document/1014775753/1-1-IMO-Adopted-Traffic-Separation-Schemes-on-the-ADMIRALTY-Chart-Series</x:v>
      </x:c>
      <x:c r="M110" s="66" t="str">
        <x:v>Notice 17; scheme label: Approaches to the Port of Ra's al Khafji</x:v>
      </x:c>
      <x:c r="N110" s="66" t="str">
        <x:v>UKHO-labelled document on third-party host; edition and currency unverified.</x:v>
      </x:c>
      <x:c r="O110" s="66" t="str"/>
      <x:c r="P110" s="67" t="str"/>
      <x:c r="Q110" s="66" t="str">
        <x:v>B21</x:v>
      </x:c>
      <x:c r="R110" s="66" t="str">
        <x:v>Candidate recorded</x:v>
      </x:c>
      <x:c r="S110" s="66" t="str">
        <x:v>Not established</x:v>
      </x:c>
    </x:row>
    <x:row r="111" ht="60" customHeight="1">
      <x:c r="A111" s="66" t="str">
        <x:v>TSS-0105</x:v>
      </x:c>
      <x:c r="B111" s="66" t="str">
        <x:v>Red Sea and Arabian region</x:v>
      </x:c>
      <x:c r="C111" s="66" t="str">
        <x:v>Off Mina'Al Ahmadi</x:v>
      </x:c>
      <x:c r="D111" s="66" t="str">
        <x:v>Source entry; component check pending</x:v>
      </x:c>
      <x:c r="E111" s="66" t="str">
        <x:v>Provisional: official baseline reconciliation pending</x:v>
      </x:c>
      <x:c r="F111" s="66" t="str">
        <x:v>Not researched</x:v>
      </x:c>
      <x:c r="G111" s="66" t="str">
        <x:v>Not researched</x:v>
      </x:c>
      <x:c r="H111" s="66" t="str"/>
      <x:c r="I111" s="66" t="str"/>
      <x:c r="J111" s="66" t="str"/>
      <x:c r="K111" s="66" t="str">
        <x:v>SRC-001</x:v>
      </x:c>
      <x:c r="L111" s="67" t="str">
        <x:v>https://www.scribd.com/document/1014775753/1-1-IMO-Adopted-Traffic-Separation-Schemes-on-the-ADMIRALTY-Chart-Series</x:v>
      </x:c>
      <x:c r="M111" s="66" t="str">
        <x:v>Notice 17; scheme label: Off Mina'Al Ahmadi</x:v>
      </x:c>
      <x:c r="N111" s="66" t="str">
        <x:v>UKHO-labelled document on third-party host; edition and currency unverified.</x:v>
      </x:c>
      <x:c r="O111" s="66" t="str"/>
      <x:c r="P111" s="67" t="str"/>
      <x:c r="Q111" s="66" t="str">
        <x:v>B21</x:v>
      </x:c>
      <x:c r="R111" s="66" t="str">
        <x:v>Candidate recorded</x:v>
      </x:c>
      <x:c r="S111" s="66" t="str">
        <x:v>Not established</x:v>
      </x:c>
    </x:row>
    <x:row r="112" ht="60" customHeight="1">
      <x:c r="A112" s="66" t="str">
        <x:v>TSS-0106</x:v>
      </x:c>
      <x:c r="B112" s="66" t="str">
        <x:v>Indian Ocean and South Asia</x:v>
      </x:c>
      <x:c r="C112" s="66" t="str">
        <x:v>Off Dondra Head</x:v>
      </x:c>
      <x:c r="D112" s="66" t="str">
        <x:v>Source entry; component check pending</x:v>
      </x:c>
      <x:c r="E112" s="66" t="str">
        <x:v>Provisional: official baseline reconciliation pending</x:v>
      </x:c>
      <x:c r="F112" s="66" t="str">
        <x:v>Not researched</x:v>
      </x:c>
      <x:c r="G112" s="66" t="str">
        <x:v>Not researched</x:v>
      </x:c>
      <x:c r="H112" s="66" t="str"/>
      <x:c r="I112" s="66" t="str"/>
      <x:c r="J112" s="66" t="str"/>
      <x:c r="K112" s="66" t="str">
        <x:v>SRC-001</x:v>
      </x:c>
      <x:c r="L112" s="67" t="str">
        <x:v>https://www.scribd.com/document/1014775753/1-1-IMO-Adopted-Traffic-Separation-Schemes-on-the-ADMIRALTY-Chart-Series</x:v>
      </x:c>
      <x:c r="M112" s="66" t="str">
        <x:v>Notice 17; scheme label: Off Dondra Head</x:v>
      </x:c>
      <x:c r="N112" s="66" t="str">
        <x:v>UKHO-labelled document on third-party host; edition and currency unverified.</x:v>
      </x:c>
      <x:c r="O112" s="66" t="str"/>
      <x:c r="P112" s="67" t="str"/>
      <x:c r="Q112" s="66" t="str">
        <x:v>B22</x:v>
      </x:c>
      <x:c r="R112" s="66" t="str">
        <x:v>Candidate recorded</x:v>
      </x:c>
      <x:c r="S112" s="66" t="str">
        <x:v>Not established</x:v>
      </x:c>
    </x:row>
    <x:row r="113" ht="79.5" customHeight="1">
      <x:c r="A113" s="66" t="str">
        <x:v>TSS-0107</x:v>
      </x:c>
      <x:c r="B113" s="66" t="str">
        <x:v>Malacca, Singapore and Indonesia</x:v>
      </x:c>
      <x:c r="C113" s="66" t="str">
        <x:v>At One Fathom Bank</x:v>
      </x:c>
      <x:c r="D113" s="66" t="str">
        <x:v>Source entry; component check pending</x:v>
      </x:c>
      <x:c r="E113" s="66" t="str">
        <x:v>Provisional: official baseline reconciliation pending</x:v>
      </x:c>
      <x:c r="F113" s="66" t="str">
        <x:v>System-level evidence; segment mapping pending</x:v>
      </x:c>
      <x:c r="G113" s="66" t="str">
        <x:v>System-level evidence; segment mapping pending</x:v>
      </x:c>
      <x:c r="H113" s="66" t="str"/>
      <x:c r="I113" s="66" t="str">
        <x:v>SRS-004</x:v>
      </x:c>
      <x:c r="J113" s="66" t="str">
        <x:v>Source segment within the Malacca–Singapore routeing system. Do not equate segments with VTS areas.</x:v>
      </x:c>
      <x:c r="K113" s="66" t="str">
        <x:v>SRC-001</x:v>
      </x:c>
      <x:c r="L113" s="67" t="str">
        <x:v>https://www.scribd.com/document/1014775753/1-1-IMO-Adopted-Traffic-Separation-Schemes-on-the-ADMIRALTY-Chart-Series</x:v>
      </x:c>
      <x:c r="M113" s="66" t="str">
        <x:v>Notice 17; scheme label: At One Fathom Bank</x:v>
      </x:c>
      <x:c r="N113" s="66" t="str">
        <x:v>UKHO-labelled document on third-party host; edition and currency unverified.</x:v>
      </x:c>
      <x:c r="O113" s="66" t="str">
        <x:v>SRC-006; SRC-007</x:v>
      </x:c>
      <x:c r="P113" s="67" t="str">
        <x:v>https://www.mpa.gov.sg/port-marine-ops/operations/vessel-traffic-information-system
https://www.mpa.gov.sg/port-marine-ops/operations/vessel-traffic-information-system/operational-areas</x:v>
      </x:c>
      <x:c r="Q113" s="66" t="str">
        <x:v>B22</x:v>
      </x:c>
      <x:c r="R113" s="66" t="str">
        <x:v>System-level association only</x:v>
      </x:c>
      <x:c r="S113" s="66" t="str">
        <x:v>Identification screening only</x:v>
      </x:c>
    </x:row>
    <x:row r="114" ht="79.5" customHeight="1">
      <x:c r="A114" s="66" t="str">
        <x:v>TSS-0108</x:v>
      </x:c>
      <x:c r="B114" s="66" t="str">
        <x:v>Malacca, Singapore and Indonesia</x:v>
      </x:c>
      <x:c r="C114" s="66" t="str">
        <x:v>Port Klang to Port Dickson</x:v>
      </x:c>
      <x:c r="D114" s="66" t="str">
        <x:v>Source entry; component check pending</x:v>
      </x:c>
      <x:c r="E114" s="66" t="str">
        <x:v>Provisional: official baseline reconciliation pending</x:v>
      </x:c>
      <x:c r="F114" s="66" t="str">
        <x:v>System-level evidence; segment mapping pending</x:v>
      </x:c>
      <x:c r="G114" s="66" t="str">
        <x:v>System-level evidence; segment mapping pending</x:v>
      </x:c>
      <x:c r="H114" s="66" t="str"/>
      <x:c r="I114" s="66" t="str">
        <x:v>SRS-004</x:v>
      </x:c>
      <x:c r="J114" s="66" t="str">
        <x:v>Source segment within the Malacca–Singapore routeing system. Do not equate segments with VTS areas.</x:v>
      </x:c>
      <x:c r="K114" s="66" t="str">
        <x:v>SRC-001</x:v>
      </x:c>
      <x:c r="L114" s="67" t="str">
        <x:v>https://www.scribd.com/document/1014775753/1-1-IMO-Adopted-Traffic-Separation-Schemes-on-the-ADMIRALTY-Chart-Series</x:v>
      </x:c>
      <x:c r="M114" s="66" t="str">
        <x:v>Notice 17; scheme label: Port Klang to Port Dickson</x:v>
      </x:c>
      <x:c r="N114" s="66" t="str">
        <x:v>UKHO-labelled document on third-party host; edition and currency unverified.</x:v>
      </x:c>
      <x:c r="O114" s="66" t="str">
        <x:v>SRC-006; SRC-007</x:v>
      </x:c>
      <x:c r="P114" s="67" t="str">
        <x:v>https://www.mpa.gov.sg/port-marine-ops/operations/vessel-traffic-information-system
https://www.mpa.gov.sg/port-marine-ops/operations/vessel-traffic-information-system/operational-areas</x:v>
      </x:c>
      <x:c r="Q114" s="66" t="str">
        <x:v>B22</x:v>
      </x:c>
      <x:c r="R114" s="66" t="str">
        <x:v>System-level association only</x:v>
      </x:c>
      <x:c r="S114" s="66" t="str">
        <x:v>Identification screening only</x:v>
      </x:c>
    </x:row>
    <x:row r="115" ht="79.5" customHeight="1">
      <x:c r="A115" s="66" t="str">
        <x:v>TSS-0109</x:v>
      </x:c>
      <x:c r="B115" s="66" t="str">
        <x:v>Malacca, Singapore and Indonesia</x:v>
      </x:c>
      <x:c r="C115" s="66" t="str">
        <x:v>Port Dickson to Tanjung Keling</x:v>
      </x:c>
      <x:c r="D115" s="66" t="str">
        <x:v>Source entry; component check pending</x:v>
      </x:c>
      <x:c r="E115" s="66" t="str">
        <x:v>Provisional: official baseline reconciliation pending</x:v>
      </x:c>
      <x:c r="F115" s="66" t="str">
        <x:v>System-level evidence; segment mapping pending</x:v>
      </x:c>
      <x:c r="G115" s="66" t="str">
        <x:v>System-level evidence; segment mapping pending</x:v>
      </x:c>
      <x:c r="H115" s="66" t="str"/>
      <x:c r="I115" s="66" t="str">
        <x:v>SRS-004</x:v>
      </x:c>
      <x:c r="J115" s="66" t="str">
        <x:v>Source segment within the Malacca–Singapore routeing system. Do not equate segments with VTS areas.</x:v>
      </x:c>
      <x:c r="K115" s="66" t="str">
        <x:v>SRC-001</x:v>
      </x:c>
      <x:c r="L115" s="67" t="str">
        <x:v>https://www.scribd.com/document/1014775753/1-1-IMO-Adopted-Traffic-Separation-Schemes-on-the-ADMIRALTY-Chart-Series</x:v>
      </x:c>
      <x:c r="M115" s="66" t="str">
        <x:v>Notice 17; scheme label: Port Dickson to Tanjung Keling</x:v>
      </x:c>
      <x:c r="N115" s="66" t="str">
        <x:v>UKHO-labelled document on third-party host; edition and currency unverified.</x:v>
      </x:c>
      <x:c r="O115" s="66" t="str">
        <x:v>SRC-006; SRC-007</x:v>
      </x:c>
      <x:c r="P115" s="67" t="str">
        <x:v>https://www.mpa.gov.sg/port-marine-ops/operations/vessel-traffic-information-system
https://www.mpa.gov.sg/port-marine-ops/operations/vessel-traffic-information-system/operational-areas</x:v>
      </x:c>
      <x:c r="Q115" s="66" t="str">
        <x:v>B22</x:v>
      </x:c>
      <x:c r="R115" s="66" t="str">
        <x:v>System-level association only</x:v>
      </x:c>
      <x:c r="S115" s="66" t="str">
        <x:v>Identification screening only</x:v>
      </x:c>
    </x:row>
    <x:row r="116" ht="79.5" customHeight="1">
      <x:c r="A116" s="66" t="str">
        <x:v>TSS-0110</x:v>
      </x:c>
      <x:c r="B116" s="66" t="str">
        <x:v>Malacca, Singapore and Indonesia</x:v>
      </x:c>
      <x:c r="C116" s="66" t="str">
        <x:v>Malacca to Iyu Kecil</x:v>
      </x:c>
      <x:c r="D116" s="66" t="str">
        <x:v>Source entry; component check pending</x:v>
      </x:c>
      <x:c r="E116" s="66" t="str">
        <x:v>Provisional: official baseline reconciliation pending</x:v>
      </x:c>
      <x:c r="F116" s="66" t="str">
        <x:v>System-level evidence; segment mapping pending</x:v>
      </x:c>
      <x:c r="G116" s="66" t="str">
        <x:v>System-level evidence; segment mapping pending</x:v>
      </x:c>
      <x:c r="H116" s="66" t="str"/>
      <x:c r="I116" s="66" t="str">
        <x:v>SRS-004</x:v>
      </x:c>
      <x:c r="J116" s="66" t="str">
        <x:v>Source segment within the Malacca–Singapore routeing system. Do not equate segments with VTS areas.</x:v>
      </x:c>
      <x:c r="K116" s="66" t="str">
        <x:v>SRC-001</x:v>
      </x:c>
      <x:c r="L116" s="67" t="str">
        <x:v>https://www.scribd.com/document/1014775753/1-1-IMO-Adopted-Traffic-Separation-Schemes-on-the-ADMIRALTY-Chart-Series</x:v>
      </x:c>
      <x:c r="M116" s="66" t="str">
        <x:v>Notice 17; scheme label: Malacca to Iyu Kecil</x:v>
      </x:c>
      <x:c r="N116" s="66" t="str">
        <x:v>UKHO-labelled document on third-party host; edition and currency unverified.</x:v>
      </x:c>
      <x:c r="O116" s="66" t="str">
        <x:v>SRC-006; SRC-007</x:v>
      </x:c>
      <x:c r="P116" s="67" t="str">
        <x:v>https://www.mpa.gov.sg/port-marine-ops/operations/vessel-traffic-information-system
https://www.mpa.gov.sg/port-marine-ops/operations/vessel-traffic-information-system/operational-areas</x:v>
      </x:c>
      <x:c r="Q116" s="66" t="str">
        <x:v>B22</x:v>
      </x:c>
      <x:c r="R116" s="66" t="str">
        <x:v>System-level association only</x:v>
      </x:c>
      <x:c r="S116" s="66" t="str">
        <x:v>Identification screening only</x:v>
      </x:c>
    </x:row>
    <x:row r="117" ht="79.5" customHeight="1">
      <x:c r="A117" s="66" t="str">
        <x:v>TSS-0111</x:v>
      </x:c>
      <x:c r="B117" s="66" t="str">
        <x:v>Malacca, Singapore and Indonesia</x:v>
      </x:c>
      <x:c r="C117" s="66" t="str">
        <x:v>In the Singapore Strait (Main Strait)</x:v>
      </x:c>
      <x:c r="D117" s="66" t="str">
        <x:v>Source entry; component check pending</x:v>
      </x:c>
      <x:c r="E117" s="66" t="str">
        <x:v>Provisional: official baseline reconciliation pending</x:v>
      </x:c>
      <x:c r="F117" s="66" t="str">
        <x:v>System-level evidence; segment mapping pending</x:v>
      </x:c>
      <x:c r="G117" s="66" t="str">
        <x:v>System-level evidence; segment mapping pending</x:v>
      </x:c>
      <x:c r="H117" s="66" t="str"/>
      <x:c r="I117" s="66" t="str">
        <x:v>SRS-004</x:v>
      </x:c>
      <x:c r="J117" s="66" t="str">
        <x:v>Source segment within the Malacca–Singapore routeing system. Do not equate segments with VTS areas.</x:v>
      </x:c>
      <x:c r="K117" s="66" t="str">
        <x:v>SRC-001</x:v>
      </x:c>
      <x:c r="L117" s="67" t="str">
        <x:v>https://www.scribd.com/document/1014775753/1-1-IMO-Adopted-Traffic-Separation-Schemes-on-the-ADMIRALTY-Chart-Series</x:v>
      </x:c>
      <x:c r="M117" s="66" t="str">
        <x:v>Notice 17; scheme label: In the Singapore Strait (Main Strait)</x:v>
      </x:c>
      <x:c r="N117" s="66" t="str">
        <x:v>UKHO-labelled document on third-party host; edition and currency unverified.</x:v>
      </x:c>
      <x:c r="O117" s="66" t="str">
        <x:v>SRC-006; SRC-007</x:v>
      </x:c>
      <x:c r="P117" s="67" t="str">
        <x:v>https://www.mpa.gov.sg/port-marine-ops/operations/vessel-traffic-information-system
https://www.mpa.gov.sg/port-marine-ops/operations/vessel-traffic-information-system/operational-areas</x:v>
      </x:c>
      <x:c r="Q117" s="66" t="str">
        <x:v>B23</x:v>
      </x:c>
      <x:c r="R117" s="66" t="str">
        <x:v>System-level association only</x:v>
      </x:c>
      <x:c r="S117" s="66" t="str">
        <x:v>Identification screening only</x:v>
      </x:c>
    </x:row>
    <x:row r="118" ht="79.5" customHeight="1">
      <x:c r="A118" s="66" t="str">
        <x:v>TSS-0112</x:v>
      </x:c>
      <x:c r="B118" s="66" t="str">
        <x:v>Malacca, Singapore and Indonesia</x:v>
      </x:c>
      <x:c r="C118" s="66" t="str">
        <x:v>Singapore Strait (Off St. John's Island)</x:v>
      </x:c>
      <x:c r="D118" s="66" t="str">
        <x:v>Source entry; component check pending</x:v>
      </x:c>
      <x:c r="E118" s="66" t="str">
        <x:v>Provisional: official baseline reconciliation pending</x:v>
      </x:c>
      <x:c r="F118" s="66" t="str">
        <x:v>System-level evidence; segment mapping pending</x:v>
      </x:c>
      <x:c r="G118" s="66" t="str">
        <x:v>System-level evidence; segment mapping pending</x:v>
      </x:c>
      <x:c r="H118" s="66" t="str"/>
      <x:c r="I118" s="66" t="str">
        <x:v>SRS-004</x:v>
      </x:c>
      <x:c r="J118" s="66" t="str">
        <x:v>Source segment within the Malacca–Singapore routeing system. Do not equate segments with VTS areas.</x:v>
      </x:c>
      <x:c r="K118" s="66" t="str">
        <x:v>SRC-001</x:v>
      </x:c>
      <x:c r="L118" s="67" t="str">
        <x:v>https://www.scribd.com/document/1014775753/1-1-IMO-Adopted-Traffic-Separation-Schemes-on-the-ADMIRALTY-Chart-Series</x:v>
      </x:c>
      <x:c r="M118" s="66" t="str">
        <x:v>Notice 17; scheme label: Singapore Strait (Off St. John's Island)</x:v>
      </x:c>
      <x:c r="N118" s="66" t="str">
        <x:v>UKHO-labelled document on third-party host; edition and currency unverified.</x:v>
      </x:c>
      <x:c r="O118" s="66" t="str">
        <x:v>SRC-006; SRC-007</x:v>
      </x:c>
      <x:c r="P118" s="67" t="str">
        <x:v>https://www.mpa.gov.sg/port-marine-ops/operations/vessel-traffic-information-system
https://www.mpa.gov.sg/port-marine-ops/operations/vessel-traffic-information-system/operational-areas</x:v>
      </x:c>
      <x:c r="Q118" s="66" t="str">
        <x:v>B23</x:v>
      </x:c>
      <x:c r="R118" s="66" t="str">
        <x:v>System-level association only</x:v>
      </x:c>
      <x:c r="S118" s="66" t="str">
        <x:v>Identification screening only</x:v>
      </x:c>
    </x:row>
    <x:row r="119" ht="79.5" customHeight="1">
      <x:c r="A119" s="66" t="str">
        <x:v>TSS-0113</x:v>
      </x:c>
      <x:c r="B119" s="66" t="str">
        <x:v>Malacca, Singapore and Indonesia</x:v>
      </x:c>
      <x:c r="C119" s="66" t="str">
        <x:v>Singapore Strait (Off Changi/Pulau Batam)</x:v>
      </x:c>
      <x:c r="D119" s="66" t="str">
        <x:v>Source entry; component check pending</x:v>
      </x:c>
      <x:c r="E119" s="66" t="str">
        <x:v>Provisional: official baseline reconciliation pending</x:v>
      </x:c>
      <x:c r="F119" s="66" t="str">
        <x:v>System-level evidence; segment mapping pending</x:v>
      </x:c>
      <x:c r="G119" s="66" t="str">
        <x:v>System-level evidence; segment mapping pending</x:v>
      </x:c>
      <x:c r="H119" s="66" t="str"/>
      <x:c r="I119" s="66" t="str">
        <x:v>SRS-004</x:v>
      </x:c>
      <x:c r="J119" s="66" t="str">
        <x:v>Source segment within the Malacca–Singapore routeing system. Do not equate segments with VTS areas.</x:v>
      </x:c>
      <x:c r="K119" s="66" t="str">
        <x:v>SRC-001</x:v>
      </x:c>
      <x:c r="L119" s="67" t="str">
        <x:v>https://www.scribd.com/document/1014775753/1-1-IMO-Adopted-Traffic-Separation-Schemes-on-the-ADMIRALTY-Chart-Series</x:v>
      </x:c>
      <x:c r="M119" s="66" t="str">
        <x:v>Notice 17; scheme label: Singapore Strait (Off Changi/Pulau Batam)</x:v>
      </x:c>
      <x:c r="N119" s="66" t="str">
        <x:v>UKHO-labelled document on third-party host; edition and currency unverified.</x:v>
      </x:c>
      <x:c r="O119" s="66" t="str">
        <x:v>SRC-006; SRC-007</x:v>
      </x:c>
      <x:c r="P119" s="67" t="str">
        <x:v>https://www.mpa.gov.sg/port-marine-ops/operations/vessel-traffic-information-system
https://www.mpa.gov.sg/port-marine-ops/operations/vessel-traffic-information-system/operational-areas</x:v>
      </x:c>
      <x:c r="Q119" s="66" t="str">
        <x:v>B23</x:v>
      </x:c>
      <x:c r="R119" s="66" t="str">
        <x:v>System-level association only</x:v>
      </x:c>
      <x:c r="S119" s="66" t="str">
        <x:v>Identification screening only</x:v>
      </x:c>
    </x:row>
    <x:row r="120" ht="79.5" customHeight="1">
      <x:c r="A120" s="66" t="str">
        <x:v>TSS-0114</x:v>
      </x:c>
      <x:c r="B120" s="66" t="str">
        <x:v>Malacca, Singapore and Indonesia</x:v>
      </x:c>
      <x:c r="C120" s="66" t="str">
        <x:v>At Horsburgh Lighthouse Area</x:v>
      </x:c>
      <x:c r="D120" s="66" t="str">
        <x:v>Source entry; component check pending</x:v>
      </x:c>
      <x:c r="E120" s="66" t="str">
        <x:v>Provisional: official baseline reconciliation pending</x:v>
      </x:c>
      <x:c r="F120" s="66" t="str">
        <x:v>System-level evidence; segment mapping pending</x:v>
      </x:c>
      <x:c r="G120" s="66" t="str">
        <x:v>System-level evidence; segment mapping pending</x:v>
      </x:c>
      <x:c r="H120" s="66" t="str"/>
      <x:c r="I120" s="66" t="str">
        <x:v>SRS-004</x:v>
      </x:c>
      <x:c r="J120" s="66" t="str">
        <x:v>Source segment within the Malacca–Singapore routeing system. Do not equate segments with VTS areas.</x:v>
      </x:c>
      <x:c r="K120" s="66" t="str">
        <x:v>SRC-001</x:v>
      </x:c>
      <x:c r="L120" s="67" t="str">
        <x:v>https://www.scribd.com/document/1014775753/1-1-IMO-Adopted-Traffic-Separation-Schemes-on-the-ADMIRALTY-Chart-Series</x:v>
      </x:c>
      <x:c r="M120" s="66" t="str">
        <x:v>Notice 17; scheme label: At Horsburgh Lighthouse Area</x:v>
      </x:c>
      <x:c r="N120" s="66" t="str">
        <x:v>UKHO-labelled document on third-party host; edition and currency unverified.</x:v>
      </x:c>
      <x:c r="O120" s="66" t="str">
        <x:v>SRC-006; SRC-007</x:v>
      </x:c>
      <x:c r="P120" s="67" t="str">
        <x:v>https://www.mpa.gov.sg/port-marine-ops/operations/vessel-traffic-information-system
https://www.mpa.gov.sg/port-marine-ops/operations/vessel-traffic-information-system/operational-areas</x:v>
      </x:c>
      <x:c r="Q120" s="66" t="str">
        <x:v>B23</x:v>
      </x:c>
      <x:c r="R120" s="66" t="str">
        <x:v>System-level association only</x:v>
      </x:c>
      <x:c r="S120" s="66" t="str">
        <x:v>Identification screening only</x:v>
      </x:c>
    </x:row>
    <x:row r="121" ht="60" customHeight="1">
      <x:c r="A121" s="66" t="str">
        <x:v>TSS-0115</x:v>
      </x:c>
      <x:c r="B121" s="66" t="str">
        <x:v>Malacca, Singapore and Indonesia</x:v>
      </x:c>
      <x:c r="C121" s="66" t="str">
        <x:v>In the Sunda Strait</x:v>
      </x:c>
      <x:c r="D121" s="66" t="str">
        <x:v>Source entry; component check pending</x:v>
      </x:c>
      <x:c r="E121" s="66" t="str">
        <x:v>Provisional: official baseline reconciliation pending</x:v>
      </x:c>
      <x:c r="F121" s="66" t="str">
        <x:v>Not researched</x:v>
      </x:c>
      <x:c r="G121" s="66" t="str">
        <x:v>Not researched</x:v>
      </x:c>
      <x:c r="H121" s="66" t="str"/>
      <x:c r="I121" s="66" t="str"/>
      <x:c r="J121" s="66" t="str"/>
      <x:c r="K121" s="66" t="str">
        <x:v>SRC-001</x:v>
      </x:c>
      <x:c r="L121" s="67" t="str">
        <x:v>https://www.scribd.com/document/1014775753/1-1-IMO-Adopted-Traffic-Separation-Schemes-on-the-ADMIRALTY-Chart-Series</x:v>
      </x:c>
      <x:c r="M121" s="66" t="str">
        <x:v>Notice 17; scheme label: In the Sunda Strait</x:v>
      </x:c>
      <x:c r="N121" s="66" t="str">
        <x:v>UKHO-labelled document on third-party host; edition and currency unverified.</x:v>
      </x:c>
      <x:c r="O121" s="66" t="str"/>
      <x:c r="P121" s="67" t="str"/>
      <x:c r="Q121" s="66" t="str">
        <x:v>B23</x:v>
      </x:c>
      <x:c r="R121" s="66" t="str">
        <x:v>Candidate recorded</x:v>
      </x:c>
      <x:c r="S121" s="66" t="str">
        <x:v>Not established</x:v>
      </x:c>
    </x:row>
    <x:row r="122" ht="60" customHeight="1">
      <x:c r="A122" s="66" t="str">
        <x:v>TSS-0116</x:v>
      </x:c>
      <x:c r="B122" s="66" t="str">
        <x:v>Malacca, Singapore and Indonesia</x:v>
      </x:c>
      <x:c r="C122" s="66" t="str">
        <x:v>In the Lombok Strait</x:v>
      </x:c>
      <x:c r="D122" s="66" t="str">
        <x:v>Source entry; component check pending</x:v>
      </x:c>
      <x:c r="E122" s="66" t="str">
        <x:v>Provisional: official baseline reconciliation pending</x:v>
      </x:c>
      <x:c r="F122" s="66" t="str">
        <x:v>Not researched</x:v>
      </x:c>
      <x:c r="G122" s="66" t="str">
        <x:v>Not researched</x:v>
      </x:c>
      <x:c r="H122" s="66" t="str"/>
      <x:c r="I122" s="66" t="str"/>
      <x:c r="J122" s="66" t="str"/>
      <x:c r="K122" s="66" t="str">
        <x:v>SRC-001</x:v>
      </x:c>
      <x:c r="L122" s="67" t="str">
        <x:v>https://www.scribd.com/document/1014775753/1-1-IMO-Adopted-Traffic-Separation-Schemes-on-the-ADMIRALTY-Chart-Series</x:v>
      </x:c>
      <x:c r="M122" s="66" t="str">
        <x:v>Notice 17; scheme label: In the Lombok Strait</x:v>
      </x:c>
      <x:c r="N122" s="66" t="str">
        <x:v>UKHO-labelled document on third-party host; edition and currency unverified.</x:v>
      </x:c>
      <x:c r="O122" s="66" t="str"/>
      <x:c r="P122" s="67" t="str"/>
      <x:c r="Q122" s="66" t="str">
        <x:v>B24</x:v>
      </x:c>
      <x:c r="R122" s="66" t="str">
        <x:v>Candidate recorded</x:v>
      </x:c>
      <x:c r="S122" s="66" t="str">
        <x:v>Not established</x:v>
      </x:c>
    </x:row>
    <x:row r="123" ht="60" customHeight="1">
      <x:c r="A123" s="66" t="str">
        <x:v>TSS-0117</x:v>
      </x:c>
      <x:c r="B123" s="66" t="str">
        <x:v>China Sea and China</x:v>
      </x:c>
      <x:c r="C123" s="66" t="str">
        <x:v>In the East Lamma Channel</x:v>
      </x:c>
      <x:c r="D123" s="66" t="str">
        <x:v>Source entry; component check pending</x:v>
      </x:c>
      <x:c r="E123" s="66" t="str">
        <x:v>Provisional: official baseline reconciliation pending</x:v>
      </x:c>
      <x:c r="F123" s="66" t="str">
        <x:v>Not researched</x:v>
      </x:c>
      <x:c r="G123" s="66" t="str">
        <x:v>Not researched</x:v>
      </x:c>
      <x:c r="H123" s="66" t="str"/>
      <x:c r="I123" s="66" t="str"/>
      <x:c r="J123" s="66" t="str"/>
      <x:c r="K123" s="66" t="str">
        <x:v>SRC-001</x:v>
      </x:c>
      <x:c r="L123" s="67" t="str">
        <x:v>https://www.scribd.com/document/1014775753/1-1-IMO-Adopted-Traffic-Separation-Schemes-on-the-ADMIRALTY-Chart-Series</x:v>
      </x:c>
      <x:c r="M123" s="66" t="str">
        <x:v>Notice 17; scheme label: In the East Lamma Channel</x:v>
      </x:c>
      <x:c r="N123" s="66" t="str">
        <x:v>UKHO-labelled document on third-party host; edition and currency unverified.</x:v>
      </x:c>
      <x:c r="O123" s="66" t="str"/>
      <x:c r="P123" s="67" t="str"/>
      <x:c r="Q123" s="66" t="str">
        <x:v>B24</x:v>
      </x:c>
      <x:c r="R123" s="66" t="str">
        <x:v>Candidate recorded</x:v>
      </x:c>
      <x:c r="S123" s="66" t="str">
        <x:v>Not established</x:v>
      </x:c>
    </x:row>
    <x:row r="124" ht="60" customHeight="1">
      <x:c r="A124" s="66" t="str">
        <x:v>TSS-0118</x:v>
      </x:c>
      <x:c r="B124" s="66" t="str">
        <x:v>China Sea and China</x:v>
      </x:c>
      <x:c r="C124" s="66" t="str">
        <x:v>In the Tathong Channel</x:v>
      </x:c>
      <x:c r="D124" s="66" t="str">
        <x:v>Source entry; component check pending</x:v>
      </x:c>
      <x:c r="E124" s="66" t="str">
        <x:v>Provisional: official baseline reconciliation pending</x:v>
      </x:c>
      <x:c r="F124" s="66" t="str">
        <x:v>Not researched</x:v>
      </x:c>
      <x:c r="G124" s="66" t="str">
        <x:v>Not researched</x:v>
      </x:c>
      <x:c r="H124" s="66" t="str"/>
      <x:c r="I124" s="66" t="str"/>
      <x:c r="J124" s="66" t="str"/>
      <x:c r="K124" s="66" t="str">
        <x:v>SRC-001</x:v>
      </x:c>
      <x:c r="L124" s="67" t="str">
        <x:v>https://www.scribd.com/document/1014775753/1-1-IMO-Adopted-Traffic-Separation-Schemes-on-the-ADMIRALTY-Chart-Series</x:v>
      </x:c>
      <x:c r="M124" s="66" t="str">
        <x:v>Notice 17; scheme label: In the Tathong Channel</x:v>
      </x:c>
      <x:c r="N124" s="66" t="str">
        <x:v>UKHO-labelled document on third-party host; edition and currency unverified.</x:v>
      </x:c>
      <x:c r="O124" s="66" t="str"/>
      <x:c r="P124" s="67" t="str"/>
      <x:c r="Q124" s="66" t="str">
        <x:v>B24</x:v>
      </x:c>
      <x:c r="R124" s="66" t="str">
        <x:v>Candidate recorded</x:v>
      </x:c>
      <x:c r="S124" s="66" t="str">
        <x:v>Not established</x:v>
      </x:c>
    </x:row>
    <x:row r="125" ht="60" customHeight="1">
      <x:c r="A125" s="66" t="str">
        <x:v>TSS-0119</x:v>
      </x:c>
      <x:c r="B125" s="66" t="str">
        <x:v>China Sea and China</x:v>
      </x:c>
      <x:c r="C125" s="66" t="str">
        <x:v>In the Dangan Channel</x:v>
      </x:c>
      <x:c r="D125" s="66" t="str">
        <x:v>Source entry; component check pending</x:v>
      </x:c>
      <x:c r="E125" s="66" t="str">
        <x:v>Provisional: official baseline reconciliation pending</x:v>
      </x:c>
      <x:c r="F125" s="66" t="str">
        <x:v>Not researched</x:v>
      </x:c>
      <x:c r="G125" s="66" t="str">
        <x:v>Not researched</x:v>
      </x:c>
      <x:c r="H125" s="66" t="str"/>
      <x:c r="I125" s="66" t="str"/>
      <x:c r="J125" s="66" t="str"/>
      <x:c r="K125" s="66" t="str">
        <x:v>SRC-001</x:v>
      </x:c>
      <x:c r="L125" s="67" t="str">
        <x:v>https://www.scribd.com/document/1014775753/1-1-IMO-Adopted-Traffic-Separation-Schemes-on-the-ADMIRALTY-Chart-Series</x:v>
      </x:c>
      <x:c r="M125" s="66" t="str">
        <x:v>Notice 17; scheme label: In the Dangan Channel</x:v>
      </x:c>
      <x:c r="N125" s="66" t="str">
        <x:v>UKHO-labelled document on third-party host; edition and currency unverified.</x:v>
      </x:c>
      <x:c r="O125" s="66" t="str"/>
      <x:c r="P125" s="67" t="str"/>
      <x:c r="Q125" s="66" t="str">
        <x:v>B24</x:v>
      </x:c>
      <x:c r="R125" s="66" t="str">
        <x:v>Candidate recorded</x:v>
      </x:c>
      <x:c r="S125" s="66" t="str">
        <x:v>Not established</x:v>
      </x:c>
    </x:row>
    <x:row r="126" ht="60" customHeight="1">
      <x:c r="A126" s="66" t="str">
        <x:v>TSS-0120</x:v>
      </x:c>
      <x:c r="B126" s="66" t="str">
        <x:v>China Sea and China</x:v>
      </x:c>
      <x:c r="C126" s="66" t="str">
        <x:v>In the waters off the Chengshan Jiao Promontory</x:v>
      </x:c>
      <x:c r="D126" s="66" t="str">
        <x:v>Source entry; component check pending</x:v>
      </x:c>
      <x:c r="E126" s="66" t="str">
        <x:v>Provisional: official baseline reconciliation pending</x:v>
      </x:c>
      <x:c r="F126" s="66" t="str">
        <x:v>Not researched</x:v>
      </x:c>
      <x:c r="G126" s="66" t="str">
        <x:v>Not researched</x:v>
      </x:c>
      <x:c r="H126" s="66" t="str"/>
      <x:c r="I126" s="66" t="str"/>
      <x:c r="J126" s="66" t="str"/>
      <x:c r="K126" s="66" t="str">
        <x:v>SRC-001</x:v>
      </x:c>
      <x:c r="L126" s="67" t="str">
        <x:v>https://www.scribd.com/document/1014775753/1-1-IMO-Adopted-Traffic-Separation-Schemes-on-the-ADMIRALTY-Chart-Series</x:v>
      </x:c>
      <x:c r="M126" s="66" t="str">
        <x:v>Notice 17; scheme label: In the waters off the Chengshan Jiao Promontory</x:v>
      </x:c>
      <x:c r="N126" s="66" t="str">
        <x:v>UKHO-labelled document on third-party host; edition and currency unverified.</x:v>
      </x:c>
      <x:c r="O126" s="66" t="str"/>
      <x:c r="P126" s="67" t="str"/>
      <x:c r="Q126" s="66" t="str">
        <x:v>B24</x:v>
      </x:c>
      <x:c r="R126" s="66" t="str">
        <x:v>Candidate recorded</x:v>
      </x:c>
      <x:c r="S126" s="66" t="str">
        <x:v>Not established</x:v>
      </x:c>
    </x:row>
    <x:row r="127" ht="60" customHeight="1">
      <x:c r="A127" s="66" t="str">
        <x:v>TSS-0121</x:v>
      </x:c>
      <x:c r="B127" s="66" t="str">
        <x:v>North-west Pacific</x:v>
      </x:c>
      <x:c r="C127" s="66" t="str">
        <x:v>In the Approaches to the Gulf of Nakhodka</x:v>
      </x:c>
      <x:c r="D127" s="66" t="str">
        <x:v>Source entry; component check pending</x:v>
      </x:c>
      <x:c r="E127" s="66" t="str">
        <x:v>Provisional: official baseline reconciliation pending</x:v>
      </x:c>
      <x:c r="F127" s="66" t="str">
        <x:v>Not researched</x:v>
      </x:c>
      <x:c r="G127" s="66" t="str">
        <x:v>Not researched</x:v>
      </x:c>
      <x:c r="H127" s="66" t="str"/>
      <x:c r="I127" s="66" t="str"/>
      <x:c r="J127" s="66" t="str"/>
      <x:c r="K127" s="66" t="str">
        <x:v>SRC-001</x:v>
      </x:c>
      <x:c r="L127" s="67" t="str">
        <x:v>https://www.scribd.com/document/1014775753/1-1-IMO-Adopted-Traffic-Separation-Schemes-on-the-ADMIRALTY-Chart-Series</x:v>
      </x:c>
      <x:c r="M127" s="66" t="str">
        <x:v>Notice 17; scheme label: In the Approaches to the Gulf of Nakhodka</x:v>
      </x:c>
      <x:c r="N127" s="66" t="str">
        <x:v>UKHO-labelled document on third-party host; edition and currency unverified.</x:v>
      </x:c>
      <x:c r="O127" s="66" t="str"/>
      <x:c r="P127" s="67" t="str"/>
      <x:c r="Q127" s="66" t="str">
        <x:v>B25</x:v>
      </x:c>
      <x:c r="R127" s="66" t="str">
        <x:v>Candidate recorded</x:v>
      </x:c>
      <x:c r="S127" s="66" t="str">
        <x:v>Not established</x:v>
      </x:c>
    </x:row>
    <x:row r="128" ht="60" customHeight="1">
      <x:c r="A128" s="66" t="str">
        <x:v>TSS-0122</x:v>
      </x:c>
      <x:c r="B128" s="66" t="str">
        <x:v>North-west Pacific</x:v>
      </x:c>
      <x:c r="C128" s="66" t="str">
        <x:v>Off the Ostrovnoi Point</x:v>
      </x:c>
      <x:c r="D128" s="66" t="str">
        <x:v>Source entry; component check pending</x:v>
      </x:c>
      <x:c r="E128" s="66" t="str">
        <x:v>Provisional: official baseline reconciliation pending</x:v>
      </x:c>
      <x:c r="F128" s="66" t="str">
        <x:v>Not researched</x:v>
      </x:c>
      <x:c r="G128" s="66" t="str">
        <x:v>Not researched</x:v>
      </x:c>
      <x:c r="H128" s="66" t="str"/>
      <x:c r="I128" s="66" t="str"/>
      <x:c r="J128" s="66" t="str"/>
      <x:c r="K128" s="66" t="str">
        <x:v>SRC-001</x:v>
      </x:c>
      <x:c r="L128" s="67" t="str">
        <x:v>https://www.scribd.com/document/1014775753/1-1-IMO-Adopted-Traffic-Separation-Schemes-on-the-ADMIRALTY-Chart-Series</x:v>
      </x:c>
      <x:c r="M128" s="66" t="str">
        <x:v>Notice 17; scheme label: Off the Ostrovnoi Point</x:v>
      </x:c>
      <x:c r="N128" s="66" t="str">
        <x:v>UKHO-labelled document on third-party host; edition and currency unverified.</x:v>
      </x:c>
      <x:c r="O128" s="66" t="str"/>
      <x:c r="P128" s="67" t="str"/>
      <x:c r="Q128" s="66" t="str">
        <x:v>B25</x:v>
      </x:c>
      <x:c r="R128" s="66" t="str">
        <x:v>Candidate recorded</x:v>
      </x:c>
      <x:c r="S128" s="66" t="str">
        <x:v>Not established</x:v>
      </x:c>
    </x:row>
    <x:row r="129" ht="60" customHeight="1">
      <x:c r="A129" s="66" t="str">
        <x:v>TSS-0123</x:v>
      </x:c>
      <x:c r="B129" s="66" t="str">
        <x:v>North-west Pacific</x:v>
      </x:c>
      <x:c r="C129" s="66" t="str">
        <x:v>Off Mys Aniva (Off the Aniwa Cape)</x:v>
      </x:c>
      <x:c r="D129" s="66" t="str">
        <x:v>Source entry; component check pending</x:v>
      </x:c>
      <x:c r="E129" s="66" t="str">
        <x:v>Provisional: official baseline reconciliation pending</x:v>
      </x:c>
      <x:c r="F129" s="66" t="str">
        <x:v>Not researched</x:v>
      </x:c>
      <x:c r="G129" s="66" t="str">
        <x:v>Not researched</x:v>
      </x:c>
      <x:c r="H129" s="66" t="str"/>
      <x:c r="I129" s="66" t="str"/>
      <x:c r="J129" s="66" t="str"/>
      <x:c r="K129" s="66" t="str">
        <x:v>SRC-001</x:v>
      </x:c>
      <x:c r="L129" s="67" t="str">
        <x:v>https://www.scribd.com/document/1014775753/1-1-IMO-Adopted-Traffic-Separation-Schemes-on-the-ADMIRALTY-Chart-Series</x:v>
      </x:c>
      <x:c r="M129" s="66" t="str">
        <x:v>Notice 17; scheme label: Off Mys Aniva (Off the Aniwa Cape)</x:v>
      </x:c>
      <x:c r="N129" s="66" t="str">
        <x:v>UKHO-labelled document on third-party host; edition and currency unverified.</x:v>
      </x:c>
      <x:c r="O129" s="66" t="str"/>
      <x:c r="P129" s="67" t="str"/>
      <x:c r="Q129" s="66" t="str">
        <x:v>B25</x:v>
      </x:c>
      <x:c r="R129" s="66" t="str">
        <x:v>Candidate recorded</x:v>
      </x:c>
      <x:c r="S129" s="66" t="str">
        <x:v>Not established</x:v>
      </x:c>
    </x:row>
    <x:row r="130" ht="60" customHeight="1">
      <x:c r="A130" s="66" t="str">
        <x:v>TSS-0124</x:v>
      </x:c>
      <x:c r="B130" s="66" t="str">
        <x:v>North-west Pacific</x:v>
      </x:c>
      <x:c r="C130" s="66" t="str">
        <x:v>In the Proliv Bussol'</x:v>
      </x:c>
      <x:c r="D130" s="66" t="str">
        <x:v>Source entry; component check pending</x:v>
      </x:c>
      <x:c r="E130" s="66" t="str">
        <x:v>Provisional: official baseline reconciliation pending</x:v>
      </x:c>
      <x:c r="F130" s="66" t="str">
        <x:v>Not researched</x:v>
      </x:c>
      <x:c r="G130" s="66" t="str">
        <x:v>Not researched</x:v>
      </x:c>
      <x:c r="H130" s="66" t="str"/>
      <x:c r="I130" s="66" t="str"/>
      <x:c r="J130" s="66" t="str"/>
      <x:c r="K130" s="66" t="str">
        <x:v>SRC-001</x:v>
      </x:c>
      <x:c r="L130" s="67" t="str">
        <x:v>https://www.scribd.com/document/1014775753/1-1-IMO-Adopted-Traffic-Separation-Schemes-on-the-ADMIRALTY-Chart-Series</x:v>
      </x:c>
      <x:c r="M130" s="66" t="str">
        <x:v>Notice 17; scheme label: In the Proliv Bussol'</x:v>
      </x:c>
      <x:c r="N130" s="66" t="str">
        <x:v>UKHO-labelled document on third-party host; edition and currency unverified.</x:v>
      </x:c>
      <x:c r="O130" s="66" t="str"/>
      <x:c r="P130" s="67" t="str"/>
      <x:c r="Q130" s="66" t="str">
        <x:v>B25</x:v>
      </x:c>
      <x:c r="R130" s="66" t="str">
        <x:v>Candidate recorded</x:v>
      </x:c>
      <x:c r="S130" s="66" t="str">
        <x:v>Not established</x:v>
      </x:c>
    </x:row>
    <x:row r="131" ht="60" customHeight="1">
      <x:c r="A131" s="66" t="str">
        <x:v>TSS-0125</x:v>
      </x:c>
      <x:c r="B131" s="66" t="str">
        <x:v>North-west Pacific</x:v>
      </x:c>
      <x:c r="C131" s="66" t="str">
        <x:v>Chetvertyy Kuril'skiy Proliv (In the Fourth Kuril Strait)</x:v>
      </x:c>
      <x:c r="D131" s="66" t="str">
        <x:v>Source entry; component check pending</x:v>
      </x:c>
      <x:c r="E131" s="66" t="str">
        <x:v>Provisional: official baseline reconciliation pending</x:v>
      </x:c>
      <x:c r="F131" s="66" t="str">
        <x:v>Not researched</x:v>
      </x:c>
      <x:c r="G131" s="66" t="str">
        <x:v>Not researched</x:v>
      </x:c>
      <x:c r="H131" s="66" t="str"/>
      <x:c r="I131" s="66" t="str"/>
      <x:c r="J131" s="66" t="str"/>
      <x:c r="K131" s="66" t="str">
        <x:v>SRC-001</x:v>
      </x:c>
      <x:c r="L131" s="67" t="str">
        <x:v>https://www.scribd.com/document/1014775753/1-1-IMO-Adopted-Traffic-Separation-Schemes-on-the-ADMIRALTY-Chart-Series</x:v>
      </x:c>
      <x:c r="M131" s="66" t="str">
        <x:v>Notice 17; scheme label: Chetvertyy Kuril'skiy Proliv (In the Fourth Kuril Strait)</x:v>
      </x:c>
      <x:c r="N131" s="66" t="str">
        <x:v>UKHO-labelled document on third-party host; edition and currency unverified.</x:v>
      </x:c>
      <x:c r="O131" s="66" t="str"/>
      <x:c r="P131" s="67" t="str"/>
      <x:c r="Q131" s="66" t="str">
        <x:v>B25</x:v>
      </x:c>
      <x:c r="R131" s="66" t="str">
        <x:v>Candidate recorded</x:v>
      </x:c>
      <x:c r="S131" s="66" t="str">
        <x:v>Not established</x:v>
      </x:c>
    </x:row>
    <x:row r="132" ht="60" customHeight="1">
      <x:c r="A132" s="66" t="str">
        <x:v>TSS-0126</x:v>
      </x:c>
      <x:c r="B132" s="66" t="str">
        <x:v>Australia</x:v>
      </x:c>
      <x:c r="C132" s="66" t="str">
        <x:v>Off Southwest Australia</x:v>
      </x:c>
      <x:c r="D132" s="66" t="str">
        <x:v>Source entry; component check pending</x:v>
      </x:c>
      <x:c r="E132" s="66" t="str">
        <x:v>Provisional: official baseline reconciliation pending</x:v>
      </x:c>
      <x:c r="F132" s="66" t="str">
        <x:v>Not researched</x:v>
      </x:c>
      <x:c r="G132" s="66" t="str">
        <x:v>Not researched</x:v>
      </x:c>
      <x:c r="H132" s="66" t="str"/>
      <x:c r="I132" s="66" t="str"/>
      <x:c r="J132" s="66" t="str"/>
      <x:c r="K132" s="66" t="str">
        <x:v>SRC-001</x:v>
      </x:c>
      <x:c r="L132" s="67" t="str">
        <x:v>https://www.scribd.com/document/1014775753/1-1-IMO-Adopted-Traffic-Separation-Schemes-on-the-ADMIRALTY-Chart-Series</x:v>
      </x:c>
      <x:c r="M132" s="66" t="str">
        <x:v>Notice 17; scheme label: Off Southwest Australia</x:v>
      </x:c>
      <x:c r="N132" s="66" t="str">
        <x:v>UKHO-labelled document on third-party host; edition and currency unverified.</x:v>
      </x:c>
      <x:c r="O132" s="66" t="str"/>
      <x:c r="P132" s="67" t="str"/>
      <x:c r="Q132" s="66" t="str">
        <x:v>B26</x:v>
      </x:c>
      <x:c r="R132" s="66" t="str">
        <x:v>Candidate recorded</x:v>
      </x:c>
      <x:c r="S132" s="66" t="str">
        <x:v>Not established</x:v>
      </x:c>
    </x:row>
    <x:row r="133" ht="60" customHeight="1">
      <x:c r="A133" s="66" t="str">
        <x:v>TSS-0127</x:v>
      </x:c>
      <x:c r="B133" s="66" t="str">
        <x:v>Australia</x:v>
      </x:c>
      <x:c r="C133" s="66" t="str">
        <x:v>South of Wilsons Promontory in the Bass Strait</x:v>
      </x:c>
      <x:c r="D133" s="66" t="str">
        <x:v>Source entry; component check pending</x:v>
      </x:c>
      <x:c r="E133" s="66" t="str">
        <x:v>Provisional: official baseline reconciliation pending</x:v>
      </x:c>
      <x:c r="F133" s="66" t="str">
        <x:v>Not researched</x:v>
      </x:c>
      <x:c r="G133" s="66" t="str">
        <x:v>Not researched</x:v>
      </x:c>
      <x:c r="H133" s="66" t="str"/>
      <x:c r="I133" s="66" t="str"/>
      <x:c r="J133" s="66" t="str"/>
      <x:c r="K133" s="66" t="str">
        <x:v>SRC-001</x:v>
      </x:c>
      <x:c r="L133" s="67" t="str">
        <x:v>https://www.scribd.com/document/1014775753/1-1-IMO-Adopted-Traffic-Separation-Schemes-on-the-ADMIRALTY-Chart-Series</x:v>
      </x:c>
      <x:c r="M133" s="66" t="str">
        <x:v>Notice 17; scheme label: South of Wilsons Promontory in the Bass Strait</x:v>
      </x:c>
      <x:c r="N133" s="66" t="str">
        <x:v>UKHO-labelled document on third-party host; edition and currency unverified.</x:v>
      </x:c>
      <x:c r="O133" s="66" t="str"/>
      <x:c r="P133" s="67" t="str"/>
      <x:c r="Q133" s="66" t="str">
        <x:v>B26</x:v>
      </x:c>
      <x:c r="R133" s="66" t="str">
        <x:v>Candidate recorded</x:v>
      </x:c>
      <x:c r="S133" s="66" t="str">
        <x:v>Not established</x:v>
      </x:c>
    </x:row>
    <x:row r="134" ht="60" customHeight="1">
      <x:c r="A134" s="66" t="str">
        <x:v>TSS-0128</x:v>
      </x:c>
      <x:c r="B134" s="66" t="str">
        <x:v>Australia</x:v>
      </x:c>
      <x:c r="C134" s="66" t="str">
        <x:v>In the Bass Strait</x:v>
      </x:c>
      <x:c r="D134" s="66" t="str">
        <x:v>Source entry; component check pending</x:v>
      </x:c>
      <x:c r="E134" s="66" t="str">
        <x:v>Provisional: official baseline reconciliation pending</x:v>
      </x:c>
      <x:c r="F134" s="66" t="str">
        <x:v>Not researched</x:v>
      </x:c>
      <x:c r="G134" s="66" t="str">
        <x:v>Not researched</x:v>
      </x:c>
      <x:c r="H134" s="66" t="str"/>
      <x:c r="I134" s="66" t="str"/>
      <x:c r="J134" s="66" t="str"/>
      <x:c r="K134" s="66" t="str">
        <x:v>SRC-001</x:v>
      </x:c>
      <x:c r="L134" s="67" t="str">
        <x:v>https://www.scribd.com/document/1014775753/1-1-IMO-Adopted-Traffic-Separation-Schemes-on-the-ADMIRALTY-Chart-Series</x:v>
      </x:c>
      <x:c r="M134" s="66" t="str">
        <x:v>Notice 17; scheme label: In the Bass Strait</x:v>
      </x:c>
      <x:c r="N134" s="66" t="str">
        <x:v>UKHO-labelled document on third-party host; edition and currency unverified.</x:v>
      </x:c>
      <x:c r="O134" s="66" t="str"/>
      <x:c r="P134" s="67" t="str"/>
      <x:c r="Q134" s="66" t="str">
        <x:v>B26</x:v>
      </x:c>
      <x:c r="R134" s="66" t="str">
        <x:v>Candidate recorded</x:v>
      </x:c>
      <x:c r="S134" s="66" t="str">
        <x:v>Not established</x:v>
      </x:c>
    </x:row>
    <x:row r="135" ht="60" customHeight="1">
      <x:c r="A135" s="66" t="str">
        <x:v>TSS-0129</x:v>
      </x:c>
      <x:c r="B135" s="66" t="str">
        <x:v>North America Pacific coast</x:v>
      </x:c>
      <x:c r="C135" s="66" t="str">
        <x:v>In Prince William Sound</x:v>
      </x:c>
      <x:c r="D135" s="66" t="str">
        <x:v>Source entry; component check pending</x:v>
      </x:c>
      <x:c r="E135" s="66" t="str">
        <x:v>Provisional: official baseline reconciliation pending</x:v>
      </x:c>
      <x:c r="F135" s="66" t="str">
        <x:v>Named VTS identified; TSS relationship proposed</x:v>
      </x:c>
      <x:c r="G135" s="66" t="str">
        <x:v>Not researched</x:v>
      </x:c>
      <x:c r="H135" s="66" t="str">
        <x:v>VTS-009</x:v>
      </x:c>
      <x:c r="I135" s="66" t="str"/>
      <x:c r="J135" s="66" t="str">
        <x:v>Verify the exact approach-TSS relationship and participation boundaries.</x:v>
      </x:c>
      <x:c r="K135" s="66" t="str">
        <x:v>SRC-001</x:v>
      </x:c>
      <x:c r="L135" s="67" t="str">
        <x:v>https://www.scribd.com/document/1014775753/1-1-IMO-Adopted-Traffic-Separation-Schemes-on-the-ADMIRALTY-Chart-Series</x:v>
      </x:c>
      <x:c r="M135" s="66" t="str">
        <x:v>Notice 17; scheme label: In Prince William Sound</x:v>
      </x:c>
      <x:c r="N135" s="66" t="str">
        <x:v>UKHO-labelled document on third-party host; edition and currency unverified.</x:v>
      </x:c>
      <x:c r="O135" s="66" t="str">
        <x:v>SRC-017</x:v>
      </x:c>
      <x:c r="P135" s="67" t="str">
        <x:v>https://www.navcen.uscg.gov/vessel-traffic-services-locations</x:v>
      </x:c>
      <x:c r="Q135" s="66" t="str">
        <x:v>B26</x:v>
      </x:c>
      <x:c r="R135" s="66" t="str">
        <x:v>Association proposed</x:v>
      </x:c>
      <x:c r="S135" s="66" t="str">
        <x:v>2026-09-29</x:v>
      </x:c>
    </x:row>
    <x:row r="136" ht="66" customHeight="1">
      <x:c r="A136" s="66" t="str">
        <x:v>TSS-0130</x:v>
      </x:c>
      <x:c r="B136" s="66" t="str">
        <x:v>North America Pacific coast</x:v>
      </x:c>
      <x:c r="C136" s="66" t="str">
        <x:v>In the Strait of Juan de Fuca and its Approaches</x:v>
      </x:c>
      <x:c r="D136" s="66" t="str">
        <x:v>Source entry; component check pending</x:v>
      </x:c>
      <x:c r="E136" s="66" t="str">
        <x:v>Provisional: official baseline reconciliation pending</x:v>
      </x:c>
      <x:c r="F136" s="66" t="str">
        <x:v>Named VTS identified; TSS relationship proposed</x:v>
      </x:c>
      <x:c r="G136" s="66" t="str">
        <x:v>Not researched</x:v>
      </x:c>
      <x:c r="H136" s="66" t="str">
        <x:v>VTS-010</x:v>
      </x:c>
      <x:c r="I136" s="66" t="str"/>
      <x:c r="J136" s="66" t="str">
        <x:v>This US service is not the whole cross-border corridor. Canadian service areas require separate records and boundary checks.</x:v>
      </x:c>
      <x:c r="K136" s="66" t="str">
        <x:v>SRC-001</x:v>
      </x:c>
      <x:c r="L136" s="67" t="str">
        <x:v>https://www.scribd.com/document/1014775753/1-1-IMO-Adopted-Traffic-Separation-Schemes-on-the-ADMIRALTY-Chart-Series</x:v>
      </x:c>
      <x:c r="M136" s="66" t="str">
        <x:v>Notice 17; scheme label: In the Strait of Juan de Fuca and its Approaches</x:v>
      </x:c>
      <x:c r="N136" s="66" t="str">
        <x:v>UKHO-labelled document on third-party host; edition and currency unverified.</x:v>
      </x:c>
      <x:c r="O136" s="66" t="str">
        <x:v>SRC-017</x:v>
      </x:c>
      <x:c r="P136" s="67" t="str">
        <x:v>https://www.navcen.uscg.gov/vessel-traffic-services-locations</x:v>
      </x:c>
      <x:c r="Q136" s="66" t="str">
        <x:v>B26</x:v>
      </x:c>
      <x:c r="R136" s="66" t="str">
        <x:v>Association proposed</x:v>
      </x:c>
      <x:c r="S136" s="66" t="str">
        <x:v>2026-09-29</x:v>
      </x:c>
    </x:row>
    <x:row r="137" ht="66" customHeight="1">
      <x:c r="A137" s="66" t="str">
        <x:v>TSS-0131</x:v>
      </x:c>
      <x:c r="B137" s="66" t="str">
        <x:v>North America Pacific coast</x:v>
      </x:c>
      <x:c r="C137" s="66" t="str">
        <x:v>In Puget Sound and approaches in Haro Strait, Boundary Pass and in the Strait of Georgia</x:v>
      </x:c>
      <x:c r="D137" s="66" t="str">
        <x:v>Source entry; component check pending</x:v>
      </x:c>
      <x:c r="E137" s="66" t="str">
        <x:v>Provisional: official baseline reconciliation pending</x:v>
      </x:c>
      <x:c r="F137" s="66" t="str">
        <x:v>Named VTS identified; TSS relationship proposed</x:v>
      </x:c>
      <x:c r="G137" s="66" t="str">
        <x:v>Not researched</x:v>
      </x:c>
      <x:c r="H137" s="66" t="str">
        <x:v>VTS-010</x:v>
      </x:c>
      <x:c r="I137" s="66" t="str"/>
      <x:c r="J137" s="66" t="str">
        <x:v>This US service is not the whole cross-border corridor. Canadian service areas require separate records and boundary checks.</x:v>
      </x:c>
      <x:c r="K137" s="66" t="str">
        <x:v>SRC-001</x:v>
      </x:c>
      <x:c r="L137" s="67" t="str">
        <x:v>https://www.scribd.com/document/1014775753/1-1-IMO-Adopted-Traffic-Separation-Schemes-on-the-ADMIRALTY-Chart-Series</x:v>
      </x:c>
      <x:c r="M137" s="66" t="str">
        <x:v>Notice 17; scheme label: In Puget Sound and approaches in Haro Strait, Boundary Pass and in the Strait of Georgia</x:v>
      </x:c>
      <x:c r="N137" s="66" t="str">
        <x:v>UKHO-labelled document on third-party host; edition and currency unverified.</x:v>
      </x:c>
      <x:c r="O137" s="66" t="str">
        <x:v>SRC-017</x:v>
      </x:c>
      <x:c r="P137" s="67" t="str">
        <x:v>https://www.navcen.uscg.gov/vessel-traffic-services-locations</x:v>
      </x:c>
      <x:c r="Q137" s="66" t="str">
        <x:v>B27</x:v>
      </x:c>
      <x:c r="R137" s="66" t="str">
        <x:v>Association proposed</x:v>
      </x:c>
      <x:c r="S137" s="66" t="str">
        <x:v>2026-09-29</x:v>
      </x:c>
    </x:row>
    <x:row r="138" ht="60" customHeight="1">
      <x:c r="A138" s="66" t="str">
        <x:v>TSS-0132</x:v>
      </x:c>
      <x:c r="B138" s="66" t="str">
        <x:v>North America Pacific coast</x:v>
      </x:c>
      <x:c r="C138" s="66" t="str">
        <x:v>Off San Francisco</x:v>
      </x:c>
      <x:c r="D138" s="66" t="str">
        <x:v>Source entry; component check pending</x:v>
      </x:c>
      <x:c r="E138" s="66" t="str">
        <x:v>Provisional: official baseline reconciliation pending</x:v>
      </x:c>
      <x:c r="F138" s="66" t="str">
        <x:v>Named VTS identified; TSS relationship proposed</x:v>
      </x:c>
      <x:c r="G138" s="66" t="str">
        <x:v>Voluntary OVMRS lead; mandatory reporting not determined</x:v>
      </x:c>
      <x:c r="H138" s="66" t="str">
        <x:v>VTS-011</x:v>
      </x:c>
      <x:c r="I138" s="66" t="str">
        <x:v>SRS-008</x:v>
      </x:c>
      <x:c r="J138" s="66" t="str">
        <x:v>Separate VTS requirements from voluntary offshore OVMRS. Offshore TSS coverage remains a research lead.</x:v>
      </x:c>
      <x:c r="K138" s="66" t="str">
        <x:v>SRC-001</x:v>
      </x:c>
      <x:c r="L138" s="67" t="str">
        <x:v>https://www.scribd.com/document/1014775753/1-1-IMO-Adopted-Traffic-Separation-Schemes-on-the-ADMIRALTY-Chart-Series</x:v>
      </x:c>
      <x:c r="M138" s="66" t="str">
        <x:v>Notice 17; scheme label: Off San Francisco</x:v>
      </x:c>
      <x:c r="N138" s="66" t="str">
        <x:v>UKHO-labelled document on third-party host; edition and currency unverified.</x:v>
      </x:c>
      <x:c r="O138" s="66" t="str">
        <x:v>SRC-017</x:v>
      </x:c>
      <x:c r="P138" s="67" t="str">
        <x:v>https://www.navcen.uscg.gov/vessel-traffic-services-locations</x:v>
      </x:c>
      <x:c r="Q138" s="66" t="str">
        <x:v>B27</x:v>
      </x:c>
      <x:c r="R138" s="66" t="str">
        <x:v>Association proposed</x:v>
      </x:c>
      <x:c r="S138" s="66" t="str">
        <x:v>2026-09-29</x:v>
      </x:c>
    </x:row>
    <x:row r="139" ht="60" customHeight="1">
      <x:c r="A139" s="66" t="str">
        <x:v>TSS-0133</x:v>
      </x:c>
      <x:c r="B139" s="66" t="str">
        <x:v>North America Pacific coast</x:v>
      </x:c>
      <x:c r="C139" s="66" t="str">
        <x:v>In the Santa Barbara Channel and in the Approaches to Los Angeles - Long Beach</x:v>
      </x:c>
      <x:c r="D139" s="66" t="str">
        <x:v>Source entry; component check pending</x:v>
      </x:c>
      <x:c r="E139" s="66" t="str">
        <x:v>Provisional: official baseline reconciliation pending</x:v>
      </x:c>
      <x:c r="F139" s="66" t="str">
        <x:v>Named VTS identified; TSS relationship proposed</x:v>
      </x:c>
      <x:c r="G139" s="66" t="str">
        <x:v>Not researched</x:v>
      </x:c>
      <x:c r="H139" s="66" t="str">
        <x:v>VTS-012</x:v>
      </x:c>
      <x:c r="I139" s="66" t="str"/>
      <x:c r="J139" s="66" t="str">
        <x:v>The source TSS heading also includes Santa Barbara Channel. Do not infer whole-heading coverage.</x:v>
      </x:c>
      <x:c r="K139" s="66" t="str">
        <x:v>SRC-001</x:v>
      </x:c>
      <x:c r="L139" s="67" t="str">
        <x:v>https://www.scribd.com/document/1014775753/1-1-IMO-Adopted-Traffic-Separation-Schemes-on-the-ADMIRALTY-Chart-Series</x:v>
      </x:c>
      <x:c r="M139" s="66" t="str">
        <x:v>Notice 17; scheme label: In the Santa Barbara Channel and in the Approaches to Los Angeles - Long Beach</x:v>
      </x:c>
      <x:c r="N139" s="66" t="str">
        <x:v>UKHO-labelled document on third-party host; edition and currency unverified.</x:v>
      </x:c>
      <x:c r="O139" s="66" t="str">
        <x:v>SRC-017</x:v>
      </x:c>
      <x:c r="P139" s="67" t="str">
        <x:v>https://www.navcen.uscg.gov/vessel-traffic-services-locations</x:v>
      </x:c>
      <x:c r="Q139" s="66" t="str">
        <x:v>B27</x:v>
      </x:c>
      <x:c r="R139" s="66" t="str">
        <x:v>Association proposed</x:v>
      </x:c>
      <x:c r="S139" s="66" t="str">
        <x:v>2026-09-29</x:v>
      </x:c>
    </x:row>
    <x:row r="140" ht="60" customHeight="1">
      <x:c r="A140" s="66" t="str">
        <x:v>TSS-0134</x:v>
      </x:c>
      <x:c r="B140" s="66" t="str">
        <x:v>North America Pacific coast</x:v>
      </x:c>
      <x:c r="C140" s="66" t="str">
        <x:v>In the Approaches to Salina Cruz</x:v>
      </x:c>
      <x:c r="D140" s="66" t="str">
        <x:v>Source entry; component check pending</x:v>
      </x:c>
      <x:c r="E140" s="66" t="str">
        <x:v>Provisional: official baseline reconciliation pending</x:v>
      </x:c>
      <x:c r="F140" s="66" t="str">
        <x:v>Not researched</x:v>
      </x:c>
      <x:c r="G140" s="66" t="str">
        <x:v>Not researched</x:v>
      </x:c>
      <x:c r="H140" s="66" t="str"/>
      <x:c r="I140" s="66" t="str"/>
      <x:c r="J140" s="66" t="str"/>
      <x:c r="K140" s="66" t="str">
        <x:v>SRC-001</x:v>
      </x:c>
      <x:c r="L140" s="67" t="str">
        <x:v>https://www.scribd.com/document/1014775753/1-1-IMO-Adopted-Traffic-Separation-Schemes-on-the-ADMIRALTY-Chart-Series</x:v>
      </x:c>
      <x:c r="M140" s="66" t="str">
        <x:v>Notice 17; scheme label: In the Approaches to Salina Cruz</x:v>
      </x:c>
      <x:c r="N140" s="66" t="str">
        <x:v>UKHO-labelled document on third-party host; edition and currency unverified.</x:v>
      </x:c>
      <x:c r="O140" s="66" t="str"/>
      <x:c r="P140" s="67" t="str"/>
      <x:c r="Q140" s="66" t="str">
        <x:v>B27</x:v>
      </x:c>
      <x:c r="R140" s="66" t="str">
        <x:v>Candidate recorded</x:v>
      </x:c>
      <x:c r="S140" s="66" t="str">
        <x:v>Not established</x:v>
      </x:c>
    </x:row>
    <x:row r="141" ht="60" customHeight="1">
      <x:c r="A141" s="66" t="str">
        <x:v>TSS-0135</x:v>
      </x:c>
      <x:c r="B141" s="66" t="str">
        <x:v>Central and South America Pacific coast</x:v>
      </x:c>
      <x:c r="C141" s="66" t="str">
        <x:v>Landfall and Approaches to Talara Bay</x:v>
      </x:c>
      <x:c r="D141" s="66" t="str">
        <x:v>Source entry; component check pending</x:v>
      </x:c>
      <x:c r="E141" s="66" t="str">
        <x:v>Provisional: official baseline reconciliation pending</x:v>
      </x:c>
      <x:c r="F141" s="66" t="str">
        <x:v>Not researched</x:v>
      </x:c>
      <x:c r="G141" s="66" t="str">
        <x:v>Not researched</x:v>
      </x:c>
      <x:c r="H141" s="66" t="str"/>
      <x:c r="I141" s="66" t="str"/>
      <x:c r="J141" s="66" t="str"/>
      <x:c r="K141" s="66" t="str">
        <x:v>SRC-001</x:v>
      </x:c>
      <x:c r="L141" s="67" t="str">
        <x:v>https://www.scribd.com/document/1014775753/1-1-IMO-Adopted-Traffic-Separation-Schemes-on-the-ADMIRALTY-Chart-Series</x:v>
      </x:c>
      <x:c r="M141" s="66" t="str">
        <x:v>Notice 17; scheme label: Landfall and Approaches to Talara Bay</x:v>
      </x:c>
      <x:c r="N141" s="66" t="str">
        <x:v>UKHO-labelled document on third-party host; edition and currency unverified.</x:v>
      </x:c>
      <x:c r="O141" s="66" t="str"/>
      <x:c r="P141" s="67" t="str"/>
      <x:c r="Q141" s="66" t="str">
        <x:v>B27</x:v>
      </x:c>
      <x:c r="R141" s="66" t="str">
        <x:v>Candidate recorded</x:v>
      </x:c>
      <x:c r="S141" s="66" t="str">
        <x:v>Not established</x:v>
      </x:c>
    </x:row>
    <x:row r="142" ht="60" customHeight="1">
      <x:c r="A142" s="66" t="str">
        <x:v>TSS-0136</x:v>
      </x:c>
      <x:c r="B142" s="66" t="str">
        <x:v>Central and South America Pacific coast</x:v>
      </x:c>
      <x:c r="C142" s="66" t="str">
        <x:v>Landfall and Approaches to Bahía de Paita</x:v>
      </x:c>
      <x:c r="D142" s="66" t="str">
        <x:v>Source entry; component check pending</x:v>
      </x:c>
      <x:c r="E142" s="66" t="str">
        <x:v>Provisional: official baseline reconciliation pending</x:v>
      </x:c>
      <x:c r="F142" s="66" t="str">
        <x:v>Not researched</x:v>
      </x:c>
      <x:c r="G142" s="66" t="str">
        <x:v>Not researched</x:v>
      </x:c>
      <x:c r="H142" s="66" t="str"/>
      <x:c r="I142" s="66" t="str"/>
      <x:c r="J142" s="66" t="str"/>
      <x:c r="K142" s="66" t="str">
        <x:v>SRC-001</x:v>
      </x:c>
      <x:c r="L142" s="67" t="str">
        <x:v>https://www.scribd.com/document/1014775753/1-1-IMO-Adopted-Traffic-Separation-Schemes-on-the-ADMIRALTY-Chart-Series</x:v>
      </x:c>
      <x:c r="M142" s="66" t="str">
        <x:v>Notice 17; scheme label: Landfall and Approaches to Bahía de Paita</x:v>
      </x:c>
      <x:c r="N142" s="66" t="str">
        <x:v>UKHO-labelled document on third-party host; edition and currency unverified.</x:v>
      </x:c>
      <x:c r="O142" s="66" t="str"/>
      <x:c r="P142" s="67" t="str"/>
      <x:c r="Q142" s="66" t="str">
        <x:v>B28</x:v>
      </x:c>
      <x:c r="R142" s="66" t="str">
        <x:v>Candidate recorded</x:v>
      </x:c>
      <x:c r="S142" s="66" t="str">
        <x:v>Not established</x:v>
      </x:c>
    </x:row>
    <x:row r="143" ht="60" customHeight="1">
      <x:c r="A143" s="66" t="str">
        <x:v>TSS-0137</x:v>
      </x:c>
      <x:c r="B143" s="66" t="str">
        <x:v>Central and South America Pacific coast</x:v>
      </x:c>
      <x:c r="C143" s="66" t="str">
        <x:v>Landfall off Puerto Salaverry</x:v>
      </x:c>
      <x:c r="D143" s="66" t="str">
        <x:v>Source entry; component check pending</x:v>
      </x:c>
      <x:c r="E143" s="66" t="str">
        <x:v>Provisional: official baseline reconciliation pending</x:v>
      </x:c>
      <x:c r="F143" s="66" t="str">
        <x:v>Not researched</x:v>
      </x:c>
      <x:c r="G143" s="66" t="str">
        <x:v>Not researched</x:v>
      </x:c>
      <x:c r="H143" s="66" t="str"/>
      <x:c r="I143" s="66" t="str"/>
      <x:c r="J143" s="66" t="str"/>
      <x:c r="K143" s="66" t="str">
        <x:v>SRC-001</x:v>
      </x:c>
      <x:c r="L143" s="67" t="str">
        <x:v>https://www.scribd.com/document/1014775753/1-1-IMO-Adopted-Traffic-Separation-Schemes-on-the-ADMIRALTY-Chart-Series</x:v>
      </x:c>
      <x:c r="M143" s="66" t="str">
        <x:v>Notice 17; scheme label: Landfall off Puerto Salaverry</x:v>
      </x:c>
      <x:c r="N143" s="66" t="str">
        <x:v>UKHO-labelled document on third-party host; edition and currency unverified.</x:v>
      </x:c>
      <x:c r="O143" s="66" t="str"/>
      <x:c r="P143" s="67" t="str"/>
      <x:c r="Q143" s="66" t="str">
        <x:v>B28</x:v>
      </x:c>
      <x:c r="R143" s="66" t="str">
        <x:v>Candidate recorded</x:v>
      </x:c>
      <x:c r="S143" s="66" t="str">
        <x:v>Not established</x:v>
      </x:c>
    </x:row>
    <x:row r="144" ht="60" customHeight="1">
      <x:c r="A144" s="66" t="str">
        <x:v>TSS-0138</x:v>
      </x:c>
      <x:c r="B144" s="66" t="str">
        <x:v>Central and South America Pacific coast</x:v>
      </x:c>
      <x:c r="C144" s="66" t="str">
        <x:v>Landfall and Approaches to Ferrol Bay (Puerto Chimbote)</x:v>
      </x:c>
      <x:c r="D144" s="66" t="str">
        <x:v>Source entry; component check pending</x:v>
      </x:c>
      <x:c r="E144" s="66" t="str">
        <x:v>Provisional: official baseline reconciliation pending</x:v>
      </x:c>
      <x:c r="F144" s="66" t="str">
        <x:v>Not researched</x:v>
      </x:c>
      <x:c r="G144" s="66" t="str">
        <x:v>Not researched</x:v>
      </x:c>
      <x:c r="H144" s="66" t="str"/>
      <x:c r="I144" s="66" t="str"/>
      <x:c r="J144" s="66" t="str"/>
      <x:c r="K144" s="66" t="str">
        <x:v>SRC-001</x:v>
      </x:c>
      <x:c r="L144" s="67" t="str">
        <x:v>https://www.scribd.com/document/1014775753/1-1-IMO-Adopted-Traffic-Separation-Schemes-on-the-ADMIRALTY-Chart-Series</x:v>
      </x:c>
      <x:c r="M144" s="66" t="str">
        <x:v>Notice 17; scheme label: Landfall and Approaches to Ferrol Bay (Puerto Chimbote)</x:v>
      </x:c>
      <x:c r="N144" s="66" t="str">
        <x:v>UKHO-labelled document on third-party host; edition and currency unverified.</x:v>
      </x:c>
      <x:c r="O144" s="66" t="str"/>
      <x:c r="P144" s="67" t="str"/>
      <x:c r="Q144" s="66" t="str">
        <x:v>B28</x:v>
      </x:c>
      <x:c r="R144" s="66" t="str">
        <x:v>Candidate recorded</x:v>
      </x:c>
      <x:c r="S144" s="66" t="str">
        <x:v>Not established</x:v>
      </x:c>
    </x:row>
    <x:row r="145" ht="60" customHeight="1">
      <x:c r="A145" s="66" t="str">
        <x:v>TSS-0139</x:v>
      </x:c>
      <x:c r="B145" s="66" t="str">
        <x:v>Central and South America Pacific coast</x:v>
      </x:c>
      <x:c r="C145" s="66" t="str">
        <x:v>Approaches to Puerto Callao</x:v>
      </x:c>
      <x:c r="D145" s="66" t="str">
        <x:v>Source entry; component check pending</x:v>
      </x:c>
      <x:c r="E145" s="66" t="str">
        <x:v>Provisional: official baseline reconciliation pending</x:v>
      </x:c>
      <x:c r="F145" s="66" t="str">
        <x:v>Not researched</x:v>
      </x:c>
      <x:c r="G145" s="66" t="str">
        <x:v>Not researched</x:v>
      </x:c>
      <x:c r="H145" s="66" t="str"/>
      <x:c r="I145" s="66" t="str"/>
      <x:c r="J145" s="66" t="str"/>
      <x:c r="K145" s="66" t="str">
        <x:v>SRC-001</x:v>
      </x:c>
      <x:c r="L145" s="67" t="str">
        <x:v>https://www.scribd.com/document/1014775753/1-1-IMO-Adopted-Traffic-Separation-Schemes-on-the-ADMIRALTY-Chart-Series</x:v>
      </x:c>
      <x:c r="M145" s="66" t="str">
        <x:v>Notice 17; scheme label: Approaches to Puerto Callao</x:v>
      </x:c>
      <x:c r="N145" s="66" t="str">
        <x:v>UKHO-labelled document on third-party host; edition and currency unverified.</x:v>
      </x:c>
      <x:c r="O145" s="66" t="str"/>
      <x:c r="P145" s="67" t="str"/>
      <x:c r="Q145" s="66" t="str">
        <x:v>B28</x:v>
      </x:c>
      <x:c r="R145" s="66" t="str">
        <x:v>Candidate recorded</x:v>
      </x:c>
      <x:c r="S145" s="66" t="str">
        <x:v>Not established</x:v>
      </x:c>
    </x:row>
    <x:row r="146" ht="60" customHeight="1">
      <x:c r="A146" s="66" t="str">
        <x:v>TSS-0140</x:v>
      </x:c>
      <x:c r="B146" s="66" t="str">
        <x:v>Central and South America Pacific coast</x:v>
      </x:c>
      <x:c r="C146" s="66" t="str">
        <x:v>In the Approaches to Puerto Pisco</x:v>
      </x:c>
      <x:c r="D146" s="66" t="str">
        <x:v>Source entry; component check pending</x:v>
      </x:c>
      <x:c r="E146" s="66" t="str">
        <x:v>Provisional: official baseline reconciliation pending</x:v>
      </x:c>
      <x:c r="F146" s="66" t="str">
        <x:v>Not researched</x:v>
      </x:c>
      <x:c r="G146" s="66" t="str">
        <x:v>Not researched</x:v>
      </x:c>
      <x:c r="H146" s="66" t="str"/>
      <x:c r="I146" s="66" t="str"/>
      <x:c r="J146" s="66" t="str"/>
      <x:c r="K146" s="66" t="str">
        <x:v>SRC-001</x:v>
      </x:c>
      <x:c r="L146" s="67" t="str">
        <x:v>https://www.scribd.com/document/1014775753/1-1-IMO-Adopted-Traffic-Separation-Schemes-on-the-ADMIRALTY-Chart-Series</x:v>
      </x:c>
      <x:c r="M146" s="66" t="str">
        <x:v>Notice 17; scheme label: In the Approaches to Puerto Pisco</x:v>
      </x:c>
      <x:c r="N146" s="66" t="str">
        <x:v>UKHO-labelled document on third-party host; edition and currency unverified.</x:v>
      </x:c>
      <x:c r="O146" s="66" t="str"/>
      <x:c r="P146" s="67" t="str"/>
      <x:c r="Q146" s="66" t="str">
        <x:v>B28</x:v>
      </x:c>
      <x:c r="R146" s="66" t="str">
        <x:v>Candidate recorded</x:v>
      </x:c>
      <x:c r="S146" s="66" t="str">
        <x:v>Not established</x:v>
      </x:c>
    </x:row>
    <x:row r="147" ht="60" customHeight="1">
      <x:c r="A147" s="66" t="str">
        <x:v>TSS-0141</x:v>
      </x:c>
      <x:c r="B147" s="66" t="str">
        <x:v>Central and South America Pacific coast</x:v>
      </x:c>
      <x:c r="C147" s="66" t="str">
        <x:v>Landfall and Approaches to San Nicolás Bay</x:v>
      </x:c>
      <x:c r="D147" s="66" t="str">
        <x:v>Source entry; component check pending</x:v>
      </x:c>
      <x:c r="E147" s="66" t="str">
        <x:v>Provisional: official baseline reconciliation pending</x:v>
      </x:c>
      <x:c r="F147" s="66" t="str">
        <x:v>Not researched</x:v>
      </x:c>
      <x:c r="G147" s="66" t="str">
        <x:v>Not researched</x:v>
      </x:c>
      <x:c r="H147" s="66" t="str"/>
      <x:c r="I147" s="66" t="str"/>
      <x:c r="J147" s="66" t="str"/>
      <x:c r="K147" s="66" t="str">
        <x:v>SRC-001</x:v>
      </x:c>
      <x:c r="L147" s="67" t="str">
        <x:v>https://www.scribd.com/document/1014775753/1-1-IMO-Adopted-Traffic-Separation-Schemes-on-the-ADMIRALTY-Chart-Series</x:v>
      </x:c>
      <x:c r="M147" s="66" t="str">
        <x:v>Notice 17; scheme label: Landfall and Approaches to San Nicolás Bay</x:v>
      </x:c>
      <x:c r="N147" s="66" t="str">
        <x:v>UKHO-labelled document on third-party host; edition and currency unverified.</x:v>
      </x:c>
      <x:c r="O147" s="66" t="str"/>
      <x:c r="P147" s="67" t="str"/>
      <x:c r="Q147" s="66" t="str">
        <x:v>B29</x:v>
      </x:c>
      <x:c r="R147" s="66" t="str">
        <x:v>Candidate recorded</x:v>
      </x:c>
      <x:c r="S147" s="66" t="str">
        <x:v>Not established</x:v>
      </x:c>
    </x:row>
    <x:row r="148" ht="60" customHeight="1">
      <x:c r="A148" s="66" t="str">
        <x:v>TSS-0142</x:v>
      </x:c>
      <x:c r="B148" s="66" t="str">
        <x:v>Central and South America Pacific coast</x:v>
      </x:c>
      <x:c r="C148" s="66" t="str">
        <x:v>Landfall and Approaches to Puerto Ilo</x:v>
      </x:c>
      <x:c r="D148" s="66" t="str">
        <x:v>Source entry; component check pending</x:v>
      </x:c>
      <x:c r="E148" s="66" t="str">
        <x:v>Provisional: official baseline reconciliation pending</x:v>
      </x:c>
      <x:c r="F148" s="66" t="str">
        <x:v>Not researched</x:v>
      </x:c>
      <x:c r="G148" s="66" t="str">
        <x:v>Not researched</x:v>
      </x:c>
      <x:c r="H148" s="66" t="str"/>
      <x:c r="I148" s="66" t="str"/>
      <x:c r="J148" s="66" t="str"/>
      <x:c r="K148" s="66" t="str">
        <x:v>SRC-001</x:v>
      </x:c>
      <x:c r="L148" s="67" t="str">
        <x:v>https://www.scribd.com/document/1014775753/1-1-IMO-Adopted-Traffic-Separation-Schemes-on-the-ADMIRALTY-Chart-Series</x:v>
      </x:c>
      <x:c r="M148" s="66" t="str">
        <x:v>Notice 17; scheme label: Landfall and Approaches to Puerto Ilo</x:v>
      </x:c>
      <x:c r="N148" s="66" t="str">
        <x:v>UKHO-labelled document on third-party host; edition and currency unverified.</x:v>
      </x:c>
      <x:c r="O148" s="66" t="str"/>
      <x:c r="P148" s="67" t="str"/>
      <x:c r="Q148" s="66" t="str">
        <x:v>B29</x:v>
      </x:c>
      <x:c r="R148" s="66" t="str">
        <x:v>Candidate recorded</x:v>
      </x:c>
      <x:c r="S148" s="66" t="str">
        <x:v>Not established</x:v>
      </x:c>
    </x:row>
    <x:row r="149" ht="60" customHeight="1">
      <x:c r="A149" s="66" t="str">
        <x:v>TSS-0143</x:v>
      </x:c>
      <x:c r="B149" s="66" t="str">
        <x:v>Central and South America Pacific coast</x:v>
      </x:c>
      <x:c r="C149" s="66" t="str">
        <x:v>In the Approaches to Arica</x:v>
      </x:c>
      <x:c r="D149" s="66" t="str">
        <x:v>Source entry; component check pending</x:v>
      </x:c>
      <x:c r="E149" s="66" t="str">
        <x:v>Provisional: official baseline reconciliation pending</x:v>
      </x:c>
      <x:c r="F149" s="66" t="str">
        <x:v>Not researched</x:v>
      </x:c>
      <x:c r="G149" s="66" t="str">
        <x:v>Not researched</x:v>
      </x:c>
      <x:c r="H149" s="66" t="str"/>
      <x:c r="I149" s="66" t="str"/>
      <x:c r="J149" s="66" t="str"/>
      <x:c r="K149" s="66" t="str">
        <x:v>SRC-001</x:v>
      </x:c>
      <x:c r="L149" s="67" t="str">
        <x:v>https://www.scribd.com/document/1014775753/1-1-IMO-Adopted-Traffic-Separation-Schemes-on-the-ADMIRALTY-Chart-Series</x:v>
      </x:c>
      <x:c r="M149" s="66" t="str">
        <x:v>Notice 17; scheme label: In the Approaches to Arica</x:v>
      </x:c>
      <x:c r="N149" s="66" t="str">
        <x:v>UKHO-labelled document on third-party host; edition and currency unverified.</x:v>
      </x:c>
      <x:c r="O149" s="66" t="str"/>
      <x:c r="P149" s="67" t="str"/>
      <x:c r="Q149" s="66" t="str">
        <x:v>B29</x:v>
      </x:c>
      <x:c r="R149" s="66" t="str">
        <x:v>Candidate recorded</x:v>
      </x:c>
      <x:c r="S149" s="66" t="str">
        <x:v>Not established</x:v>
      </x:c>
    </x:row>
    <x:row r="150" ht="60" customHeight="1">
      <x:c r="A150" s="66" t="str">
        <x:v>TSS-0144</x:v>
      </x:c>
      <x:c r="B150" s="66" t="str">
        <x:v>Central and South America Pacific coast</x:v>
      </x:c>
      <x:c r="C150" s="66" t="str">
        <x:v>In the Approaches to Iquique</x:v>
      </x:c>
      <x:c r="D150" s="66" t="str">
        <x:v>Source entry; component check pending</x:v>
      </x:c>
      <x:c r="E150" s="66" t="str">
        <x:v>Provisional: official baseline reconciliation pending</x:v>
      </x:c>
      <x:c r="F150" s="66" t="str">
        <x:v>Not researched</x:v>
      </x:c>
      <x:c r="G150" s="66" t="str">
        <x:v>Not researched</x:v>
      </x:c>
      <x:c r="H150" s="66" t="str"/>
      <x:c r="I150" s="66" t="str"/>
      <x:c r="J150" s="66" t="str"/>
      <x:c r="K150" s="66" t="str">
        <x:v>SRC-001</x:v>
      </x:c>
      <x:c r="L150" s="67" t="str">
        <x:v>https://www.scribd.com/document/1014775753/1-1-IMO-Adopted-Traffic-Separation-Schemes-on-the-ADMIRALTY-Chart-Series</x:v>
      </x:c>
      <x:c r="M150" s="66" t="str">
        <x:v>Notice 17; scheme label: In the Approaches to Iquique</x:v>
      </x:c>
      <x:c r="N150" s="66" t="str">
        <x:v>UKHO-labelled document on third-party host; edition and currency unverified.</x:v>
      </x:c>
      <x:c r="O150" s="66" t="str"/>
      <x:c r="P150" s="67" t="str"/>
      <x:c r="Q150" s="66" t="str">
        <x:v>B29</x:v>
      </x:c>
      <x:c r="R150" s="66" t="str">
        <x:v>Candidate recorded</x:v>
      </x:c>
      <x:c r="S150" s="66" t="str">
        <x:v>Not established</x:v>
      </x:c>
    </x:row>
    <x:row r="151" ht="60" customHeight="1">
      <x:c r="A151" s="66" t="str">
        <x:v>TSS-0145</x:v>
      </x:c>
      <x:c r="B151" s="66" t="str">
        <x:v>Central and South America Pacific coast</x:v>
      </x:c>
      <x:c r="C151" s="66" t="str">
        <x:v>In the Approaches to Antofagasta</x:v>
      </x:c>
      <x:c r="D151" s="66" t="str">
        <x:v>Source entry; component check pending</x:v>
      </x:c>
      <x:c r="E151" s="66" t="str">
        <x:v>Provisional: official baseline reconciliation pending</x:v>
      </x:c>
      <x:c r="F151" s="66" t="str">
        <x:v>Not researched</x:v>
      </x:c>
      <x:c r="G151" s="66" t="str">
        <x:v>Not researched</x:v>
      </x:c>
      <x:c r="H151" s="66" t="str"/>
      <x:c r="I151" s="66" t="str"/>
      <x:c r="J151" s="66" t="str"/>
      <x:c r="K151" s="66" t="str">
        <x:v>SRC-001</x:v>
      </x:c>
      <x:c r="L151" s="67" t="str">
        <x:v>https://www.scribd.com/document/1014775753/1-1-IMO-Adopted-Traffic-Separation-Schemes-on-the-ADMIRALTY-Chart-Series</x:v>
      </x:c>
      <x:c r="M151" s="66" t="str">
        <x:v>Notice 17; scheme label: In the Approaches to Antofagasta</x:v>
      </x:c>
      <x:c r="N151" s="66" t="str">
        <x:v>UKHO-labelled document on third-party host; edition and currency unverified.</x:v>
      </x:c>
      <x:c r="O151" s="66" t="str"/>
      <x:c r="P151" s="67" t="str"/>
      <x:c r="Q151" s="66" t="str">
        <x:v>B29</x:v>
      </x:c>
      <x:c r="R151" s="66" t="str">
        <x:v>Candidate recorded</x:v>
      </x:c>
      <x:c r="S151" s="66" t="str">
        <x:v>Not established</x:v>
      </x:c>
    </x:row>
    <x:row r="152" ht="60" customHeight="1">
      <x:c r="A152" s="66" t="str">
        <x:v>TSS-0146</x:v>
      </x:c>
      <x:c r="B152" s="66" t="str">
        <x:v>Central and South America Pacific coast</x:v>
      </x:c>
      <x:c r="C152" s="66" t="str">
        <x:v>In the Approaches to Quintero Bay</x:v>
      </x:c>
      <x:c r="D152" s="66" t="str">
        <x:v>Source entry; component check pending</x:v>
      </x:c>
      <x:c r="E152" s="66" t="str">
        <x:v>Provisional: official baseline reconciliation pending</x:v>
      </x:c>
      <x:c r="F152" s="66" t="str">
        <x:v>Not researched</x:v>
      </x:c>
      <x:c r="G152" s="66" t="str">
        <x:v>Not researched</x:v>
      </x:c>
      <x:c r="H152" s="66" t="str"/>
      <x:c r="I152" s="66" t="str"/>
      <x:c r="J152" s="66" t="str"/>
      <x:c r="K152" s="66" t="str">
        <x:v>SRC-001</x:v>
      </x:c>
      <x:c r="L152" s="67" t="str">
        <x:v>https://www.scribd.com/document/1014775753/1-1-IMO-Adopted-Traffic-Separation-Schemes-on-the-ADMIRALTY-Chart-Series</x:v>
      </x:c>
      <x:c r="M152" s="66" t="str">
        <x:v>Notice 17; scheme label: In the Approaches to Quintero Bay</x:v>
      </x:c>
      <x:c r="N152" s="66" t="str">
        <x:v>UKHO-labelled document on third-party host; edition and currency unverified.</x:v>
      </x:c>
      <x:c r="O152" s="66" t="str"/>
      <x:c r="P152" s="67" t="str"/>
      <x:c r="Q152" s="66" t="str">
        <x:v>B30</x:v>
      </x:c>
      <x:c r="R152" s="66" t="str">
        <x:v>Candidate recorded</x:v>
      </x:c>
      <x:c r="S152" s="66" t="str">
        <x:v>Not established</x:v>
      </x:c>
    </x:row>
    <x:row r="153" ht="60" customHeight="1">
      <x:c r="A153" s="66" t="str">
        <x:v>TSS-0147</x:v>
      </x:c>
      <x:c r="B153" s="66" t="str">
        <x:v>Central and South America Pacific coast</x:v>
      </x:c>
      <x:c r="C153" s="66" t="str">
        <x:v>In the Approaches to Valparaíso</x:v>
      </x:c>
      <x:c r="D153" s="66" t="str">
        <x:v>Source entry; component check pending</x:v>
      </x:c>
      <x:c r="E153" s="66" t="str">
        <x:v>Provisional: official baseline reconciliation pending</x:v>
      </x:c>
      <x:c r="F153" s="66" t="str">
        <x:v>Not researched</x:v>
      </x:c>
      <x:c r="G153" s="66" t="str">
        <x:v>Not researched</x:v>
      </x:c>
      <x:c r="H153" s="66" t="str"/>
      <x:c r="I153" s="66" t="str"/>
      <x:c r="J153" s="66" t="str"/>
      <x:c r="K153" s="66" t="str">
        <x:v>SRC-001</x:v>
      </x:c>
      <x:c r="L153" s="67" t="str">
        <x:v>https://www.scribd.com/document/1014775753/1-1-IMO-Adopted-Traffic-Separation-Schemes-on-the-ADMIRALTY-Chart-Series</x:v>
      </x:c>
      <x:c r="M153" s="66" t="str">
        <x:v>Notice 17; scheme label: In the Approaches to Valparaíso</x:v>
      </x:c>
      <x:c r="N153" s="66" t="str">
        <x:v>UKHO-labelled document on third-party host; edition and currency unverified.</x:v>
      </x:c>
      <x:c r="O153" s="66" t="str"/>
      <x:c r="P153" s="67" t="str"/>
      <x:c r="Q153" s="66" t="str">
        <x:v>B30</x:v>
      </x:c>
      <x:c r="R153" s="66" t="str">
        <x:v>Candidate recorded</x:v>
      </x:c>
      <x:c r="S153" s="66" t="str">
        <x:v>Not established</x:v>
      </x:c>
    </x:row>
    <x:row r="154" ht="60" customHeight="1">
      <x:c r="A154" s="66" t="str">
        <x:v>TSS-0148</x:v>
      </x:c>
      <x:c r="B154" s="66" t="str">
        <x:v>Central and South America Pacific coast</x:v>
      </x:c>
      <x:c r="C154" s="66" t="str">
        <x:v>In the Approaches to Concepción Bay (Bahía Concepción)</x:v>
      </x:c>
      <x:c r="D154" s="66" t="str">
        <x:v>Source entry; component check pending</x:v>
      </x:c>
      <x:c r="E154" s="66" t="str">
        <x:v>Provisional: official baseline reconciliation pending</x:v>
      </x:c>
      <x:c r="F154" s="66" t="str">
        <x:v>Not researched</x:v>
      </x:c>
      <x:c r="G154" s="66" t="str">
        <x:v>Not researched</x:v>
      </x:c>
      <x:c r="H154" s="66" t="str"/>
      <x:c r="I154" s="66" t="str"/>
      <x:c r="J154" s="66" t="str"/>
      <x:c r="K154" s="66" t="str">
        <x:v>SRC-001</x:v>
      </x:c>
      <x:c r="L154" s="67" t="str">
        <x:v>https://www.scribd.com/document/1014775753/1-1-IMO-Adopted-Traffic-Separation-Schemes-on-the-ADMIRALTY-Chart-Series</x:v>
      </x:c>
      <x:c r="M154" s="66" t="str">
        <x:v>Notice 17; scheme label: In the Approaches to Concepción Bay (Bahía Concepción)</x:v>
      </x:c>
      <x:c r="N154" s="66" t="str">
        <x:v>UKHO-labelled document on third-party host; edition and currency unverified.</x:v>
      </x:c>
      <x:c r="O154" s="66" t="str"/>
      <x:c r="P154" s="67" t="str"/>
      <x:c r="Q154" s="66" t="str">
        <x:v>B30</x:v>
      </x:c>
      <x:c r="R154" s="66" t="str">
        <x:v>Candidate recorded</x:v>
      </x:c>
      <x:c r="S154" s="66" t="str">
        <x:v>Not established</x:v>
      </x:c>
    </x:row>
    <x:row r="155" ht="60" customHeight="1">
      <x:c r="A155" s="66" t="str">
        <x:v>TSS-0149</x:v>
      </x:c>
      <x:c r="B155" s="66" t="str">
        <x:v>Central and South America Pacific coast</x:v>
      </x:c>
      <x:c r="C155" s="66" t="str">
        <x:v>In the Approaches to San Vicente Bay (Bahía San Vicente)</x:v>
      </x:c>
      <x:c r="D155" s="66" t="str">
        <x:v>Source entry; component check pending</x:v>
      </x:c>
      <x:c r="E155" s="66" t="str">
        <x:v>Provisional: official baseline reconciliation pending</x:v>
      </x:c>
      <x:c r="F155" s="66" t="str">
        <x:v>Not researched</x:v>
      </x:c>
      <x:c r="G155" s="66" t="str">
        <x:v>Not researched</x:v>
      </x:c>
      <x:c r="H155" s="66" t="str"/>
      <x:c r="I155" s="66" t="str"/>
      <x:c r="J155" s="66" t="str"/>
      <x:c r="K155" s="66" t="str">
        <x:v>SRC-001</x:v>
      </x:c>
      <x:c r="L155" s="67" t="str">
        <x:v>https://www.scribd.com/document/1014775753/1-1-IMO-Adopted-Traffic-Separation-Schemes-on-the-ADMIRALTY-Chart-Series</x:v>
      </x:c>
      <x:c r="M155" s="66" t="str">
        <x:v>Notice 17; scheme label: In the Approaches to San Vicente Bay (Bahía San Vicente)</x:v>
      </x:c>
      <x:c r="N155" s="66" t="str">
        <x:v>UKHO-labelled document on third-party host; edition and currency unverified.</x:v>
      </x:c>
      <x:c r="O155" s="66" t="str"/>
      <x:c r="P155" s="67" t="str"/>
      <x:c r="Q155" s="66" t="str">
        <x:v>B30</x:v>
      </x:c>
      <x:c r="R155" s="66" t="str">
        <x:v>Candidate recorded</x:v>
      </x:c>
      <x:c r="S155" s="66" t="str">
        <x:v>Not established</x:v>
      </x:c>
    </x:row>
    <x:row r="156" ht="60" customHeight="1">
      <x:c r="A156" s="66" t="str">
        <x:v>TSS-0150</x:v>
      </x:c>
      <x:c r="B156" s="66" t="str">
        <x:v>Central and South America Pacific coast</x:v>
      </x:c>
      <x:c r="C156" s="66" t="str">
        <x:v>In the Approaches to Puntas Arenas</x:v>
      </x:c>
      <x:c r="D156" s="66" t="str">
        <x:v>Source entry; component check pending</x:v>
      </x:c>
      <x:c r="E156" s="66" t="str">
        <x:v>Provisional: official baseline reconciliation pending</x:v>
      </x:c>
      <x:c r="F156" s="66" t="str">
        <x:v>Not researched</x:v>
      </x:c>
      <x:c r="G156" s="66" t="str">
        <x:v>Not researched</x:v>
      </x:c>
      <x:c r="H156" s="66" t="str"/>
      <x:c r="I156" s="66" t="str"/>
      <x:c r="J156" s="66" t="str">
        <x:v>Check official spelling and scheme identity. Source wording retained.</x:v>
      </x:c>
      <x:c r="K156" s="66" t="str">
        <x:v>SRC-001</x:v>
      </x:c>
      <x:c r="L156" s="67" t="str">
        <x:v>https://www.scribd.com/document/1014775753/1-1-IMO-Adopted-Traffic-Separation-Schemes-on-the-ADMIRALTY-Chart-Series</x:v>
      </x:c>
      <x:c r="M156" s="66" t="str">
        <x:v>Notice 17; scheme label: In the Approaches to Puntas Arenas</x:v>
      </x:c>
      <x:c r="N156" s="66" t="str">
        <x:v>UKHO-labelled document on third-party host; edition and currency unverified.</x:v>
      </x:c>
      <x:c r="O156" s="66" t="str"/>
      <x:c r="P156" s="67" t="str"/>
      <x:c r="Q156" s="66" t="str">
        <x:v>B30</x:v>
      </x:c>
      <x:c r="R156" s="66" t="str">
        <x:v>Candidate recorded</x:v>
      </x:c>
      <x:c r="S156" s="66" t="str">
        <x:v>Not established</x:v>
      </x:c>
    </x:row>
    <x:row r="157" ht="60" customHeight="1">
      <x:c r="A157" s="66" t="str">
        <x:v>TSS-0151</x:v>
      </x:c>
      <x:c r="B157" s="66" t="str">
        <x:v>Caribbean, Gulf of Mexico and Panama</x:v>
      </x:c>
      <x:c r="C157" s="66" t="str">
        <x:v>At the approaches to Puerto Cristobal</x:v>
      </x:c>
      <x:c r="D157" s="66" t="str">
        <x:v>Source entry; component check pending</x:v>
      </x:c>
      <x:c r="E157" s="66" t="str">
        <x:v>Provisional: official baseline reconciliation pending</x:v>
      </x:c>
      <x:c r="F157" s="66" t="str">
        <x:v>Not researched</x:v>
      </x:c>
      <x:c r="G157" s="66" t="str">
        <x:v>Not researched</x:v>
      </x:c>
      <x:c r="H157" s="66" t="str"/>
      <x:c r="I157" s="66" t="str"/>
      <x:c r="J157" s="66" t="str"/>
      <x:c r="K157" s="66" t="str">
        <x:v>SRC-001</x:v>
      </x:c>
      <x:c r="L157" s="67" t="str">
        <x:v>https://www.scribd.com/document/1014775753/1-1-IMO-Adopted-Traffic-Separation-Schemes-on-the-ADMIRALTY-Chart-Series</x:v>
      </x:c>
      <x:c r="M157" s="66" t="str">
        <x:v>Notice 17; scheme label: At the approaches to Puerto Cristobal</x:v>
      </x:c>
      <x:c r="N157" s="66" t="str">
        <x:v>UKHO-labelled document on third-party host; edition and currency unverified.</x:v>
      </x:c>
      <x:c r="O157" s="66" t="str"/>
      <x:c r="P157" s="67" t="str"/>
      <x:c r="Q157" s="66" t="str">
        <x:v>B31</x:v>
      </x:c>
      <x:c r="R157" s="66" t="str">
        <x:v>Candidate recorded</x:v>
      </x:c>
      <x:c r="S157" s="66" t="str">
        <x:v>Not established</x:v>
      </x:c>
    </x:row>
    <x:row r="158" ht="60" customHeight="1">
      <x:c r="A158" s="66" t="str">
        <x:v>TSS-0152</x:v>
      </x:c>
      <x:c r="B158" s="66" t="str">
        <x:v>Caribbean, Gulf of Mexico and Panama</x:v>
      </x:c>
      <x:c r="C158" s="66" t="str">
        <x:v>Off Cabo San Antonio</x:v>
      </x:c>
      <x:c r="D158" s="66" t="str">
        <x:v>Source entry; component check pending</x:v>
      </x:c>
      <x:c r="E158" s="66" t="str">
        <x:v>Provisional: official baseline reconciliation pending</x:v>
      </x:c>
      <x:c r="F158" s="66" t="str">
        <x:v>Not researched</x:v>
      </x:c>
      <x:c r="G158" s="66" t="str">
        <x:v>Not researched</x:v>
      </x:c>
      <x:c r="H158" s="66" t="str"/>
      <x:c r="I158" s="66" t="str"/>
      <x:c r="J158" s="66" t="str"/>
      <x:c r="K158" s="66" t="str">
        <x:v>SRC-001</x:v>
      </x:c>
      <x:c r="L158" s="67" t="str">
        <x:v>https://www.scribd.com/document/1014775753/1-1-IMO-Adopted-Traffic-Separation-Schemes-on-the-ADMIRALTY-Chart-Series</x:v>
      </x:c>
      <x:c r="M158" s="66" t="str">
        <x:v>Notice 17; scheme label: Off Cabo San Antonio</x:v>
      </x:c>
      <x:c r="N158" s="66" t="str">
        <x:v>UKHO-labelled document on third-party host; edition and currency unverified.</x:v>
      </x:c>
      <x:c r="O158" s="66" t="str"/>
      <x:c r="P158" s="67" t="str"/>
      <x:c r="Q158" s="66" t="str">
        <x:v>B31</x:v>
      </x:c>
      <x:c r="R158" s="66" t="str">
        <x:v>Candidate recorded</x:v>
      </x:c>
      <x:c r="S158" s="66" t="str">
        <x:v>Not established</x:v>
      </x:c>
    </x:row>
    <x:row r="159" ht="60" customHeight="1">
      <x:c r="A159" s="66" t="str">
        <x:v>TSS-0153</x:v>
      </x:c>
      <x:c r="B159" s="66" t="str">
        <x:v>Caribbean, Gulf of Mexico and Panama</x:v>
      </x:c>
      <x:c r="C159" s="66" t="str">
        <x:v>Off La Tabla</x:v>
      </x:c>
      <x:c r="D159" s="66" t="str">
        <x:v>Source entry; component check pending</x:v>
      </x:c>
      <x:c r="E159" s="66" t="str">
        <x:v>Provisional: official baseline reconciliation pending</x:v>
      </x:c>
      <x:c r="F159" s="66" t="str">
        <x:v>Not researched</x:v>
      </x:c>
      <x:c r="G159" s="66" t="str">
        <x:v>Not researched</x:v>
      </x:c>
      <x:c r="H159" s="66" t="str"/>
      <x:c r="I159" s="66" t="str"/>
      <x:c r="J159" s="66" t="str"/>
      <x:c r="K159" s="66" t="str">
        <x:v>SRC-001</x:v>
      </x:c>
      <x:c r="L159" s="67" t="str">
        <x:v>https://www.scribd.com/document/1014775753/1-1-IMO-Adopted-Traffic-Separation-Schemes-on-the-ADMIRALTY-Chart-Series</x:v>
      </x:c>
      <x:c r="M159" s="66" t="str">
        <x:v>Notice 17; scheme label: Off La Tabla</x:v>
      </x:c>
      <x:c r="N159" s="66" t="str">
        <x:v>UKHO-labelled document on third-party host; edition and currency unverified.</x:v>
      </x:c>
      <x:c r="O159" s="66" t="str"/>
      <x:c r="P159" s="67" t="str"/>
      <x:c r="Q159" s="66" t="str">
        <x:v>B31</x:v>
      </x:c>
      <x:c r="R159" s="66" t="str">
        <x:v>Candidate recorded</x:v>
      </x:c>
      <x:c r="S159" s="66" t="str">
        <x:v>Not established</x:v>
      </x:c>
    </x:row>
    <x:row r="160" ht="60" customHeight="1">
      <x:c r="A160" s="66" t="str">
        <x:v>TSS-0154</x:v>
      </x:c>
      <x:c r="B160" s="66" t="str">
        <x:v>Caribbean, Gulf of Mexico and Panama</x:v>
      </x:c>
      <x:c r="C160" s="66" t="str">
        <x:v>Off Costa de Matanzas</x:v>
      </x:c>
      <x:c r="D160" s="66" t="str">
        <x:v>Source entry; component check pending</x:v>
      </x:c>
      <x:c r="E160" s="66" t="str">
        <x:v>Provisional: official baseline reconciliation pending</x:v>
      </x:c>
      <x:c r="F160" s="66" t="str">
        <x:v>Not researched</x:v>
      </x:c>
      <x:c r="G160" s="66" t="str">
        <x:v>Not researched</x:v>
      </x:c>
      <x:c r="H160" s="66" t="str"/>
      <x:c r="I160" s="66" t="str"/>
      <x:c r="J160" s="66" t="str"/>
      <x:c r="K160" s="66" t="str">
        <x:v>SRC-001</x:v>
      </x:c>
      <x:c r="L160" s="67" t="str">
        <x:v>https://www.scribd.com/document/1014775753/1-1-IMO-Adopted-Traffic-Separation-Schemes-on-the-ADMIRALTY-Chart-Series</x:v>
      </x:c>
      <x:c r="M160" s="66" t="str">
        <x:v>Notice 17; scheme label: Off Costa de Matanzas</x:v>
      </x:c>
      <x:c r="N160" s="66" t="str">
        <x:v>UKHO-labelled document on third-party host; edition and currency unverified.</x:v>
      </x:c>
      <x:c r="O160" s="66" t="str"/>
      <x:c r="P160" s="67" t="str"/>
      <x:c r="Q160" s="66" t="str">
        <x:v>B31</x:v>
      </x:c>
      <x:c r="R160" s="66" t="str">
        <x:v>Candidate recorded</x:v>
      </x:c>
      <x:c r="S160" s="66" t="str">
        <x:v>Not established</x:v>
      </x:c>
    </x:row>
    <x:row r="161" ht="60" customHeight="1">
      <x:c r="A161" s="66" t="str">
        <x:v>TSS-0155</x:v>
      </x:c>
      <x:c r="B161" s="66" t="str">
        <x:v>Caribbean, Gulf of Mexico and Panama</x:v>
      </x:c>
      <x:c r="C161" s="66" t="str">
        <x:v>In the Old Bahama Channel</x:v>
      </x:c>
      <x:c r="D161" s="66" t="str">
        <x:v>Source entry; component check pending</x:v>
      </x:c>
      <x:c r="E161" s="66" t="str">
        <x:v>Provisional: official baseline reconciliation pending</x:v>
      </x:c>
      <x:c r="F161" s="66" t="str">
        <x:v>Not researched</x:v>
      </x:c>
      <x:c r="G161" s="66" t="str">
        <x:v>Not researched</x:v>
      </x:c>
      <x:c r="H161" s="66" t="str"/>
      <x:c r="I161" s="66" t="str"/>
      <x:c r="J161" s="66" t="str"/>
      <x:c r="K161" s="66" t="str">
        <x:v>SRC-001</x:v>
      </x:c>
      <x:c r="L161" s="67" t="str">
        <x:v>https://www.scribd.com/document/1014775753/1-1-IMO-Adopted-Traffic-Separation-Schemes-on-the-ADMIRALTY-Chart-Series</x:v>
      </x:c>
      <x:c r="M161" s="66" t="str">
        <x:v>Notice 17; scheme label: In the Old Bahama Channel</x:v>
      </x:c>
      <x:c r="N161" s="66" t="str">
        <x:v>UKHO-labelled document on third-party host; edition and currency unverified.</x:v>
      </x:c>
      <x:c r="O161" s="66" t="str"/>
      <x:c r="P161" s="67" t="str"/>
      <x:c r="Q161" s="66" t="str">
        <x:v>B31</x:v>
      </x:c>
      <x:c r="R161" s="66" t="str">
        <x:v>Candidate recorded</x:v>
      </x:c>
      <x:c r="S161" s="66" t="str">
        <x:v>Not established</x:v>
      </x:c>
    </x:row>
    <x:row r="162" ht="60" customHeight="1">
      <x:c r="A162" s="66" t="str">
        <x:v>TSS-0156</x:v>
      </x:c>
      <x:c r="B162" s="66" t="str">
        <x:v>Caribbean, Gulf of Mexico and Panama</x:v>
      </x:c>
      <x:c r="C162" s="66" t="str">
        <x:v>Off Punta Maternillos</x:v>
      </x:c>
      <x:c r="D162" s="66" t="str">
        <x:v>Source entry; component check pending</x:v>
      </x:c>
      <x:c r="E162" s="66" t="str">
        <x:v>Provisional: official baseline reconciliation pending</x:v>
      </x:c>
      <x:c r="F162" s="66" t="str">
        <x:v>Not researched</x:v>
      </x:c>
      <x:c r="G162" s="66" t="str">
        <x:v>Not researched</x:v>
      </x:c>
      <x:c r="H162" s="66" t="str"/>
      <x:c r="I162" s="66" t="str"/>
      <x:c r="J162" s="66" t="str"/>
      <x:c r="K162" s="66" t="str">
        <x:v>SRC-001</x:v>
      </x:c>
      <x:c r="L162" s="67" t="str">
        <x:v>https://www.scribd.com/document/1014775753/1-1-IMO-Adopted-Traffic-Separation-Schemes-on-the-ADMIRALTY-Chart-Series</x:v>
      </x:c>
      <x:c r="M162" s="66" t="str">
        <x:v>Notice 17; scheme label: Off Punta Maternillos</x:v>
      </x:c>
      <x:c r="N162" s="66" t="str">
        <x:v>UKHO-labelled document on third-party host; edition and currency unverified.</x:v>
      </x:c>
      <x:c r="O162" s="66" t="str"/>
      <x:c r="P162" s="67" t="str"/>
      <x:c r="Q162" s="66" t="str">
        <x:v>B32</x:v>
      </x:c>
      <x:c r="R162" s="66" t="str">
        <x:v>Candidate recorded</x:v>
      </x:c>
      <x:c r="S162" s="66" t="str">
        <x:v>Not established</x:v>
      </x:c>
    </x:row>
    <x:row r="163" ht="60" customHeight="1">
      <x:c r="A163" s="66" t="str">
        <x:v>TSS-0157</x:v>
      </x:c>
      <x:c r="B163" s="66" t="str">
        <x:v>Caribbean, Gulf of Mexico and Panama</x:v>
      </x:c>
      <x:c r="C163" s="66" t="str">
        <x:v>Off Punta Lucretia</x:v>
      </x:c>
      <x:c r="D163" s="66" t="str">
        <x:v>Source entry; component check pending</x:v>
      </x:c>
      <x:c r="E163" s="66" t="str">
        <x:v>Provisional: official baseline reconciliation pending</x:v>
      </x:c>
      <x:c r="F163" s="66" t="str">
        <x:v>Not researched</x:v>
      </x:c>
      <x:c r="G163" s="66" t="str">
        <x:v>Not researched</x:v>
      </x:c>
      <x:c r="H163" s="66" t="str"/>
      <x:c r="I163" s="66" t="str"/>
      <x:c r="J163" s="66" t="str"/>
      <x:c r="K163" s="66" t="str">
        <x:v>SRC-001</x:v>
      </x:c>
      <x:c r="L163" s="67" t="str">
        <x:v>https://www.scribd.com/document/1014775753/1-1-IMO-Adopted-Traffic-Separation-Schemes-on-the-ADMIRALTY-Chart-Series</x:v>
      </x:c>
      <x:c r="M163" s="66" t="str">
        <x:v>Notice 17; scheme label: Off Punta Lucretia</x:v>
      </x:c>
      <x:c r="N163" s="66" t="str">
        <x:v>UKHO-labelled document on third-party host; edition and currency unverified.</x:v>
      </x:c>
      <x:c r="O163" s="66" t="str"/>
      <x:c r="P163" s="67" t="str"/>
      <x:c r="Q163" s="66" t="str">
        <x:v>B32</x:v>
      </x:c>
      <x:c r="R163" s="66" t="str">
        <x:v>Candidate recorded</x:v>
      </x:c>
      <x:c r="S163" s="66" t="str">
        <x:v>Not established</x:v>
      </x:c>
    </x:row>
    <x:row r="164" ht="60" customHeight="1">
      <x:c r="A164" s="66" t="str">
        <x:v>TSS-0158</x:v>
      </x:c>
      <x:c r="B164" s="66" t="str">
        <x:v>Caribbean, Gulf of Mexico and Panama</x:v>
      </x:c>
      <x:c r="C164" s="66" t="str">
        <x:v>Off Cabo Maisi</x:v>
      </x:c>
      <x:c r="D164" s="66" t="str">
        <x:v>Source entry; component check pending</x:v>
      </x:c>
      <x:c r="E164" s="66" t="str">
        <x:v>Provisional: official baseline reconciliation pending</x:v>
      </x:c>
      <x:c r="F164" s="66" t="str">
        <x:v>Not researched</x:v>
      </x:c>
      <x:c r="G164" s="66" t="str">
        <x:v>Not researched</x:v>
      </x:c>
      <x:c r="H164" s="66" t="str"/>
      <x:c r="I164" s="66" t="str"/>
      <x:c r="J164" s="66" t="str"/>
      <x:c r="K164" s="66" t="str">
        <x:v>SRC-001</x:v>
      </x:c>
      <x:c r="L164" s="67" t="str">
        <x:v>https://www.scribd.com/document/1014775753/1-1-IMO-Adopted-Traffic-Separation-Schemes-on-the-ADMIRALTY-Chart-Series</x:v>
      </x:c>
      <x:c r="M164" s="66" t="str">
        <x:v>Notice 17; scheme label: Off Cabo Maisi</x:v>
      </x:c>
      <x:c r="N164" s="66" t="str">
        <x:v>UKHO-labelled document on third-party host; edition and currency unverified.</x:v>
      </x:c>
      <x:c r="O164" s="66" t="str"/>
      <x:c r="P164" s="67" t="str"/>
      <x:c r="Q164" s="66" t="str">
        <x:v>B32</x:v>
      </x:c>
      <x:c r="R164" s="66" t="str">
        <x:v>Candidate recorded</x:v>
      </x:c>
      <x:c r="S164" s="66" t="str">
        <x:v>Not established</x:v>
      </x:c>
    </x:row>
    <x:row r="165" ht="60" customHeight="1">
      <x:c r="A165" s="66" t="str">
        <x:v>TSS-0159</x:v>
      </x:c>
      <x:c r="B165" s="66" t="str">
        <x:v>Caribbean, Gulf of Mexico and Panama</x:v>
      </x:c>
      <x:c r="C165" s="66" t="str">
        <x:v>In the Approaches to the Port of Veracruz</x:v>
      </x:c>
      <x:c r="D165" s="66" t="str">
        <x:v>Source entry; component check pending</x:v>
      </x:c>
      <x:c r="E165" s="66" t="str">
        <x:v>Provisional: official baseline reconciliation pending</x:v>
      </x:c>
      <x:c r="F165" s="66" t="str">
        <x:v>Not researched</x:v>
      </x:c>
      <x:c r="G165" s="66" t="str">
        <x:v>Not researched</x:v>
      </x:c>
      <x:c r="H165" s="66" t="str"/>
      <x:c r="I165" s="66" t="str"/>
      <x:c r="J165" s="66" t="str"/>
      <x:c r="K165" s="66" t="str">
        <x:v>SRC-001</x:v>
      </x:c>
      <x:c r="L165" s="67" t="str">
        <x:v>https://www.scribd.com/document/1014775753/1-1-IMO-Adopted-Traffic-Separation-Schemes-on-the-ADMIRALTY-Chart-Series</x:v>
      </x:c>
      <x:c r="M165" s="66" t="str">
        <x:v>Notice 17; scheme label: In the Approaches to the Port of Veracruz</x:v>
      </x:c>
      <x:c r="N165" s="66" t="str">
        <x:v>UKHO-labelled document on third-party host; edition and currency unverified.</x:v>
      </x:c>
      <x:c r="O165" s="66" t="str"/>
      <x:c r="P165" s="67" t="str"/>
      <x:c r="Q165" s="66" t="str">
        <x:v>B32</x:v>
      </x:c>
      <x:c r="R165" s="66" t="str">
        <x:v>Candidate recorded</x:v>
      </x:c>
      <x:c r="S165" s="66" t="str">
        <x:v>Not established</x:v>
      </x:c>
    </x:row>
    <x:row r="166" ht="60" customHeight="1">
      <x:c r="A166" s="66" t="str">
        <x:v>TSS-0160</x:v>
      </x:c>
      <x:c r="B166" s="66" t="str">
        <x:v>Caribbean, Gulf of Mexico and Panama</x:v>
      </x:c>
      <x:c r="C166" s="66" t="str">
        <x:v>In the Approaches to Galveston Bay</x:v>
      </x:c>
      <x:c r="D166" s="66" t="str">
        <x:v>Source entry; component check pending</x:v>
      </x:c>
      <x:c r="E166" s="66" t="str">
        <x:v>Provisional: official baseline reconciliation pending</x:v>
      </x:c>
      <x:c r="F166" s="66" t="str">
        <x:v>Named VTS identified; TSS relationship proposed</x:v>
      </x:c>
      <x:c r="G166" s="66" t="str">
        <x:v>Not researched</x:v>
      </x:c>
      <x:c r="H166" s="66" t="str">
        <x:v>VTS-013</x:v>
      </x:c>
      <x:c r="I166" s="66" t="str"/>
      <x:c r="J166" s="66" t="str">
        <x:v>The offshore Galveston TSS is an approach lead. Service existence does not establish offshore coverage.</x:v>
      </x:c>
      <x:c r="K166" s="66" t="str">
        <x:v>SRC-001</x:v>
      </x:c>
      <x:c r="L166" s="67" t="str">
        <x:v>https://www.scribd.com/document/1014775753/1-1-IMO-Adopted-Traffic-Separation-Schemes-on-the-ADMIRALTY-Chart-Series</x:v>
      </x:c>
      <x:c r="M166" s="66" t="str">
        <x:v>Notice 17; scheme label: In the Approaches to Galveston Bay</x:v>
      </x:c>
      <x:c r="N166" s="66" t="str">
        <x:v>UKHO-labelled document on third-party host; edition and currency unverified.</x:v>
      </x:c>
      <x:c r="O166" s="66" t="str">
        <x:v>SRC-017</x:v>
      </x:c>
      <x:c r="P166" s="67" t="str">
        <x:v>https://www.navcen.uscg.gov/vessel-traffic-services-locations</x:v>
      </x:c>
      <x:c r="Q166" s="66" t="str">
        <x:v>B32</x:v>
      </x:c>
      <x:c r="R166" s="66" t="str">
        <x:v>Association proposed</x:v>
      </x:c>
      <x:c r="S166" s="66" t="str">
        <x:v>2026-09-29</x:v>
      </x:c>
    </x:row>
    <x:row r="167" ht="60" customHeight="1">
      <x:c r="A167" s="66" t="str">
        <x:v>TSS-0161</x:v>
      </x:c>
      <x:c r="B167" s="66" t="str">
        <x:v>Central and South America Pacific coast</x:v>
      </x:c>
      <x:c r="C167" s="66" t="str">
        <x:v>On the Pacific Coast of Panama</x:v>
      </x:c>
      <x:c r="D167" s="66" t="str">
        <x:v>Source entry; component check pending</x:v>
      </x:c>
      <x:c r="E167" s="66" t="str">
        <x:v>Provisional: official baseline reconciliation pending</x:v>
      </x:c>
      <x:c r="F167" s="66" t="str">
        <x:v>Not researched</x:v>
      </x:c>
      <x:c r="G167" s="66" t="str">
        <x:v>Not researched</x:v>
      </x:c>
      <x:c r="H167" s="66" t="str"/>
      <x:c r="I167" s="66" t="str"/>
      <x:c r="J167" s="66" t="str">
        <x:v>Geographical classification corrected to Pacific; source label retained.</x:v>
      </x:c>
      <x:c r="K167" s="66" t="str">
        <x:v>SRC-001</x:v>
      </x:c>
      <x:c r="L167" s="67" t="str">
        <x:v>https://www.scribd.com/document/1014775753/1-1-IMO-Adopted-Traffic-Separation-Schemes-on-the-ADMIRALTY-Chart-Series</x:v>
      </x:c>
      <x:c r="M167" s="66" t="str">
        <x:v>Notice 17; scheme label: On the Pacific Coast of Panama</x:v>
      </x:c>
      <x:c r="N167" s="66" t="str">
        <x:v>UKHO-labelled document on third-party host; edition and currency unverified.</x:v>
      </x:c>
      <x:c r="O167" s="66" t="str"/>
      <x:c r="P167" s="67" t="str"/>
      <x:c r="Q167" s="66" t="str">
        <x:v>B33</x:v>
      </x:c>
      <x:c r="R167" s="66" t="str">
        <x:v>Candidate recorded</x:v>
      </x:c>
      <x:c r="S167" s="66" t="str">
        <x:v>Not established</x:v>
      </x:c>
    </x:row>
    <x:row r="168" ht="60" customHeight="1">
      <x:c r="A168" s="66" t="str">
        <x:v>TSS-0162</x:v>
      </x:c>
      <x:c r="B168" s="66" t="str">
        <x:v>North America Atlantic coast</x:v>
      </x:c>
      <x:c r="C168" s="66" t="str">
        <x:v>In the Approaches to the Cape Fear River</x:v>
      </x:c>
      <x:c r="D168" s="66" t="str">
        <x:v>Source entry; component check pending</x:v>
      </x:c>
      <x:c r="E168" s="66" t="str">
        <x:v>Provisional: official baseline reconciliation pending</x:v>
      </x:c>
      <x:c r="F168" s="66" t="str">
        <x:v>Not researched</x:v>
      </x:c>
      <x:c r="G168" s="66" t="str">
        <x:v>Not researched</x:v>
      </x:c>
      <x:c r="H168" s="66" t="str"/>
      <x:c r="I168" s="66" t="str"/>
      <x:c r="J168" s="66" t="str"/>
      <x:c r="K168" s="66" t="str">
        <x:v>SRC-001</x:v>
      </x:c>
      <x:c r="L168" s="67" t="str">
        <x:v>https://www.scribd.com/document/1014775753/1-1-IMO-Adopted-Traffic-Separation-Schemes-on-the-ADMIRALTY-Chart-Series</x:v>
      </x:c>
      <x:c r="M168" s="66" t="str">
        <x:v>Notice 17; scheme label: In the Approaches to the Cape Fear River</x:v>
      </x:c>
      <x:c r="N168" s="66" t="str">
        <x:v>UKHO-labelled document on third-party host; edition and currency unverified.</x:v>
      </x:c>
      <x:c r="O168" s="66" t="str"/>
      <x:c r="P168" s="67" t="str"/>
      <x:c r="Q168" s="66" t="str">
        <x:v>B33</x:v>
      </x:c>
      <x:c r="R168" s="66" t="str">
        <x:v>Candidate recorded</x:v>
      </x:c>
      <x:c r="S168" s="66" t="str">
        <x:v>Not established</x:v>
      </x:c>
    </x:row>
    <x:row r="169" ht="60" customHeight="1">
      <x:c r="A169" s="66" t="str">
        <x:v>TSS-0163</x:v>
      </x:c>
      <x:c r="B169" s="66" t="str">
        <x:v>North America Atlantic coast</x:v>
      </x:c>
      <x:c r="C169" s="66" t="str">
        <x:v>In the Approaches to Chesapeake Bay</x:v>
      </x:c>
      <x:c r="D169" s="66" t="str">
        <x:v>Source entry; component check pending</x:v>
      </x:c>
      <x:c r="E169" s="66" t="str">
        <x:v>Provisional: official baseline reconciliation pending</x:v>
      </x:c>
      <x:c r="F169" s="66" t="str">
        <x:v>Not researched</x:v>
      </x:c>
      <x:c r="G169" s="66" t="str">
        <x:v>Not researched</x:v>
      </x:c>
      <x:c r="H169" s="66" t="str"/>
      <x:c r="I169" s="66" t="str"/>
      <x:c r="J169" s="66" t="str"/>
      <x:c r="K169" s="66" t="str">
        <x:v>SRC-001</x:v>
      </x:c>
      <x:c r="L169" s="67" t="str">
        <x:v>https://www.scribd.com/document/1014775753/1-1-IMO-Adopted-Traffic-Separation-Schemes-on-the-ADMIRALTY-Chart-Series</x:v>
      </x:c>
      <x:c r="M169" s="66" t="str">
        <x:v>Notice 17; scheme label: In the Approaches to Chesapeake Bay</x:v>
      </x:c>
      <x:c r="N169" s="66" t="str">
        <x:v>UKHO-labelled document on third-party host; edition and currency unverified.</x:v>
      </x:c>
      <x:c r="O169" s="66" t="str"/>
      <x:c r="P169" s="67" t="str"/>
      <x:c r="Q169" s="66" t="str">
        <x:v>B33</x:v>
      </x:c>
      <x:c r="R169" s="66" t="str">
        <x:v>Candidate recorded</x:v>
      </x:c>
      <x:c r="S169" s="66" t="str">
        <x:v>Not established</x:v>
      </x:c>
    </x:row>
    <x:row r="170" ht="60" customHeight="1">
      <x:c r="A170" s="66" t="str">
        <x:v>TSS-0164</x:v>
      </x:c>
      <x:c r="B170" s="66" t="str">
        <x:v>North America Atlantic coast</x:v>
      </x:c>
      <x:c r="C170" s="66" t="str">
        <x:v>Off Delaware Bay</x:v>
      </x:c>
      <x:c r="D170" s="66" t="str">
        <x:v>Source entry; component check pending</x:v>
      </x:c>
      <x:c r="E170" s="66" t="str">
        <x:v>Provisional: official baseline reconciliation pending</x:v>
      </x:c>
      <x:c r="F170" s="66" t="str">
        <x:v>Not researched</x:v>
      </x:c>
      <x:c r="G170" s="66" t="str">
        <x:v>Not researched</x:v>
      </x:c>
      <x:c r="H170" s="66" t="str"/>
      <x:c r="I170" s="66" t="str"/>
      <x:c r="J170" s="66" t="str"/>
      <x:c r="K170" s="66" t="str">
        <x:v>SRC-001</x:v>
      </x:c>
      <x:c r="L170" s="67" t="str">
        <x:v>https://www.scribd.com/document/1014775753/1-1-IMO-Adopted-Traffic-Separation-Schemes-on-the-ADMIRALTY-Chart-Series</x:v>
      </x:c>
      <x:c r="M170" s="66" t="str">
        <x:v>Notice 17; scheme label: Off Delaware Bay</x:v>
      </x:c>
      <x:c r="N170" s="66" t="str">
        <x:v>UKHO-labelled document on third-party host; edition and currency unverified.</x:v>
      </x:c>
      <x:c r="O170" s="66" t="str"/>
      <x:c r="P170" s="67" t="str"/>
      <x:c r="Q170" s="66" t="str">
        <x:v>B33</x:v>
      </x:c>
      <x:c r="R170" s="66" t="str">
        <x:v>Candidate recorded</x:v>
      </x:c>
      <x:c r="S170" s="66" t="str">
        <x:v>Not established</x:v>
      </x:c>
    </x:row>
    <x:row r="171" ht="60" customHeight="1">
      <x:c r="A171" s="66" t="str">
        <x:v>TSS-0165</x:v>
      </x:c>
      <x:c r="B171" s="66" t="str">
        <x:v>North America Atlantic coast</x:v>
      </x:c>
      <x:c r="C171" s="66" t="str">
        <x:v>Off New York</x:v>
      </x:c>
      <x:c r="D171" s="66" t="str">
        <x:v>Source entry; component check pending</x:v>
      </x:c>
      <x:c r="E171" s="66" t="str">
        <x:v>Provisional: official baseline reconciliation pending</x:v>
      </x:c>
      <x:c r="F171" s="66" t="str">
        <x:v>Named VTS identified; TSS relationship proposed</x:v>
      </x:c>
      <x:c r="G171" s="66" t="str">
        <x:v>Not researched</x:v>
      </x:c>
      <x:c r="H171" s="66" t="str">
        <x:v>VTS-014</x:v>
      </x:c>
      <x:c r="I171" s="66" t="str"/>
      <x:c r="J171" s="66" t="str">
        <x:v>The offshore New York TSS link needs geographical and applicability confirmation.</x:v>
      </x:c>
      <x:c r="K171" s="66" t="str">
        <x:v>SRC-001</x:v>
      </x:c>
      <x:c r="L171" s="67" t="str">
        <x:v>https://www.scribd.com/document/1014775753/1-1-IMO-Adopted-Traffic-Separation-Schemes-on-the-ADMIRALTY-Chart-Series</x:v>
      </x:c>
      <x:c r="M171" s="66" t="str">
        <x:v>Notice 17; scheme label: Off New York</x:v>
      </x:c>
      <x:c r="N171" s="66" t="str">
        <x:v>UKHO-labelled document on third-party host; edition and currency unverified.</x:v>
      </x:c>
      <x:c r="O171" s="66" t="str">
        <x:v>SRC-017</x:v>
      </x:c>
      <x:c r="P171" s="67" t="str">
        <x:v>https://www.navcen.uscg.gov/vessel-traffic-services-locations</x:v>
      </x:c>
      <x:c r="Q171" s="66" t="str">
        <x:v>B33</x:v>
      </x:c>
      <x:c r="R171" s="66" t="str">
        <x:v>Association proposed</x:v>
      </x:c>
      <x:c r="S171" s="66" t="str">
        <x:v>2026-09-29</x:v>
      </x:c>
    </x:row>
    <x:row r="172" ht="60" customHeight="1">
      <x:c r="A172" s="66" t="str">
        <x:v>TSS-0166</x:v>
      </x:c>
      <x:c r="B172" s="66" t="str">
        <x:v>North America Atlantic coast</x:v>
      </x:c>
      <x:c r="C172" s="66" t="str">
        <x:v>In the Approaches to Narragansett Bay, Rhode Island and Buzzards Bay, Massachusetts</x:v>
      </x:c>
      <x:c r="D172" s="66" t="str">
        <x:v>Source entry; component check pending</x:v>
      </x:c>
      <x:c r="E172" s="66" t="str">
        <x:v>Provisional: official baseline reconciliation pending</x:v>
      </x:c>
      <x:c r="F172" s="66" t="str">
        <x:v>Not researched</x:v>
      </x:c>
      <x:c r="G172" s="66" t="str">
        <x:v>Not researched</x:v>
      </x:c>
      <x:c r="H172" s="66" t="str"/>
      <x:c r="I172" s="66" t="str"/>
      <x:c r="J172" s="66" t="str"/>
      <x:c r="K172" s="66" t="str">
        <x:v>SRC-001</x:v>
      </x:c>
      <x:c r="L172" s="67" t="str">
        <x:v>https://www.scribd.com/document/1014775753/1-1-IMO-Adopted-Traffic-Separation-Schemes-on-the-ADMIRALTY-Chart-Series</x:v>
      </x:c>
      <x:c r="M172" s="66" t="str">
        <x:v>Notice 17; scheme label: In the Approaches to Narragansett Bay, Rhode Island and Buzzards Bay, Massachusetts</x:v>
      </x:c>
      <x:c r="N172" s="66" t="str">
        <x:v>UKHO-labelled document on third-party host; edition and currency unverified.</x:v>
      </x:c>
      <x:c r="O172" s="66" t="str"/>
      <x:c r="P172" s="67" t="str"/>
      <x:c r="Q172" s="66" t="str">
        <x:v>B34</x:v>
      </x:c>
      <x:c r="R172" s="66" t="str">
        <x:v>Candidate recorded</x:v>
      </x:c>
      <x:c r="S172" s="66" t="str">
        <x:v>Not established</x:v>
      </x:c>
    </x:row>
    <x:row r="173" ht="60" customHeight="1">
      <x:c r="A173" s="66" t="str">
        <x:v>TSS-0167</x:v>
      </x:c>
      <x:c r="B173" s="66" t="str">
        <x:v>North America Atlantic coast</x:v>
      </x:c>
      <x:c r="C173" s="66" t="str">
        <x:v>In the Approaches to Boston, Massachusetts</x:v>
      </x:c>
      <x:c r="D173" s="66" t="str">
        <x:v>Source entry; component check pending</x:v>
      </x:c>
      <x:c r="E173" s="66" t="str">
        <x:v>Provisional: official baseline reconciliation pending</x:v>
      </x:c>
      <x:c r="F173" s="66" t="str">
        <x:v>Not researched</x:v>
      </x:c>
      <x:c r="G173" s="66" t="str">
        <x:v>Not researched</x:v>
      </x:c>
      <x:c r="H173" s="66" t="str"/>
      <x:c r="I173" s="66" t="str"/>
      <x:c r="J173" s="66" t="str"/>
      <x:c r="K173" s="66" t="str">
        <x:v>SRC-001</x:v>
      </x:c>
      <x:c r="L173" s="67" t="str">
        <x:v>https://www.scribd.com/document/1014775753/1-1-IMO-Adopted-Traffic-Separation-Schemes-on-the-ADMIRALTY-Chart-Series</x:v>
      </x:c>
      <x:c r="M173" s="66" t="str">
        <x:v>Notice 17; scheme label: In the Approaches to Boston, Massachusetts</x:v>
      </x:c>
      <x:c r="N173" s="66" t="str">
        <x:v>UKHO-labelled document on third-party host; edition and currency unverified.</x:v>
      </x:c>
      <x:c r="O173" s="66" t="str"/>
      <x:c r="P173" s="67" t="str"/>
      <x:c r="Q173" s="66" t="str">
        <x:v>B34</x:v>
      </x:c>
      <x:c r="R173" s="66" t="str">
        <x:v>Candidate recorded</x:v>
      </x:c>
      <x:c r="S173" s="66" t="str">
        <x:v>Not established</x:v>
      </x:c>
    </x:row>
    <x:row r="174" ht="60" customHeight="1">
      <x:c r="A174" s="66" t="str">
        <x:v>TSS-0168</x:v>
      </x:c>
      <x:c r="B174" s="66" t="str">
        <x:v>North America Atlantic coast</x:v>
      </x:c>
      <x:c r="C174" s="66" t="str">
        <x:v>In the Approaches to Portland, Maine</x:v>
      </x:c>
      <x:c r="D174" s="66" t="str">
        <x:v>Source entry; component check pending</x:v>
      </x:c>
      <x:c r="E174" s="66" t="str">
        <x:v>Provisional: official baseline reconciliation pending</x:v>
      </x:c>
      <x:c r="F174" s="66" t="str">
        <x:v>Not researched</x:v>
      </x:c>
      <x:c r="G174" s="66" t="str">
        <x:v>Not researched</x:v>
      </x:c>
      <x:c r="H174" s="66" t="str"/>
      <x:c r="I174" s="66" t="str"/>
      <x:c r="J174" s="66" t="str"/>
      <x:c r="K174" s="66" t="str">
        <x:v>SRC-001</x:v>
      </x:c>
      <x:c r="L174" s="67" t="str">
        <x:v>https://www.scribd.com/document/1014775753/1-1-IMO-Adopted-Traffic-Separation-Schemes-on-the-ADMIRALTY-Chart-Series</x:v>
      </x:c>
      <x:c r="M174" s="66" t="str">
        <x:v>Notice 17; scheme label: In the Approaches to Portland, Maine</x:v>
      </x:c>
      <x:c r="N174" s="66" t="str">
        <x:v>UKHO-labelled document on third-party host; edition and currency unverified.</x:v>
      </x:c>
      <x:c r="O174" s="66" t="str"/>
      <x:c r="P174" s="67" t="str"/>
      <x:c r="Q174" s="66" t="str">
        <x:v>B34</x:v>
      </x:c>
      <x:c r="R174" s="66" t="str">
        <x:v>Candidate recorded</x:v>
      </x:c>
      <x:c r="S174" s="66" t="str">
        <x:v>Not established</x:v>
      </x:c>
    </x:row>
    <x:row r="175" ht="60" customHeight="1">
      <x:c r="A175" s="66" t="str">
        <x:v>TSS-0169</x:v>
      </x:c>
      <x:c r="B175" s="66" t="str">
        <x:v>North America Atlantic coast</x:v>
      </x:c>
      <x:c r="C175" s="66" t="str">
        <x:v>In the Bay of Fundy and approaches</x:v>
      </x:c>
      <x:c r="D175" s="66" t="str">
        <x:v>Source entry; component check pending</x:v>
      </x:c>
      <x:c r="E175" s="66" t="str">
        <x:v>Provisional: official baseline reconciliation pending</x:v>
      </x:c>
      <x:c r="F175" s="66" t="str">
        <x:v>Not researched</x:v>
      </x:c>
      <x:c r="G175" s="66" t="str">
        <x:v>Not researched</x:v>
      </x:c>
      <x:c r="H175" s="66" t="str"/>
      <x:c r="I175" s="66" t="str"/>
      <x:c r="J175" s="66" t="str"/>
      <x:c r="K175" s="66" t="str">
        <x:v>SRC-001</x:v>
      </x:c>
      <x:c r="L175" s="67" t="str">
        <x:v>https://www.scribd.com/document/1014775753/1-1-IMO-Adopted-Traffic-Separation-Schemes-on-the-ADMIRALTY-Chart-Series</x:v>
      </x:c>
      <x:c r="M175" s="66" t="str">
        <x:v>Notice 17; scheme label: In the Bay of Fundy and approaches</x:v>
      </x:c>
      <x:c r="N175" s="66" t="str">
        <x:v>UKHO-labelled document on third-party host; edition and currency unverified.</x:v>
      </x:c>
      <x:c r="O175" s="66" t="str"/>
      <x:c r="P175" s="67" t="str"/>
      <x:c r="Q175" s="66" t="str">
        <x:v>B34</x:v>
      </x:c>
      <x:c r="R175" s="66" t="str">
        <x:v>Candidate recorded</x:v>
      </x:c>
      <x:c r="S175" s="66" t="str">
        <x:v>Not established</x:v>
      </x:c>
    </x:row>
    <x:row r="176" ht="60" customHeight="1">
      <x:c r="A176" s="66" t="str">
        <x:v>TSS-0170</x:v>
      </x:c>
      <x:c r="B176" s="66" t="str">
        <x:v>North America Atlantic coast</x:v>
      </x:c>
      <x:c r="C176" s="66" t="str">
        <x:v>In the Approaches to Chedabucto Bay</x:v>
      </x:c>
      <x:c r="D176" s="66" t="str">
        <x:v>Source entry; component check pending</x:v>
      </x:c>
      <x:c r="E176" s="66" t="str">
        <x:v>Provisional: official baseline reconciliation pending</x:v>
      </x:c>
      <x:c r="F176" s="66" t="str">
        <x:v>Not researched</x:v>
      </x:c>
      <x:c r="G176" s="66" t="str">
        <x:v>Not researched</x:v>
      </x:c>
      <x:c r="H176" s="66" t="str"/>
      <x:c r="I176" s="66" t="str"/>
      <x:c r="J176" s="66" t="str"/>
      <x:c r="K176" s="66" t="str">
        <x:v>SRC-001</x:v>
      </x:c>
      <x:c r="L176" s="67" t="str">
        <x:v>https://www.scribd.com/document/1014775753/1-1-IMO-Adopted-Traffic-Separation-Schemes-on-the-ADMIRALTY-Chart-Series</x:v>
      </x:c>
      <x:c r="M176" s="66" t="str">
        <x:v>Notice 17; scheme label: In the Approaches to Chedabucto Bay</x:v>
      </x:c>
      <x:c r="N176" s="66" t="str">
        <x:v>UKHO-labelled document on third-party host; edition and currency unverified.</x:v>
      </x:c>
      <x:c r="O176" s="66" t="str"/>
      <x:c r="P176" s="67" t="str"/>
      <x:c r="Q176" s="66" t="str">
        <x:v>B34</x:v>
      </x:c>
      <x:c r="R176" s="66" t="str">
        <x:v>Candidate recorded</x:v>
      </x:c>
      <x:c r="S176" s="66" t="str">
        <x:v>Not established</x:v>
      </x:c>
    </x:row>
  </x:sheetData>
  <x:mergeCells>
    <x:mergeCell ref="A1:H2"/>
    <x:mergeCell ref="A3:H4"/>
  </x:mergeCells>
  <x:conditionalFormatting sqref="R7:R176">
    <x:cfRule type="expression" dxfId="1" priority="1">
      <x:formula>R7="Initial association evidenced"</x:formula>
    </x:cfRule>
    <x:cfRule type="expression" dxfId="2" priority="2">
      <x:formula>R7="Association proposed"</x:formula>
    </x:cfRule>
  </x:conditionalFormatting>
  <x:dataValidations count="1">
    <x:dataValidation type="list" sqref="R7:R176">
      <x:formula1>"Candidate recorded,Association proposed,Initial association evidenced,System-level association only,Fully audited"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6a65cfa0d5c460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34" hidden="0" customWidth="1"/>
    <x:col min="4" max="4" width="28" hidden="0" customWidth="1"/>
    <x:col min="5" max="5" width="28" hidden="0" customWidth="1"/>
    <x:col min="6" max="6" width="28" hidden="0" customWidth="1"/>
    <x:col min="7" max="7" width="43" hidden="0" customWidth="1"/>
    <x:col min="8" max="8" width="28" hidden="0" customWidth="1"/>
    <x:col min="9" max="9" width="20" hidden="0" customWidth="1"/>
    <x:col min="10" max="10" width="46" hidden="0" customWidth="1"/>
    <x:col min="11" max="11" width="46" hidden="0" customWidth="1"/>
    <x:col min="12" max="12" width="15" hidden="0" customWidth="1"/>
  </x:cols>
  <x:sheetData>
    <x:row r="1" ht="23" customHeight="1">
      <x:c r="A1" s="44" t="str">
        <x:v>VTS SERVICE REGISTER</x:v>
      </x:c>
      <x:c r="B1" s="44"/>
      <x:c r="C1" s="44"/>
      <x:c r="D1" s="44"/>
      <x:c r="E1" s="44"/>
      <x:c r="F1" s="44"/>
      <x:c r="G1" s="44"/>
      <x:c r="H1" s="44"/>
    </x:row>
    <x:row r="2" ht="23" customHeight="1">
      <x:c r="A2" s="44"/>
      <x:c r="B2" s="44"/>
      <x:c r="C2" s="44"/>
      <x:c r="D2" s="44"/>
      <x:c r="E2" s="44"/>
      <x:c r="F2" s="44"/>
      <x:c r="G2" s="44"/>
      <x:c r="H2" s="44"/>
    </x:row>
    <x:row r="3" ht="21" customHeight="1">
      <x:c r="A3" s="12" t="str">
        <x:v>Version 0.2 | 29 September 2026 | VTS Services. Reconciled register; see Audit Findings and Overview for limits.</x:v>
      </x:c>
      <x:c r="B3" s="12"/>
      <x:c r="C3" s="12"/>
      <x:c r="D3" s="12"/>
      <x:c r="E3" s="12"/>
      <x:c r="F3" s="12"/>
      <x:c r="G3" s="12"/>
      <x:c r="H3" s="12"/>
    </x:row>
    <x:row r="4" ht="21" customHeight="1">
      <x:c r="A4" s="12"/>
      <x:c r="B4" s="12"/>
      <x:c r="C4" s="12"/>
      <x:c r="D4" s="12"/>
      <x:c r="E4" s="12"/>
      <x:c r="F4" s="12"/>
      <x:c r="G4" s="12"/>
      <x:c r="H4" s="12"/>
    </x:row>
    <x:row r="6" ht="34" customHeight="1">
      <x:c r="A6" s="65" t="str">
        <x:v>Service ID</x:v>
      </x:c>
      <x:c r="B6" s="65" t="str">
        <x:v>Service name</x:v>
      </x:c>
      <x:c r="C6" s="65" t="str">
        <x:v>Area label</x:v>
      </x:c>
      <x:c r="D6" s="65" t="str">
        <x:v>Authority / jurisdiction</x:v>
      </x:c>
      <x:c r="E6" s="65" t="str">
        <x:v>Centre / sectors</x:v>
      </x:c>
      <x:c r="F6" s="65" t="str">
        <x:v>Scope</x:v>
      </x:c>
      <x:c r="G6" s="65" t="str">
        <x:v>Evidence status</x:v>
      </x:c>
      <x:c r="H6" s="65" t="str">
        <x:v>Confirmed area count</x:v>
      </x:c>
      <x:c r="I6" s="65" t="str">
        <x:v>Source IDs</x:v>
      </x:c>
      <x:c r="J6" s="65" t="str">
        <x:v>Source URLs</x:v>
      </x:c>
      <x:c r="K6" s="65" t="str">
        <x:v>Counting / review note</x:v>
      </x:c>
      <x:c r="L6" s="65" t="str">
        <x:v>Accessed</x:v>
      </x:c>
    </x:row>
    <x:row r="7" ht="160.5" customHeight="1">
      <x:c r="A7" s="66" t="str">
        <x:v>VTS-001</x:v>
      </x:c>
      <x:c r="B7" s="66" t="str">
        <x:v>Channel VTS</x:v>
      </x:c>
      <x:c r="C7" s="66" t="str">
        <x:v>Dover Strait</x:v>
      </x:c>
      <x:c r="D7" s="66" t="str">
        <x:v>Joint UK–France service</x:v>
      </x:c>
      <x:c r="E7" s="66" t="str">
        <x:v>Two operating centres: Dover and Gris-Nez</x:v>
      </x:c>
      <x:c r="F7" s="66" t="str">
        <x:v>Core TSS screen</x:v>
      </x:c>
      <x:c r="G7" s="66" t="str">
        <x:v>Service described by authority; detailed boundary review pending</x:v>
      </x:c>
      <x:c r="H7" s="66" t="str">
        <x:v>Not assigned</x:v>
      </x:c>
      <x:c r="I7" s="66" t="str">
        <x:v>SRC-004; SRC-005</x:v>
      </x:c>
      <x:c r="J7" s="67" t="str">
        <x:v>https://www.gov.uk/government/publications/dover-strait-crossings-channel-navigation-information-service/dover-strait-crossings-channel-navigation-information-service-cnis
https://www.gov.uk/government/publications/mgn-364-mf-amendment-2-navigation-safety-traffic-separation-schemes-application-of-rule-10-and-navigation-in-the-dover-strait/mgn-364-mf-amendment-2-navigation-safety-traffic-separation-schemes-application-of-rule-10-and-navigation-in-the-dover-strait</x:v>
      </x:c>
      <x:c r="K7" s="66" t="str">
        <x:v>One joint service record, not two guide entries merely because two centres operate.</x:v>
      </x:c>
      <x:c r="L7" s="66" t="str">
        <x:v>2026-09-29</x:v>
      </x:c>
    </x:row>
    <x:row r="8" ht="66" customHeight="1">
      <x:c r="A8" s="70" t="str">
        <x:v>VTS-002</x:v>
      </x:c>
      <x:c r="B8" s="70" t="str">
        <x:v>Great Belt VTS</x:v>
      </x:c>
      <x:c r="C8" s="70" t="str">
        <x:v>Great Belt</x:v>
      </x:c>
      <x:c r="D8" s="70" t="str">
        <x:v>Denmark</x:v>
      </x:c>
      <x:c r="E8" s="70" t="str">
        <x:v>Korsør; two reporting sectors</x:v>
      </x:c>
      <x:c r="F8" s="70" t="str">
        <x:v>Core TSS screen</x:v>
      </x:c>
      <x:c r="G8" s="70" t="str">
        <x:v>Service described by authority; individual TSS links proposed</x:v>
      </x:c>
      <x:c r="H8" s="70" t="str">
        <x:v>Not assigned</x:v>
      </x:c>
      <x:c r="I8" s="70" t="str">
        <x:v>SRC-008; SRC-015</x:v>
      </x:c>
      <x:c r="J8" s="71" t="str">
        <x:v>https://www.forsvaret.dk/da/organisation/soevaernet/civile-opgaver/beltrep/
https://www.forsvaret.dk/da/organisation/soevaernet/nationalt-maritimt-operationscenter/vts/</x:v>
      </x:c>
      <x:c r="K8" s="70" t="str">
        <x:v>BELTREP service. Resolve both TSS associations and sector boundaries.</x:v>
      </x:c>
      <x:c r="L8" s="70" t="str">
        <x:v>2026-09-29</x:v>
      </x:c>
    </x:row>
    <x:row r="9" ht="93" customHeight="1">
      <x:c r="A9" s="66" t="str">
        <x:v>VTS-003</x:v>
      </x:c>
      <x:c r="B9" s="66" t="str">
        <x:v>Sound VTS</x:v>
      </x:c>
      <x:c r="C9" s="66" t="str">
        <x:v>The Sound / Øresund</x:v>
      </x:c>
      <x:c r="D9" s="66" t="str">
        <x:v>Joint Sweden–Denmark service</x:v>
      </x:c>
      <x:c r="E9" s="66" t="str">
        <x:v>Joint centre at Malmö</x:v>
      </x:c>
      <x:c r="F9" s="66" t="str">
        <x:v>Core TSS screen</x:v>
      </x:c>
      <x:c r="G9" s="66" t="str">
        <x:v>Service described by authority; individual TSS links proposed</x:v>
      </x:c>
      <x:c r="H9" s="66" t="str">
        <x:v>Not assigned</x:v>
      </x:c>
      <x:c r="I9" s="66" t="str">
        <x:v>SRC-009; SRC-010</x:v>
      </x:c>
      <x:c r="J9" s="67" t="str">
        <x:v>https://www.sjofartsverket.se/en/services/maritime-traffic-information/soundrep/soundrep-information/about-soundrep/
https://www.transportstyrelsen.se/sv/sjofart/sjotrafik-och-hamnar/sjotrafikrapporteringssystem-srs/</x:v>
      </x:c>
      <x:c r="K9" s="66" t="str">
        <x:v>SOUNDREP service. Check rules effective 1 October 2026 before any later operational drafting.</x:v>
      </x:c>
      <x:c r="L9" s="66" t="str">
        <x:v>2026-09-29</x:v>
      </x:c>
    </x:row>
    <x:row r="10" ht="79.5" customHeight="1">
      <x:c r="A10" s="70" t="str">
        <x:v>VTS-004</x:v>
      </x:c>
      <x:c r="B10" s="70" t="str">
        <x:v>Klang VTS</x:v>
      </x:c>
      <x:c r="C10" s="70" t="str">
        <x:v>STRAITREP sectors 1–5</x:v>
      </x:c>
      <x:c r="D10" s="70" t="str">
        <x:v>Malaysia</x:v>
      </x:c>
      <x:c r="E10" s="70" t="str">
        <x:v>Five STRAITREP sectors</x:v>
      </x:c>
      <x:c r="F10" s="70" t="str">
        <x:v>Core TSS screen</x:v>
      </x:c>
      <x:c r="G10" s="70" t="str">
        <x:v>Service and sector allocation evidenced; TSS segment mapping pending</x:v>
      </x:c>
      <x:c r="H10" s="70" t="str">
        <x:v>Not assigned</x:v>
      </x:c>
      <x:c r="I10" s="70" t="str">
        <x:v>SRC-006; SRC-007</x:v>
      </x:c>
      <x:c r="J10" s="71" t="str">
        <x:v>https://www.mpa.gov.sg/port-marine-ops/operations/vessel-traffic-information-system
https://www.mpa.gov.sg/port-marine-ops/operations/vessel-traffic-information-system/operational-areas</x:v>
      </x:c>
      <x:c r="K10" s="70" t="str">
        <x:v>Do not count each sector as a separate VTS or assume every TSS segment is within this service.</x:v>
      </x:c>
      <x:c r="L10" s="70" t="str">
        <x:v>2026-09-29</x:v>
      </x:c>
    </x:row>
    <x:row r="11" ht="79.5" customHeight="1">
      <x:c r="A11" s="66" t="str">
        <x:v>VTS-005</x:v>
      </x:c>
      <x:c r="B11" s="66" t="str">
        <x:v>Johor VTS</x:v>
      </x:c>
      <x:c r="C11" s="66" t="str">
        <x:v>STRAITREP sector 6</x:v>
      </x:c>
      <x:c r="D11" s="66" t="str">
        <x:v>Malaysia</x:v>
      </x:c>
      <x:c r="E11" s="66" t="str">
        <x:v>One STRAITREP sector</x:v>
      </x:c>
      <x:c r="F11" s="66" t="str">
        <x:v>Core TSS screen</x:v>
      </x:c>
      <x:c r="G11" s="66" t="str">
        <x:v>Service and sector allocation evidenced; TSS segment mapping pending</x:v>
      </x:c>
      <x:c r="H11" s="66" t="str">
        <x:v>Not assigned</x:v>
      </x:c>
      <x:c r="I11" s="66" t="str">
        <x:v>SRC-006; SRC-007</x:v>
      </x:c>
      <x:c r="J11" s="67" t="str">
        <x:v>https://www.mpa.gov.sg/port-marine-ops/operations/vessel-traffic-information-system
https://www.mpa.gov.sg/port-marine-ops/operations/vessel-traffic-information-system/operational-areas</x:v>
      </x:c>
      <x:c r="K11" s="66" t="str">
        <x:v>Shared reporting scheme with Klang and Singapore; retain as a separate service record.</x:v>
      </x:c>
      <x:c r="L11" s="66" t="str">
        <x:v>2026-09-29</x:v>
      </x:c>
    </x:row>
    <x:row r="12" ht="79.5" customHeight="1">
      <x:c r="A12" s="70" t="str">
        <x:v>VTS-006</x:v>
      </x:c>
      <x:c r="B12" s="70" t="str">
        <x:v>Singapore VTS</x:v>
      </x:c>
      <x:c r="C12" s="70" t="str">
        <x:v>STRAITREP sectors 7–9</x:v>
      </x:c>
      <x:c r="D12" s="70" t="str">
        <x:v>Singapore</x:v>
      </x:c>
      <x:c r="E12" s="70" t="str">
        <x:v>Three STRAITREP sectors</x:v>
      </x:c>
      <x:c r="F12" s="70" t="str">
        <x:v>Core TSS screen</x:v>
      </x:c>
      <x:c r="G12" s="70" t="str">
        <x:v>Service and sector allocation evidenced; TSS segment mapping pending</x:v>
      </x:c>
      <x:c r="H12" s="70" t="str">
        <x:v>Not assigned</x:v>
      </x:c>
      <x:c r="I12" s="70" t="str">
        <x:v>SRC-006; SRC-007</x:v>
      </x:c>
      <x:c r="J12" s="71" t="str">
        <x:v>https://www.mpa.gov.sg/port-marine-ops/operations/vessel-traffic-information-system
https://www.mpa.gov.sg/port-marine-ops/operations/vessel-traffic-information-system/operational-areas</x:v>
      </x:c>
      <x:c r="K12" s="70" t="str">
        <x:v>Scope here is the cited STRAITREP coverage, not an asserted inventory of every Singapore port service.</x:v>
      </x:c>
      <x:c r="L12" s="70" t="str">
        <x:v>2026-09-29</x:v>
      </x:c>
    </x:row>
    <x:row r="13" ht="93" customHeight="1">
      <x:c r="A13" s="66" t="str">
        <x:v>VTS-007</x:v>
      </x:c>
      <x:c r="B13" s="66" t="str">
        <x:v>REEFVTS</x:v>
      </x:c>
      <x:c r="C13" s="66" t="str">
        <x:v>Great Barrier Reef and Torres Strait</x:v>
      </x:c>
      <x:c r="D13" s="66" t="str">
        <x:v>Australia</x:v>
      </x:c>
      <x:c r="E13" s="66" t="str">
        <x:v>Reef North and Reef South; Townsville and Gladstone centres. Either centre can manage either sector.</x:v>
      </x:c>
      <x:c r="F13" s="66" t="str">
        <x:v>Additional coverage</x:v>
      </x:c>
      <x:c r="G13" s="66" t="str">
        <x:v>Service identity evidenced; current operating detail not reviewed</x:v>
      </x:c>
      <x:c r="H13" s="66" t="str">
        <x:v>Not assigned</x:v>
      </x:c>
      <x:c r="I13" s="66" t="str">
        <x:v>SRC-018; SRC-013; SRC-014</x:v>
      </x:c>
      <x:c r="J13" s="67" t="str">
        <x:v>https://www.msq.qld.gov.au/shipping/reefvts
https://www.amsa.gov.au/about/regulations-and-standards/marine-order-63-vessel-reporting-systems
https://www.amsa.gov.au/safety-navigation/spatial-data/vessel-track-data-disclosure-and-dissemination-policy</x:v>
      </x:c>
      <x:c r="K13" s="66" t="str">
        <x:v>One named service with two sectors and two centres. No additional VTS-area total inferred. TSS association remains unassigned.</x:v>
      </x:c>
      <x:c r="L13" s="66" t="str">
        <x:v>2026-09-29</x:v>
      </x:c>
    </x:row>
    <x:row r="14" ht="79.5" customHeight="1">
      <x:c r="A14" s="70" t="str">
        <x:v>VTS-008</x:v>
      </x:c>
      <x:c r="B14" s="70" t="str">
        <x:v>VTS Fehmarnbelt</x:v>
      </x:c>
      <x:c r="C14" s="70" t="str">
        <x:v>Fehmarnbelt</x:v>
      </x:c>
      <x:c r="D14" s="70" t="str">
        <x:v>Denmark / Germany; responsibilities to reconcile</x:v>
      </x:c>
      <x:c r="E14" s="70" t="str">
        <x:v>Travemünde centre listed by Danish Defence</x:v>
      </x:c>
      <x:c r="F14" s="70" t="str">
        <x:v>Additional coverage</x:v>
      </x:c>
      <x:c r="G14" s="70" t="str">
        <x:v>Temporary voluntary service described by authority</x:v>
      </x:c>
      <x:c r="H14" s="70" t="str">
        <x:v>Not assigned</x:v>
      </x:c>
      <x:c r="I14" s="70" t="str">
        <x:v>SRC-015; SRC-016</x:v>
      </x:c>
      <x:c r="J14" s="71" t="str">
        <x:v>https://www.forsvaret.dk/da/organisation/soevaernet/nationalt-maritimt-operationscenter/vts/
https://www.brs.dk/da/om-os/organisation/sikre-farvande/obligatoriske-skibsmeldesystemer-msrs-og-skibstrafiktjenester-vts/</x:v>
      </x:c>
      <x:c r="K14" s="70" t="str">
        <x:v>Keep outside mandatory reporting totals. Confirm construction-phase boundaries and service end date.</x:v>
      </x:c>
      <x:c r="L14" s="70" t="str">
        <x:v>2026-09-29</x:v>
      </x:c>
    </x:row>
    <x:row r="15" ht="60" customHeight="1">
      <x:c r="A15" s="66" t="str">
        <x:v>VTS-009</x:v>
      </x:c>
      <x:c r="B15" s="66" t="str">
        <x:v>VTS Prince William Sound</x:v>
      </x:c>
      <x:c r="C15" s="66" t="str">
        <x:v>Prince William Sound</x:v>
      </x:c>
      <x:c r="D15" s="66" t="str">
        <x:v>US Coast Guard</x:v>
      </x:c>
      <x:c r="E15" s="66" t="str">
        <x:v>Valdez centre</x:v>
      </x:c>
      <x:c r="F15" s="66" t="str">
        <x:v>Core TSS research lead</x:v>
      </x:c>
      <x:c r="G15" s="66" t="str">
        <x:v>Service identity confirmed by authority; TSS boundary link pending</x:v>
      </x:c>
      <x:c r="H15" s="66" t="str">
        <x:v>Not assigned</x:v>
      </x:c>
      <x:c r="I15" s="66" t="str">
        <x:v>SRC-017</x:v>
      </x:c>
      <x:c r="J15" s="67" t="str">
        <x:v>https://www.navcen.uscg.gov/vessel-traffic-services-locations</x:v>
      </x:c>
      <x:c r="K15" s="66" t="str">
        <x:v>Verify the exact approach-TSS relationship and participation boundaries.</x:v>
      </x:c>
      <x:c r="L15" s="66" t="str">
        <x:v>2026-09-29</x:v>
      </x:c>
    </x:row>
    <x:row r="16" ht="66" customHeight="1">
      <x:c r="A16" s="70" t="str">
        <x:v>VTS-010</x:v>
      </x:c>
      <x:c r="B16" s="70" t="str">
        <x:v>VTS Puget Sound</x:v>
      </x:c>
      <x:c r="C16" s="70" t="str">
        <x:v>Puget Sound / Strait of Juan de Fuca</x:v>
      </x:c>
      <x:c r="D16" s="70" t="str">
        <x:v>US Coast Guard; cooperative US–Canada arrangements</x:v>
      </x:c>
      <x:c r="E16" s="70" t="str">
        <x:v>Seattle centre; cooperative Canadian centres listed separately by USCG</x:v>
      </x:c>
      <x:c r="F16" s="70" t="str">
        <x:v>Core TSS research lead</x:v>
      </x:c>
      <x:c r="G16" s="70" t="str">
        <x:v>Service identity confirmed by authority; TSS boundary link pending</x:v>
      </x:c>
      <x:c r="H16" s="70" t="str">
        <x:v>Not assigned</x:v>
      </x:c>
      <x:c r="I16" s="70" t="str">
        <x:v>SRC-017</x:v>
      </x:c>
      <x:c r="J16" s="71" t="str">
        <x:v>https://www.navcen.uscg.gov/vessel-traffic-services-locations</x:v>
      </x:c>
      <x:c r="K16" s="70" t="str">
        <x:v>This US service is not the whole cross-border corridor. Canadian service areas require separate records and boundary checks.</x:v>
      </x:c>
      <x:c r="L16" s="70" t="str">
        <x:v>2026-09-29</x:v>
      </x:c>
    </x:row>
    <x:row r="17" ht="60" customHeight="1">
      <x:c r="A17" s="66" t="str">
        <x:v>VTS-011</x:v>
      </x:c>
      <x:c r="B17" s="66" t="str">
        <x:v>VTS San Francisco</x:v>
      </x:c>
      <x:c r="C17" s="66" t="str">
        <x:v>San Francisco Bay and approaches</x:v>
      </x:c>
      <x:c r="D17" s="66" t="str">
        <x:v>US Coast Guard</x:v>
      </x:c>
      <x:c r="E17" s="66" t="str">
        <x:v>Yerba Buena Island centre</x:v>
      </x:c>
      <x:c r="F17" s="66" t="str">
        <x:v>Core TSS research lead</x:v>
      </x:c>
      <x:c r="G17" s="66" t="str">
        <x:v>Service identity confirmed by authority; TSS boundary link pending</x:v>
      </x:c>
      <x:c r="H17" s="66" t="str">
        <x:v>Not assigned</x:v>
      </x:c>
      <x:c r="I17" s="66" t="str">
        <x:v>SRC-017</x:v>
      </x:c>
      <x:c r="J17" s="67" t="str">
        <x:v>https://www.navcen.uscg.gov/vessel-traffic-services-locations</x:v>
      </x:c>
      <x:c r="K17" s="66" t="str">
        <x:v>Separate VTS requirements from voluntary offshore OVMRS. Offshore TSS coverage remains a research lead.</x:v>
      </x:c>
      <x:c r="L17" s="66" t="str">
        <x:v>2026-09-29</x:v>
      </x:c>
    </x:row>
    <x:row r="18" ht="60" customHeight="1">
      <x:c r="A18" s="70" t="str">
        <x:v>VTS-012</x:v>
      </x:c>
      <x:c r="B18" s="70" t="str">
        <x:v>VTS Los Angeles–Long Beach</x:v>
      </x:c>
      <x:c r="C18" s="70" t="str">
        <x:v>Los Angeles / Long Beach</x:v>
      </x:c>
      <x:c r="D18" s="70" t="str">
        <x:v>US Coast Guard and Marine Exchange of Southern California</x:v>
      </x:c>
      <x:c r="E18" s="70" t="str">
        <x:v>San Pedro joint centre</x:v>
      </x:c>
      <x:c r="F18" s="70" t="str">
        <x:v>Core TSS research lead</x:v>
      </x:c>
      <x:c r="G18" s="70" t="str">
        <x:v>Service identity confirmed by authority; TSS boundary link pending</x:v>
      </x:c>
      <x:c r="H18" s="70" t="str">
        <x:v>Not assigned</x:v>
      </x:c>
      <x:c r="I18" s="70" t="str">
        <x:v>SRC-017</x:v>
      </x:c>
      <x:c r="J18" s="71" t="str">
        <x:v>https://www.navcen.uscg.gov/vessel-traffic-services-locations</x:v>
      </x:c>
      <x:c r="K18" s="70" t="str">
        <x:v>The source TSS heading also includes Santa Barbara Channel. Do not infer whole-heading coverage.</x:v>
      </x:c>
      <x:c r="L18" s="70" t="str">
        <x:v>2026-09-29</x:v>
      </x:c>
    </x:row>
    <x:row r="19" ht="60" customHeight="1">
      <x:c r="A19" s="66" t="str">
        <x:v>VTS-013</x:v>
      </x:c>
      <x:c r="B19" s="66" t="str">
        <x:v>VTS Houston-Galveston</x:v>
      </x:c>
      <x:c r="C19" s="66" t="str">
        <x:v>Houston / Galveston</x:v>
      </x:c>
      <x:c r="D19" s="66" t="str">
        <x:v>US Coast Guard</x:v>
      </x:c>
      <x:c r="E19" s="66" t="str">
        <x:v>Houston centre</x:v>
      </x:c>
      <x:c r="F19" s="66" t="str">
        <x:v>Core TSS research lead</x:v>
      </x:c>
      <x:c r="G19" s="66" t="str">
        <x:v>Service identity confirmed by authority; TSS boundary link pending</x:v>
      </x:c>
      <x:c r="H19" s="66" t="str">
        <x:v>Not assigned</x:v>
      </x:c>
      <x:c r="I19" s="66" t="str">
        <x:v>SRC-017</x:v>
      </x:c>
      <x:c r="J19" s="67" t="str">
        <x:v>https://www.navcen.uscg.gov/vessel-traffic-services-locations</x:v>
      </x:c>
      <x:c r="K19" s="66" t="str">
        <x:v>The offshore Galveston TSS is an approach lead. Service existence does not establish offshore coverage.</x:v>
      </x:c>
      <x:c r="L19" s="66" t="str">
        <x:v>2026-09-29</x:v>
      </x:c>
    </x:row>
    <x:row r="20" ht="60" customHeight="1">
      <x:c r="A20" s="70" t="str">
        <x:v>VTS-014</x:v>
      </x:c>
      <x:c r="B20" s="70" t="str">
        <x:v>VTS New York</x:v>
      </x:c>
      <x:c r="C20" s="70" t="str">
        <x:v>New York / New Jersey</x:v>
      </x:c>
      <x:c r="D20" s="70" t="str">
        <x:v>US Coast Guard</x:v>
      </x:c>
      <x:c r="E20" s="70" t="str">
        <x:v>Fort Wadsworth centre</x:v>
      </x:c>
      <x:c r="F20" s="70" t="str">
        <x:v>Core TSS research lead</x:v>
      </x:c>
      <x:c r="G20" s="70" t="str">
        <x:v>Service identity confirmed by authority; TSS boundary link pending</x:v>
      </x:c>
      <x:c r="H20" s="70" t="str">
        <x:v>Not assigned</x:v>
      </x:c>
      <x:c r="I20" s="70" t="str">
        <x:v>SRC-017</x:v>
      </x:c>
      <x:c r="J20" s="71" t="str">
        <x:v>https://www.navcen.uscg.gov/vessel-traffic-services-locations</x:v>
      </x:c>
      <x:c r="K20" s="70" t="str">
        <x:v>The offshore New York TSS link needs geographical and applicability confirmation.</x:v>
      </x:c>
      <x:c r="L20" s="70" t="str">
        <x:v>2026-09-29</x:v>
      </x:c>
    </x:row>
    <x:row r="21" ht="60" customHeight="1">
      <x:c r="A21" s="66" t="str">
        <x:v>VTS-015</x:v>
      </x:c>
      <x:c r="B21" s="66" t="str">
        <x:v>VTS Zatoka Gdańska (Gulf of Gdańsk)</x:v>
      </x:c>
      <x:c r="C21" s="66" t="str">
        <x:v>Gulf of Gdańsk</x:v>
      </x:c>
      <x:c r="D21" s="66" t="str">
        <x:v>Maritime Office in Gdynia</x:v>
      </x:c>
      <x:c r="E21" s="66" t="str">
        <x:v>VTS Zatoka Gdańska; harbour-master responsibilities within port areas</x:v>
      </x:c>
      <x:c r="F21" s="66" t="str">
        <x:v>Core TSS screen</x:v>
      </x:c>
      <x:c r="G21" s="66" t="str">
        <x:v>Service, GDANREP and East/West TSS relationship identified by authority</x:v>
      </x:c>
      <x:c r="H21" s="66" t="str">
        <x:v>Not assigned</x:v>
      </x:c>
      <x:c r="I21" s="66" t="str">
        <x:v>SRC-019</x:v>
      </x:c>
      <x:c r="J21" s="67" t="str">
        <x:v>https://www.umgdy.gov.pl/en/marine-safety/vts-zatoka-gdanska-en/</x:v>
      </x:c>
      <x:c r="K21" s="66" t="str">
        <x:v>One named service. Two named TSS components do not imply two VTS areas. Verify full operational limits and local rules.</x:v>
      </x:c>
      <x:c r="L21" s="66" t="str">
        <x:v>2026-09-29</x:v>
      </x:c>
    </x:row>
  </x:sheetData>
  <x:mergeCells>
    <x:mergeCell ref="A1:H2"/>
    <x:mergeCell ref="A3:H4"/>
  </x:mergeCells>
  <x:pageMargins left="0.7" right="0.7" top="0.75" bottom="0.75" header="0.3" footer="0.3"/>
  <x:tableParts count="1">
    <x:tablePart xmlns:r="http://schemas.openxmlformats.org/officeDocument/2006/relationships" r:id="Rd3e1803f1f78448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34" hidden="0" customWidth="1"/>
    <x:col min="4" max="4" width="28" hidden="0" customWidth="1"/>
    <x:col min="5" max="5" width="28" hidden="0" customWidth="1"/>
    <x:col min="6" max="6" width="28" hidden="0" customWidth="1"/>
    <x:col min="7" max="7" width="42" hidden="0" customWidth="1"/>
    <x:col min="8" max="8" width="28" hidden="0" customWidth="1"/>
    <x:col min="9" max="9" width="46" hidden="0" customWidth="1"/>
    <x:col min="10" max="10" width="48" hidden="0" customWidth="1"/>
    <x:col min="11" max="11" width="15" hidden="0" customWidth="1"/>
  </x:cols>
  <x:sheetData>
    <x:row r="1" ht="23" customHeight="1">
      <x:c r="A1" s="44" t="str">
        <x:v>VESSEL REPORTING SCHEMES</x:v>
      </x:c>
      <x:c r="B1" s="44"/>
      <x:c r="C1" s="44"/>
      <x:c r="D1" s="44"/>
      <x:c r="E1" s="44"/>
      <x:c r="F1" s="44"/>
      <x:c r="G1" s="44"/>
      <x:c r="H1" s="44"/>
    </x:row>
    <x:row r="2" ht="23" customHeight="1">
      <x:c r="A2" s="44"/>
      <x:c r="B2" s="44"/>
      <x:c r="C2" s="44"/>
      <x:c r="D2" s="44"/>
      <x:c r="E2" s="44"/>
      <x:c r="F2" s="44"/>
      <x:c r="G2" s="44"/>
      <x:c r="H2" s="44"/>
    </x:row>
    <x:row r="3" ht="21" customHeight="1">
      <x:c r="A3" s="12" t="str">
        <x:v>Version 0.2 | 29 September 2026 | Reporting Schemes. Reconciled register; see Audit Findings and Overview for limits.</x:v>
      </x:c>
      <x:c r="B3" s="12"/>
      <x:c r="C3" s="12"/>
      <x:c r="D3" s="12"/>
      <x:c r="E3" s="12"/>
      <x:c r="F3" s="12"/>
      <x:c r="G3" s="12"/>
      <x:c r="H3" s="12"/>
    </x:row>
    <x:row r="4" ht="21" customHeight="1">
      <x:c r="A4" s="12"/>
      <x:c r="B4" s="12"/>
      <x:c r="C4" s="12"/>
      <x:c r="D4" s="12"/>
      <x:c r="E4" s="12"/>
      <x:c r="F4" s="12"/>
      <x:c r="G4" s="12"/>
      <x:c r="H4" s="12"/>
    </x:row>
    <x:row r="6" ht="34" customHeight="1">
      <x:c r="A6" s="65" t="str">
        <x:v>Reporting ID</x:v>
      </x:c>
      <x:c r="B6" s="65" t="str">
        <x:v>Scheme</x:v>
      </x:c>
      <x:c r="C6" s="65" t="str">
        <x:v>Area label</x:v>
      </x:c>
      <x:c r="D6" s="65" t="str">
        <x:v>Participation</x:v>
      </x:c>
      <x:c r="E6" s="65" t="str">
        <x:v>Related service IDs</x:v>
      </x:c>
      <x:c r="F6" s="65" t="str">
        <x:v>Scope</x:v>
      </x:c>
      <x:c r="G6" s="65" t="str">
        <x:v>Evidence status</x:v>
      </x:c>
      <x:c r="H6" s="65" t="str">
        <x:v>Source IDs</x:v>
      </x:c>
      <x:c r="I6" s="65" t="str">
        <x:v>Source URLs</x:v>
      </x:c>
      <x:c r="J6" s="65" t="str">
        <x:v>Counting / review note</x:v>
      </x:c>
      <x:c r="K6" s="65" t="str">
        <x:v>Accessed</x:v>
      </x:c>
    </x:row>
    <x:row r="7" ht="160.5" customHeight="1">
      <x:c r="A7" s="66" t="str">
        <x:v>SRS-001</x:v>
      </x:c>
      <x:c r="B7" s="66" t="str">
        <x:v>CALDOVREP</x:v>
      </x:c>
      <x:c r="C7" s="66" t="str">
        <x:v>Dover Strait</x:v>
      </x:c>
      <x:c r="D7" s="66" t="str">
        <x:v>Mandatory for applicable vessels</x:v>
      </x:c>
      <x:c r="E7" s="66" t="str">
        <x:v>VTS-001</x:v>
      </x:c>
      <x:c r="F7" s="66" t="str">
        <x:v>Core TSS screen</x:v>
      </x:c>
      <x:c r="G7" s="66" t="str">
        <x:v>Scheme identity and association evidenced</x:v>
      </x:c>
      <x:c r="H7" s="66" t="str">
        <x:v>SRC-004; SRC-005</x:v>
      </x:c>
      <x:c r="I7" s="67" t="str">
        <x:v>https://www.gov.uk/government/publications/dover-strait-crossings-channel-navigation-information-service/dover-strait-crossings-channel-navigation-information-service-cnis
https://www.gov.uk/government/publications/mgn-364-mf-amendment-2-navigation-safety-traffic-separation-schemes-application-of-rule-10-and-navigation-in-the-dover-strait/mgn-364-mf-amendment-2-navigation-safety-traffic-separation-schemes-application-of-rule-10-and-navigation-in-the-dover-strait</x:v>
      </x:c>
      <x:c r="J7" s="66" t="str">
        <x:v>Current thresholds, boundaries and directional reports require separate operational review.</x:v>
      </x:c>
      <x:c r="K7" s="66" t="str">
        <x:v>2026-09-29</x:v>
      </x:c>
    </x:row>
    <x:row r="8" ht="79.5" customHeight="1">
      <x:c r="A8" s="70" t="str">
        <x:v>SRS-002</x:v>
      </x:c>
      <x:c r="B8" s="70" t="str">
        <x:v>BELTREP</x:v>
      </x:c>
      <x:c r="C8" s="70" t="str">
        <x:v>Great Belt</x:v>
      </x:c>
      <x:c r="D8" s="70" t="str">
        <x:v>Mandatory for applicable vessels</x:v>
      </x:c>
      <x:c r="E8" s="70" t="str">
        <x:v>VTS-002</x:v>
      </x:c>
      <x:c r="F8" s="70" t="str">
        <x:v>Core TSS screen</x:v>
      </x:c>
      <x:c r="G8" s="70" t="str">
        <x:v>Scheme identity evidenced; exact TSS mapping pending</x:v>
      </x:c>
      <x:c r="H8" s="70" t="str">
        <x:v>SRC-008; SRC-020</x:v>
      </x:c>
      <x:c r="I8" s="71" t="str">
        <x:v>https://www.forsvaret.dk/da/organisation/soevaernet/civile-opgaver/beltrep/
https://wwwcdn.imo.org/localresources/en/KnowledgeCentre/IndexofIMOResolutions/MSCResolutions/MSC.332(90).pdf</x:v>
      </x:c>
      <x:c r="J8" s="70" t="str">
        <x:v>Two sectors belong to one reporting system.</x:v>
      </x:c>
      <x:c r="K8" s="70" t="str">
        <x:v>2026-09-29</x:v>
      </x:c>
    </x:row>
    <x:row r="9" ht="120" customHeight="1">
      <x:c r="A9" s="66" t="str">
        <x:v>SRS-003</x:v>
      </x:c>
      <x:c r="B9" s="66" t="str">
        <x:v>SOUNDREP</x:v>
      </x:c>
      <x:c r="C9" s="66" t="str">
        <x:v>The Sound / Øresund</x:v>
      </x:c>
      <x:c r="D9" s="66" t="str">
        <x:v>Mandatory for applicable vessels</x:v>
      </x:c>
      <x:c r="E9" s="66" t="str">
        <x:v>VTS-003</x:v>
      </x:c>
      <x:c r="F9" s="66" t="str">
        <x:v>Core TSS screen</x:v>
      </x:c>
      <x:c r="G9" s="66" t="str">
        <x:v>Scheme identity evidenced; exact TSS mapping pending</x:v>
      </x:c>
      <x:c r="H9" s="66" t="str">
        <x:v>SRC-009; SRC-010; SRC-021</x:v>
      </x:c>
      <x:c r="I9" s="67" t="str">
        <x:v>https://www.sjofartsverket.se/en/services/maritime-traffic-information/soundrep/soundrep-information/about-soundrep/
https://www.transportstyrelsen.se/sv/sjofart/sjotrafik-och-hamnar/sjotrafikrapporteringssystem-srs/
https://www.sjofartsverket.se/globalassets/tjanster/sjotrafiktjanster/msc.31488.pdf</x:v>
      </x:c>
      <x:c r="J9" s="66" t="str">
        <x:v>New Swedish VTS/SRS regulations are published but not effective until 1 October 2026.</x:v>
      </x:c>
      <x:c r="K9" s="66" t="str">
        <x:v>2026-09-29</x:v>
      </x:c>
    </x:row>
    <x:row r="10" ht="79.5" customHeight="1">
      <x:c r="A10" s="70" t="str">
        <x:v>SRS-004</x:v>
      </x:c>
      <x:c r="B10" s="70" t="str">
        <x:v>STRAITREP</x:v>
      </x:c>
      <x:c r="C10" s="70" t="str">
        <x:v>Straits of Malacca and Singapore</x:v>
      </x:c>
      <x:c r="D10" s="70" t="str">
        <x:v>Mandatory for applicable vessels</x:v>
      </x:c>
      <x:c r="E10" s="70" t="str">
        <x:v>VTS-004; VTS-005; VTS-006</x:v>
      </x:c>
      <x:c r="F10" s="70" t="str">
        <x:v>Core TSS screen</x:v>
      </x:c>
      <x:c r="G10" s="70" t="str">
        <x:v>Scheme and system-level routeing association evidenced</x:v>
      </x:c>
      <x:c r="H10" s="70" t="str">
        <x:v>SRC-006; SRC-007</x:v>
      </x:c>
      <x:c r="I10" s="71" t="str">
        <x:v>https://www.mpa.gov.sg/port-marine-ops/operations/vessel-traffic-information-system
https://www.mpa.gov.sg/port-marine-ops/operations/vessel-traffic-information-system/operational-areas</x:v>
      </x:c>
      <x:c r="J10" s="70" t="str">
        <x:v>Nine sectors, three named VTS authorities, one reporting system. Component TSS mapping remains open.</x:v>
      </x:c>
      <x:c r="K10" s="70" t="str">
        <x:v>2026-09-29</x:v>
      </x:c>
    </x:row>
    <x:row r="11" ht="93" customHeight="1">
      <x:c r="A11" s="66" t="str">
        <x:v>SRS-005</x:v>
      </x:c>
      <x:c r="B11" s="66" t="str">
        <x:v>REEFREP</x:v>
      </x:c>
      <x:c r="C11" s="66" t="str">
        <x:v>Great Barrier Reef and Torres Strait</x:v>
      </x:c>
      <x:c r="D11" s="66" t="str">
        <x:v>Mandatory for applicable vessels</x:v>
      </x:c>
      <x:c r="E11" s="66" t="str">
        <x:v>VTS-007</x:v>
      </x:c>
      <x:c r="F11" s="66" t="str">
        <x:v>Additional coverage</x:v>
      </x:c>
      <x:c r="G11" s="66" t="str">
        <x:v>Scheme identity evidenced</x:v>
      </x:c>
      <x:c r="H11" s="66" t="str">
        <x:v>SRC-018; SRC-013; SRC-014</x:v>
      </x:c>
      <x:c r="I11" s="67" t="str">
        <x:v>https://www.msq.qld.gov.au/shipping/reefvts
https://www.amsa.gov.au/about/regulations-and-standards/marine-order-63-vessel-reporting-systems
https://www.amsa.gov.au/safety-navigation/spatial-data/vessel-track-data-disclosure-and-dissemination-policy</x:v>
      </x:c>
      <x:c r="J11" s="66" t="str">
        <x:v>No link to the three Australian source entries has been inferred.</x:v>
      </x:c>
      <x:c r="K11" s="66" t="str">
        <x:v>2026-09-29</x:v>
      </x:c>
    </x:row>
    <x:row r="12" ht="60" customHeight="1">
      <x:c r="A12" s="70" t="str">
        <x:v>SRS-006</x:v>
      </x:c>
      <x:c r="B12" s="70" t="str">
        <x:v>GOFREP</x:v>
      </x:c>
      <x:c r="C12" s="70" t="str">
        <x:v>Gulf of Finland</x:v>
      </x:c>
      <x:c r="D12" s="70" t="str">
        <x:v>Mandatory for applicable vessels</x:v>
      </x:c>
      <x:c r="E12" s="70" t="str"/>
      <x:c r="F12" s="70" t="str">
        <x:v>Core TSS screen</x:v>
      </x:c>
      <x:c r="G12" s="70" t="str">
        <x:v>Scheme identity and four TSS associations evidenced</x:v>
      </x:c>
      <x:c r="H12" s="70" t="str">
        <x:v>SRC-011; SRC-012</x:v>
      </x:c>
      <x:c r="I12" s="71" t="str">
        <x:v>https://mastersguide.fintraffic.fi/en/gofrep-area
https://www.fintraffic.fi/sv/node/254</x:v>
      </x:c>
      <x:c r="J12" s="70" t="str">
        <x:v>Helsinki, Tallinn and St. Petersburg Traffic are reporting centres; do not infer three VTS areas.</x:v>
      </x:c>
      <x:c r="K12" s="70" t="str">
        <x:v>2026-09-29</x:v>
      </x:c>
    </x:row>
    <x:row r="13" ht="79.5" customHeight="1">
      <x:c r="A13" s="66" t="str">
        <x:v>SRS-007</x:v>
      </x:c>
      <x:c r="B13" s="66" t="str">
        <x:v>GDANREP</x:v>
      </x:c>
      <x:c r="C13" s="66" t="str">
        <x:v>Gulf of Gdansk</x:v>
      </x:c>
      <x:c r="D13" s="66" t="str">
        <x:v>Mandatory for applicable vessels</x:v>
      </x:c>
      <x:c r="E13" s="66" t="str">
        <x:v>VTS-015</x:v>
      </x:c>
      <x:c r="F13" s="66" t="str">
        <x:v>Core TSS screen</x:v>
      </x:c>
      <x:c r="G13" s="66" t="str">
        <x:v>Scheme and receiving VTS confirmed by Polish authority</x:v>
      </x:c>
      <x:c r="H13" s="66" t="str">
        <x:v>SRC-019; SRC-010</x:v>
      </x:c>
      <x:c r="I13" s="67" t="str">
        <x:v>https://www.umgdy.gov.pl/en/marine-safety/vts-zatoka-gdanska-en/
https://www.transportstyrelsen.se/sv/sjofart/sjotrafik-och-hamnar/sjotrafikrapporteringssystem-srs/</x:v>
      </x:c>
      <x:c r="J13" s="66" t="str">
        <x:v>The authority links the GDANREP border, VTS area, and East/West TSS. Current detailed participation and reporting instructions remain to be audited.</x:v>
      </x:c>
      <x:c r="K13" s="66" t="str">
        <x:v>2026-09-29</x:v>
      </x:c>
    </x:row>
    <x:row r="14" ht="66" customHeight="1">
      <x:c r="A14" s="70" t="str">
        <x:v>SRS-008</x:v>
      </x:c>
      <x:c r="B14" s="70" t="str">
        <x:v>Offshore Vessel Movement Reporting System (OVMRS)</x:v>
      </x:c>
      <x:c r="C14" s="70" t="str">
        <x:v>Off San Francisco</x:v>
      </x:c>
      <x:c r="D14" s="70" t="str">
        <x:v>Voluntary</x:v>
      </x:c>
      <x:c r="E14" s="70" t="str">
        <x:v>VTS-011</x:v>
      </x:c>
      <x:c r="F14" s="70" t="str">
        <x:v>Additional voluntary reporting</x:v>
      </x:c>
      <x:c r="G14" s="70" t="str">
        <x:v>Voluntary scheme identified by operating authority</x:v>
      </x:c>
      <x:c r="H14" s="70" t="str">
        <x:v>SRC-017</x:v>
      </x:c>
      <x:c r="I14" s="71" t="str">
        <x:v>https://www.navcen.uscg.gov/vessel-traffic-services-locations</x:v>
      </x:c>
      <x:c r="J14" s="70" t="str">
        <x:v>Restored from the earlier release. Excluded from the mandatory-scheme subtotal; offshore TSS relationship remains provisional.</x:v>
      </x:c>
      <x:c r="K14" s="70" t="str">
        <x:v>2026-09-29</x:v>
      </x:c>
    </x:row>
  </x:sheetData>
  <x:mergeCells>
    <x:mergeCell ref="A1:H2"/>
    <x:mergeCell ref="A3:H4"/>
  </x:mergeCells>
  <x:pageMargins left="0.7" right="0.7" top="0.75" bottom="0.75" header="0.3" footer="0.3"/>
  <x:tableParts count="1">
    <x:tablePart xmlns:r="http://schemas.openxmlformats.org/officeDocument/2006/relationships" r:id="R8f480da212dc4cf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36" hidden="0" customWidth="1"/>
    <x:col min="5" max="5" width="38" hidden="0" customWidth="1"/>
    <x:col min="6" max="6" width="22" hidden="0" customWidth="1"/>
    <x:col min="7" max="7" width="48" hidden="0" customWidth="1"/>
    <x:col min="8" max="8" width="48" hidden="0" customWidth="1"/>
  </x:cols>
  <x:sheetData>
    <x:row r="1" ht="23" customHeight="1">
      <x:c r="A1" s="44" t="str">
        <x:v>ENTITY RELATIONSHIPS</x:v>
      </x:c>
      <x:c r="B1" s="44"/>
      <x:c r="C1" s="44"/>
      <x:c r="D1" s="44"/>
      <x:c r="E1" s="44"/>
      <x:c r="F1" s="44"/>
      <x:c r="G1" s="44"/>
      <x:c r="H1" s="44"/>
    </x:row>
    <x:row r="2" ht="23" customHeight="1">
      <x:c r="A2" s="44"/>
      <x:c r="B2" s="44"/>
      <x:c r="C2" s="44"/>
      <x:c r="D2" s="44"/>
      <x:c r="E2" s="44"/>
      <x:c r="F2" s="44"/>
      <x:c r="G2" s="44"/>
      <x:c r="H2" s="44"/>
    </x:row>
    <x:row r="3" ht="21" customHeight="1">
      <x:c r="A3" s="12" t="str">
        <x:v>Version 0.2 | 29 September 2026 | Relationships. Reconciled register; see Audit Findings and Overview for limits.</x:v>
      </x:c>
      <x:c r="B3" s="12"/>
      <x:c r="C3" s="12"/>
      <x:c r="D3" s="12"/>
      <x:c r="E3" s="12"/>
      <x:c r="F3" s="12"/>
      <x:c r="G3" s="12"/>
      <x:c r="H3" s="12"/>
    </x:row>
    <x:row r="4" ht="21" customHeight="1">
      <x:c r="A4" s="12"/>
      <x:c r="B4" s="12"/>
      <x:c r="C4" s="12"/>
      <x:c r="D4" s="12"/>
      <x:c r="E4" s="12"/>
      <x:c r="F4" s="12"/>
      <x:c r="G4" s="12"/>
      <x:c r="H4" s="12"/>
    </x:row>
    <x:row r="6" ht="34" customHeight="1">
      <x:c r="A6" s="65" t="str">
        <x:v>Link ID</x:v>
      </x:c>
      <x:c r="B6" s="65" t="str">
        <x:v>From ID</x:v>
      </x:c>
      <x:c r="C6" s="65" t="str">
        <x:v>To ID</x:v>
      </x:c>
      <x:c r="D6" s="65" t="str">
        <x:v>Relationship</x:v>
      </x:c>
      <x:c r="E6" s="65" t="str">
        <x:v>Evidence status</x:v>
      </x:c>
      <x:c r="F6" s="65" t="str">
        <x:v>Source IDs</x:v>
      </x:c>
      <x:c r="G6" s="65" t="str">
        <x:v>Source URLs</x:v>
      </x:c>
      <x:c r="H6" s="65" t="str">
        <x:v>Limit / next check</x:v>
      </x:c>
    </x:row>
    <x:row r="7" ht="147" customHeight="1">
      <x:c r="A7" s="66" t="str">
        <x:v>LNK-0001</x:v>
      </x:c>
      <x:c r="B7" s="66" t="str">
        <x:v>SRS-001</x:v>
      </x:c>
      <x:c r="C7" s="66" t="str">
        <x:v>VTS-001</x:v>
      </x:c>
      <x:c r="D7" s="66" t="str">
        <x:v>Reporting system served by</x:v>
      </x:c>
      <x:c r="E7" s="66" t="str">
        <x:v>Authority-supported identity</x:v>
      </x:c>
      <x:c r="F7" s="66" t="str">
        <x:v>SRC-004; SRC-005</x:v>
      </x:c>
      <x:c r="G7" s="67" t="str">
        <x:v>https://www.gov.uk/government/publications/dover-strait-crossings-channel-navigation-information-service/dover-strait-crossings-channel-navigation-information-service-cnis
https://www.gov.uk/government/publications/mgn-364-mf-amendment-2-navigation-safety-traffic-separation-schemes-application-of-rule-10-and-navigation-in-the-dover-strait/mgn-364-mf-amendment-2-navigation-safety-traffic-separation-schemes-application-of-rule-10-and-navigation-in-the-dover-strait</x:v>
      </x:c>
      <x:c r="H7" s="66" t="str">
        <x:v>Does not determine the number of guide entries.</x:v>
      </x:c>
    </x:row>
    <x:row r="8" ht="60" customHeight="1">
      <x:c r="A8" s="70" t="str">
        <x:v>LNK-0002</x:v>
      </x:c>
      <x:c r="B8" s="70" t="str">
        <x:v>SRS-002</x:v>
      </x:c>
      <x:c r="C8" s="70" t="str">
        <x:v>VTS-002</x:v>
      </x:c>
      <x:c r="D8" s="70" t="str">
        <x:v>Reporting system served by</x:v>
      </x:c>
      <x:c r="E8" s="70" t="str">
        <x:v>Authority-supported identity</x:v>
      </x:c>
      <x:c r="F8" s="70" t="str">
        <x:v>SRC-008</x:v>
      </x:c>
      <x:c r="G8" s="71" t="str">
        <x:v>https://www.forsvaret.dk/da/organisation/soevaernet/civile-opgaver/beltrep/</x:v>
      </x:c>
      <x:c r="H8" s="70" t="str">
        <x:v>Does not determine the number of guide entries.</x:v>
      </x:c>
    </x:row>
    <x:row r="9" ht="79.5" customHeight="1">
      <x:c r="A9" s="66" t="str">
        <x:v>LNK-0003</x:v>
      </x:c>
      <x:c r="B9" s="66" t="str">
        <x:v>SRS-003</x:v>
      </x:c>
      <x:c r="C9" s="66" t="str">
        <x:v>VTS-003</x:v>
      </x:c>
      <x:c r="D9" s="66" t="str">
        <x:v>Reporting system served by</x:v>
      </x:c>
      <x:c r="E9" s="66" t="str">
        <x:v>Authority-supported identity</x:v>
      </x:c>
      <x:c r="F9" s="66" t="str">
        <x:v>SRC-009; SRC-010</x:v>
      </x:c>
      <x:c r="G9" s="67" t="str">
        <x:v>https://www.sjofartsverket.se/en/services/maritime-traffic-information/soundrep/soundrep-information/about-soundrep/
https://www.transportstyrelsen.se/sv/sjofart/sjotrafik-och-hamnar/sjotrafikrapporteringssystem-srs/</x:v>
      </x:c>
      <x:c r="H9" s="66" t="str">
        <x:v>Does not determine the number of guide entries.</x:v>
      </x:c>
    </x:row>
    <x:row r="10" ht="79.5" customHeight="1">
      <x:c r="A10" s="70" t="str">
        <x:v>LNK-0004</x:v>
      </x:c>
      <x:c r="B10" s="70" t="str">
        <x:v>SRS-004</x:v>
      </x:c>
      <x:c r="C10" s="70" t="str">
        <x:v>VTS-004</x:v>
      </x:c>
      <x:c r="D10" s="70" t="str">
        <x:v>Reporting system served by</x:v>
      </x:c>
      <x:c r="E10" s="70" t="str">
        <x:v>Authority-supported identity</x:v>
      </x:c>
      <x:c r="F10" s="70" t="str">
        <x:v>SRC-006; SRC-007</x:v>
      </x:c>
      <x:c r="G10" s="71" t="str">
        <x:v>https://www.mpa.gov.sg/port-marine-ops/operations/vessel-traffic-information-system
https://www.mpa.gov.sg/port-marine-ops/operations/vessel-traffic-information-system/operational-areas</x:v>
      </x:c>
      <x:c r="H10" s="70" t="str">
        <x:v>Does not determine the number of guide entries.</x:v>
      </x:c>
    </x:row>
    <x:row r="11" ht="79.5" customHeight="1">
      <x:c r="A11" s="66" t="str">
        <x:v>LNK-0005</x:v>
      </x:c>
      <x:c r="B11" s="66" t="str">
        <x:v>SRS-004</x:v>
      </x:c>
      <x:c r="C11" s="66" t="str">
        <x:v>VTS-005</x:v>
      </x:c>
      <x:c r="D11" s="66" t="str">
        <x:v>Reporting system served by</x:v>
      </x:c>
      <x:c r="E11" s="66" t="str">
        <x:v>Authority-supported identity</x:v>
      </x:c>
      <x:c r="F11" s="66" t="str">
        <x:v>SRC-006; SRC-007</x:v>
      </x:c>
      <x:c r="G11" s="67" t="str">
        <x:v>https://www.mpa.gov.sg/port-marine-ops/operations/vessel-traffic-information-system
https://www.mpa.gov.sg/port-marine-ops/operations/vessel-traffic-information-system/operational-areas</x:v>
      </x:c>
      <x:c r="H11" s="66" t="str">
        <x:v>Does not determine the number of guide entries.</x:v>
      </x:c>
    </x:row>
    <x:row r="12" ht="79.5" customHeight="1">
      <x:c r="A12" s="70" t="str">
        <x:v>LNK-0006</x:v>
      </x:c>
      <x:c r="B12" s="70" t="str">
        <x:v>SRS-004</x:v>
      </x:c>
      <x:c r="C12" s="70" t="str">
        <x:v>VTS-006</x:v>
      </x:c>
      <x:c r="D12" s="70" t="str">
        <x:v>Reporting system served by</x:v>
      </x:c>
      <x:c r="E12" s="70" t="str">
        <x:v>Authority-supported identity</x:v>
      </x:c>
      <x:c r="F12" s="70" t="str">
        <x:v>SRC-006; SRC-007</x:v>
      </x:c>
      <x:c r="G12" s="71" t="str">
        <x:v>https://www.mpa.gov.sg/port-marine-ops/operations/vessel-traffic-information-system
https://www.mpa.gov.sg/port-marine-ops/operations/vessel-traffic-information-system/operational-areas</x:v>
      </x:c>
      <x:c r="H12" s="70" t="str">
        <x:v>Does not determine the number of guide entries.</x:v>
      </x:c>
    </x:row>
    <x:row r="13" ht="60" customHeight="1">
      <x:c r="A13" s="66" t="str">
        <x:v>LNK-0007</x:v>
      </x:c>
      <x:c r="B13" s="66" t="str">
        <x:v>SRS-005</x:v>
      </x:c>
      <x:c r="C13" s="66" t="str">
        <x:v>VTS-007</x:v>
      </x:c>
      <x:c r="D13" s="66" t="str">
        <x:v>Reporting system served by</x:v>
      </x:c>
      <x:c r="E13" s="66" t="str">
        <x:v>Authority-supported identity</x:v>
      </x:c>
      <x:c r="F13" s="66" t="str">
        <x:v>SRC-018; SRC-013</x:v>
      </x:c>
      <x:c r="G13" s="67" t="str">
        <x:v>https://www.msq.qld.gov.au/shipping/reefvts
https://www.amsa.gov.au/about/regulations-and-standards/marine-order-63-vessel-reporting-systems</x:v>
      </x:c>
      <x:c r="H13" s="66" t="str">
        <x:v>Does not determine the number of guide entries.</x:v>
      </x:c>
    </x:row>
    <x:row r="14" ht="147" customHeight="1">
      <x:c r="A14" s="70" t="str">
        <x:v>LNK-0008</x:v>
      </x:c>
      <x:c r="B14" s="70" t="str">
        <x:v>TSS-0005</x:v>
      </x:c>
      <x:c r="C14" s="70" t="str">
        <x:v>VTS-001</x:v>
      </x:c>
      <x:c r="D14" s="70" t="str">
        <x:v>Associated service / reporting scheme</x:v>
      </x:c>
      <x:c r="E14" s="70" t="str">
        <x:v>Authority-supported association</x:v>
      </x:c>
      <x:c r="F14" s="70" t="str">
        <x:v>SRC-004; SRC-005</x:v>
      </x:c>
      <x:c r="G14" s="71" t="str">
        <x:v>https://www.gov.uk/government/publications/dover-strait-crossings-channel-navigation-information-service/dover-strait-crossings-channel-navigation-information-service-cnis
https://www.gov.uk/government/publications/mgn-364-mf-amendment-2-navigation-safety-traffic-separation-schemes-application-of-rule-10-and-navigation-in-the-dover-strait/mgn-364-mf-amendment-2-navigation-safety-traffic-separation-schemes-application-of-rule-10-and-navigation-in-the-dover-strait</x:v>
      </x:c>
      <x:c r="H14" s="70" t="str">
        <x:v>Identity-level screen only; reporting boundaries and applicability not fully audited.</x:v>
      </x:c>
    </x:row>
    <x:row r="15" ht="147" customHeight="1">
      <x:c r="A15" s="66" t="str">
        <x:v>LNK-0009</x:v>
      </x:c>
      <x:c r="B15" s="66" t="str">
        <x:v>TSS-0005</x:v>
      </x:c>
      <x:c r="C15" s="66" t="str">
        <x:v>SRS-001</x:v>
      </x:c>
      <x:c r="D15" s="66" t="str">
        <x:v>Associated service / reporting scheme</x:v>
      </x:c>
      <x:c r="E15" s="66" t="str">
        <x:v>Authority-supported association</x:v>
      </x:c>
      <x:c r="F15" s="66" t="str">
        <x:v>SRC-004; SRC-005</x:v>
      </x:c>
      <x:c r="G15" s="67" t="str">
        <x:v>https://www.gov.uk/government/publications/dover-strait-crossings-channel-navigation-information-service/dover-strait-crossings-channel-navigation-information-service-cnis
https://www.gov.uk/government/publications/mgn-364-mf-amendment-2-navigation-safety-traffic-separation-schemes-application-of-rule-10-and-navigation-in-the-dover-strait/mgn-364-mf-amendment-2-navigation-safety-traffic-separation-schemes-application-of-rule-10-and-navigation-in-the-dover-strait</x:v>
      </x:c>
      <x:c r="H15" s="66" t="str">
        <x:v>Identity-level screen only; reporting boundaries and applicability not fully audited.</x:v>
      </x:c>
    </x:row>
    <x:row r="16" ht="79.5" customHeight="1">
      <x:c r="A16" s="70" t="str">
        <x:v>LNK-0010</x:v>
      </x:c>
      <x:c r="B16" s="70" t="str">
        <x:v>TSS-0038</x:v>
      </x:c>
      <x:c r="C16" s="70" t="str">
        <x:v>SRS-002</x:v>
      </x:c>
      <x:c r="D16" s="70" t="str">
        <x:v>Proposed geographical association</x:v>
      </x:c>
      <x:c r="E16" s="70" t="str">
        <x:v>Authority-supported identity</x:v>
      </x:c>
      <x:c r="F16" s="70" t="str">
        <x:v>SRC-008; SRC-020</x:v>
      </x:c>
      <x:c r="G16" s="71" t="str">
        <x:v>https://www.forsvaret.dk/da/organisation/soevaernet/civile-opgaver/beltrep/
https://wwwcdn.imo.org/localresources/en/KnowledgeCentre/IndexofIMOResolutions/MSCResolutions/MSC.332(90).pdf</x:v>
      </x:c>
      <x:c r="H16" s="70" t="str">
        <x:v>MSC.332(90) names the TSS. Current detailed reporting boundaries and rules still require audit.</x:v>
      </x:c>
    </x:row>
    <x:row r="17" ht="79.5" customHeight="1">
      <x:c r="A17" s="66" t="str">
        <x:v>LNK-0011</x:v>
      </x:c>
      <x:c r="B17" s="66" t="str">
        <x:v>TSS-0039</x:v>
      </x:c>
      <x:c r="C17" s="66" t="str">
        <x:v>SRS-002</x:v>
      </x:c>
      <x:c r="D17" s="66" t="str">
        <x:v>Proposed geographical association</x:v>
      </x:c>
      <x:c r="E17" s="66" t="str">
        <x:v>Authority-supported identity</x:v>
      </x:c>
      <x:c r="F17" s="66" t="str">
        <x:v>SRC-008; SRC-020</x:v>
      </x:c>
      <x:c r="G17" s="67" t="str">
        <x:v>https://www.forsvaret.dk/da/organisation/soevaernet/civile-opgaver/beltrep/
https://wwwcdn.imo.org/localresources/en/KnowledgeCentre/IndexofIMOResolutions/MSCResolutions/MSC.332(90).pdf</x:v>
      </x:c>
      <x:c r="H17" s="66" t="str">
        <x:v>MSC.332(90) names the TSS. Current detailed reporting boundaries and rules still require audit.</x:v>
      </x:c>
    </x:row>
    <x:row r="18" ht="79.5" customHeight="1">
      <x:c r="A18" s="70" t="str">
        <x:v>LNK-0012</x:v>
      </x:c>
      <x:c r="B18" s="70" t="str">
        <x:v>TSS-0040</x:v>
      </x:c>
      <x:c r="C18" s="70" t="str">
        <x:v>SRS-003</x:v>
      </x:c>
      <x:c r="D18" s="70" t="str">
        <x:v>Proposed geographical association</x:v>
      </x:c>
      <x:c r="E18" s="70" t="str">
        <x:v>Authority-supported identity</x:v>
      </x:c>
      <x:c r="F18" s="70" t="str">
        <x:v>SRC-009; SRC-021</x:v>
      </x:c>
      <x:c r="G18" s="71" t="str">
        <x:v>https://www.sjofartsverket.se/en/services/maritime-traffic-information/soundrep/soundrep-information/about-soundrep/
https://www.sjofartsverket.se/globalassets/tjanster/sjotrafiktjanster/msc.31488.pdf</x:v>
      </x:c>
      <x:c r="H18" s="70" t="str">
        <x:v>MSC.314(88) names the TSS. Full operational reconciliation remains pending.</x:v>
      </x:c>
    </x:row>
    <x:row r="19" ht="60" customHeight="1">
      <x:c r="A19" s="66" t="str">
        <x:v>LNK-0013</x:v>
      </x:c>
      <x:c r="B19" s="66" t="str">
        <x:v>TSS-0024</x:v>
      </x:c>
      <x:c r="C19" s="66" t="str">
        <x:v>SRS-006</x:v>
      </x:c>
      <x:c r="D19" s="66" t="str">
        <x:v>TSS associated with reporting area</x:v>
      </x:c>
      <x:c r="E19" s="66" t="str">
        <x:v>Authority-supported association</x:v>
      </x:c>
      <x:c r="F19" s="66" t="str">
        <x:v>SRC-012</x:v>
      </x:c>
      <x:c r="G19" s="67" t="str">
        <x:v>https://www.fintraffic.fi/sv/node/254</x:v>
      </x:c>
      <x:c r="H19" s="66" t="str">
        <x:v>Do not infer local VTS coverage from GOFREP participation.</x:v>
      </x:c>
    </x:row>
    <x:row r="20" ht="60" customHeight="1">
      <x:c r="A20" s="70" t="str">
        <x:v>LNK-0014</x:v>
      </x:c>
      <x:c r="B20" s="70" t="str">
        <x:v>TSS-0025</x:v>
      </x:c>
      <x:c r="C20" s="70" t="str">
        <x:v>SRS-006</x:v>
      </x:c>
      <x:c r="D20" s="70" t="str">
        <x:v>TSS associated with reporting area</x:v>
      </x:c>
      <x:c r="E20" s="70" t="str">
        <x:v>Authority-supported association</x:v>
      </x:c>
      <x:c r="F20" s="70" t="str">
        <x:v>SRC-012</x:v>
      </x:c>
      <x:c r="G20" s="71" t="str">
        <x:v>https://www.fintraffic.fi/sv/node/254</x:v>
      </x:c>
      <x:c r="H20" s="70" t="str">
        <x:v>Do not infer local VTS coverage from GOFREP participation.</x:v>
      </x:c>
    </x:row>
    <x:row r="21" ht="60" customHeight="1">
      <x:c r="A21" s="66" t="str">
        <x:v>LNK-0015</x:v>
      </x:c>
      <x:c r="B21" s="66" t="str">
        <x:v>TSS-0026</x:v>
      </x:c>
      <x:c r="C21" s="66" t="str">
        <x:v>SRS-006</x:v>
      </x:c>
      <x:c r="D21" s="66" t="str">
        <x:v>TSS associated with reporting area</x:v>
      </x:c>
      <x:c r="E21" s="66" t="str">
        <x:v>Authority-supported association</x:v>
      </x:c>
      <x:c r="F21" s="66" t="str">
        <x:v>SRC-012</x:v>
      </x:c>
      <x:c r="G21" s="67" t="str">
        <x:v>https://www.fintraffic.fi/sv/node/254</x:v>
      </x:c>
      <x:c r="H21" s="66" t="str">
        <x:v>Do not infer local VTS coverage from GOFREP participation.</x:v>
      </x:c>
    </x:row>
    <x:row r="22" ht="60" customHeight="1">
      <x:c r="A22" s="70" t="str">
        <x:v>LNK-0016</x:v>
      </x:c>
      <x:c r="B22" s="70" t="str">
        <x:v>TSS-0027</x:v>
      </x:c>
      <x:c r="C22" s="70" t="str">
        <x:v>SRS-006</x:v>
      </x:c>
      <x:c r="D22" s="70" t="str">
        <x:v>TSS associated with reporting area</x:v>
      </x:c>
      <x:c r="E22" s="70" t="str">
        <x:v>Authority-supported association</x:v>
      </x:c>
      <x:c r="F22" s="70" t="str">
        <x:v>SRC-012</x:v>
      </x:c>
      <x:c r="G22" s="71" t="str">
        <x:v>https://www.fintraffic.fi/sv/node/254</x:v>
      </x:c>
      <x:c r="H22" s="70" t="str">
        <x:v>Do not infer local VTS coverage from GOFREP participation.</x:v>
      </x:c>
    </x:row>
    <x:row r="23" ht="79.5" customHeight="1">
      <x:c r="A23" s="66" t="str">
        <x:v>LNK-0017</x:v>
      </x:c>
      <x:c r="B23" s="66" t="str">
        <x:v>TSS-0107</x:v>
      </x:c>
      <x:c r="C23" s="66" t="str">
        <x:v>SRS-004</x:v>
      </x:c>
      <x:c r="D23" s="66" t="str">
        <x:v>Candidate segment of covered routeing system</x:v>
      </x:c>
      <x:c r="E23" s="66" t="str">
        <x:v>System-level only; component mapping pending</x:v>
      </x:c>
      <x:c r="F23" s="66" t="str">
        <x:v>SRC-006; SRC-007</x:v>
      </x:c>
      <x:c r="G23" s="67" t="str">
        <x:v>https://www.mpa.gov.sg/port-marine-ops/operations/vessel-traffic-information-system
https://www.mpa.gov.sg/port-marine-ops/operations/vessel-traffic-information-system/operational-areas</x:v>
      </x:c>
      <x:c r="H23" s="66" t="str">
        <x:v>Allocate the segment to the relevant service and reporting sector using authoritative boundaries.</x:v>
      </x:c>
    </x:row>
    <x:row r="24" ht="79.5" customHeight="1">
      <x:c r="A24" s="70" t="str">
        <x:v>LNK-0018</x:v>
      </x:c>
      <x:c r="B24" s="70" t="str">
        <x:v>TSS-0108</x:v>
      </x:c>
      <x:c r="C24" s="70" t="str">
        <x:v>SRS-004</x:v>
      </x:c>
      <x:c r="D24" s="70" t="str">
        <x:v>Candidate segment of covered routeing system</x:v>
      </x:c>
      <x:c r="E24" s="70" t="str">
        <x:v>System-level only; component mapping pending</x:v>
      </x:c>
      <x:c r="F24" s="70" t="str">
        <x:v>SRC-006; SRC-007</x:v>
      </x:c>
      <x:c r="G24" s="71" t="str">
        <x:v>https://www.mpa.gov.sg/port-marine-ops/operations/vessel-traffic-information-system
https://www.mpa.gov.sg/port-marine-ops/operations/vessel-traffic-information-system/operational-areas</x:v>
      </x:c>
      <x:c r="H24" s="70" t="str">
        <x:v>Allocate the segment to the relevant service and reporting sector using authoritative boundaries.</x:v>
      </x:c>
    </x:row>
    <x:row r="25" ht="79.5" customHeight="1">
      <x:c r="A25" s="66" t="str">
        <x:v>LNK-0019</x:v>
      </x:c>
      <x:c r="B25" s="66" t="str">
        <x:v>TSS-0109</x:v>
      </x:c>
      <x:c r="C25" s="66" t="str">
        <x:v>SRS-004</x:v>
      </x:c>
      <x:c r="D25" s="66" t="str">
        <x:v>Candidate segment of covered routeing system</x:v>
      </x:c>
      <x:c r="E25" s="66" t="str">
        <x:v>System-level only; component mapping pending</x:v>
      </x:c>
      <x:c r="F25" s="66" t="str">
        <x:v>SRC-006; SRC-007</x:v>
      </x:c>
      <x:c r="G25" s="67" t="str">
        <x:v>https://www.mpa.gov.sg/port-marine-ops/operations/vessel-traffic-information-system
https://www.mpa.gov.sg/port-marine-ops/operations/vessel-traffic-information-system/operational-areas</x:v>
      </x:c>
      <x:c r="H25" s="66" t="str">
        <x:v>Allocate the segment to the relevant service and reporting sector using authoritative boundaries.</x:v>
      </x:c>
    </x:row>
    <x:row r="26" ht="79.5" customHeight="1">
      <x:c r="A26" s="70" t="str">
        <x:v>LNK-0020</x:v>
      </x:c>
      <x:c r="B26" s="70" t="str">
        <x:v>TSS-0110</x:v>
      </x:c>
      <x:c r="C26" s="70" t="str">
        <x:v>SRS-004</x:v>
      </x:c>
      <x:c r="D26" s="70" t="str">
        <x:v>Candidate segment of covered routeing system</x:v>
      </x:c>
      <x:c r="E26" s="70" t="str">
        <x:v>System-level only; component mapping pending</x:v>
      </x:c>
      <x:c r="F26" s="70" t="str">
        <x:v>SRC-006; SRC-007</x:v>
      </x:c>
      <x:c r="G26" s="71" t="str">
        <x:v>https://www.mpa.gov.sg/port-marine-ops/operations/vessel-traffic-information-system
https://www.mpa.gov.sg/port-marine-ops/operations/vessel-traffic-information-system/operational-areas</x:v>
      </x:c>
      <x:c r="H26" s="70" t="str">
        <x:v>Allocate the segment to the relevant service and reporting sector using authoritative boundaries.</x:v>
      </x:c>
    </x:row>
    <x:row r="27" ht="79.5" customHeight="1">
      <x:c r="A27" s="66" t="str">
        <x:v>LNK-0021</x:v>
      </x:c>
      <x:c r="B27" s="66" t="str">
        <x:v>TSS-0111</x:v>
      </x:c>
      <x:c r="C27" s="66" t="str">
        <x:v>SRS-004</x:v>
      </x:c>
      <x:c r="D27" s="66" t="str">
        <x:v>Candidate segment of covered routeing system</x:v>
      </x:c>
      <x:c r="E27" s="66" t="str">
        <x:v>System-level only; component mapping pending</x:v>
      </x:c>
      <x:c r="F27" s="66" t="str">
        <x:v>SRC-006; SRC-007</x:v>
      </x:c>
      <x:c r="G27" s="67" t="str">
        <x:v>https://www.mpa.gov.sg/port-marine-ops/operations/vessel-traffic-information-system
https://www.mpa.gov.sg/port-marine-ops/operations/vessel-traffic-information-system/operational-areas</x:v>
      </x:c>
      <x:c r="H27" s="66" t="str">
        <x:v>Allocate the segment to the relevant service and reporting sector using authoritative boundaries.</x:v>
      </x:c>
    </x:row>
    <x:row r="28" ht="79.5" customHeight="1">
      <x:c r="A28" s="70" t="str">
        <x:v>LNK-0022</x:v>
      </x:c>
      <x:c r="B28" s="70" t="str">
        <x:v>TSS-0112</x:v>
      </x:c>
      <x:c r="C28" s="70" t="str">
        <x:v>SRS-004</x:v>
      </x:c>
      <x:c r="D28" s="70" t="str">
        <x:v>Candidate segment of covered routeing system</x:v>
      </x:c>
      <x:c r="E28" s="70" t="str">
        <x:v>System-level only; component mapping pending</x:v>
      </x:c>
      <x:c r="F28" s="70" t="str">
        <x:v>SRC-006; SRC-007</x:v>
      </x:c>
      <x:c r="G28" s="71" t="str">
        <x:v>https://www.mpa.gov.sg/port-marine-ops/operations/vessel-traffic-information-system
https://www.mpa.gov.sg/port-marine-ops/operations/vessel-traffic-information-system/operational-areas</x:v>
      </x:c>
      <x:c r="H28" s="70" t="str">
        <x:v>Allocate the segment to the relevant service and reporting sector using authoritative boundaries.</x:v>
      </x:c>
    </x:row>
    <x:row r="29" ht="79.5" customHeight="1">
      <x:c r="A29" s="66" t="str">
        <x:v>LNK-0023</x:v>
      </x:c>
      <x:c r="B29" s="66" t="str">
        <x:v>TSS-0113</x:v>
      </x:c>
      <x:c r="C29" s="66" t="str">
        <x:v>SRS-004</x:v>
      </x:c>
      <x:c r="D29" s="66" t="str">
        <x:v>Candidate segment of covered routeing system</x:v>
      </x:c>
      <x:c r="E29" s="66" t="str">
        <x:v>System-level only; component mapping pending</x:v>
      </x:c>
      <x:c r="F29" s="66" t="str">
        <x:v>SRC-006; SRC-007</x:v>
      </x:c>
      <x:c r="G29" s="67" t="str">
        <x:v>https://www.mpa.gov.sg/port-marine-ops/operations/vessel-traffic-information-system
https://www.mpa.gov.sg/port-marine-ops/operations/vessel-traffic-information-system/operational-areas</x:v>
      </x:c>
      <x:c r="H29" s="66" t="str">
        <x:v>Allocate the segment to the relevant service and reporting sector using authoritative boundaries.</x:v>
      </x:c>
    </x:row>
    <x:row r="30" ht="79.5" customHeight="1">
      <x:c r="A30" s="70" t="str">
        <x:v>LNK-0024</x:v>
      </x:c>
      <x:c r="B30" s="70" t="str">
        <x:v>TSS-0114</x:v>
      </x:c>
      <x:c r="C30" s="70" t="str">
        <x:v>SRS-004</x:v>
      </x:c>
      <x:c r="D30" s="70" t="str">
        <x:v>Candidate segment of covered routeing system</x:v>
      </x:c>
      <x:c r="E30" s="70" t="str">
        <x:v>System-level only; component mapping pending</x:v>
      </x:c>
      <x:c r="F30" s="70" t="str">
        <x:v>SRC-006; SRC-007</x:v>
      </x:c>
      <x:c r="G30" s="71" t="str">
        <x:v>https://www.mpa.gov.sg/port-marine-ops/operations/vessel-traffic-information-system
https://www.mpa.gov.sg/port-marine-ops/operations/vessel-traffic-information-system/operational-areas</x:v>
      </x:c>
      <x:c r="H30" s="70" t="str">
        <x:v>Allocate the segment to the relevant service and reporting sector using authoritative boundaries.</x:v>
      </x:c>
    </x:row>
    <x:row r="31" ht="60" customHeight="1">
      <x:c r="A31" s="66" t="str">
        <x:v>LNK-0025</x:v>
      </x:c>
      <x:c r="B31" s="66" t="str">
        <x:v>TSS-0043</x:v>
      </x:c>
      <x:c r="C31" s="66" t="str">
        <x:v>SRS-007</x:v>
      </x:c>
      <x:c r="D31" s="66" t="str">
        <x:v>Proposed geographical association</x:v>
      </x:c>
      <x:c r="E31" s="66" t="str">
        <x:v>Authority-supported identity</x:v>
      </x:c>
      <x:c r="F31" s="66" t="str">
        <x:v>SRC-019</x:v>
      </x:c>
      <x:c r="G31" s="67" t="str">
        <x:v>https://www.umgdy.gov.pl/en/marine-safety/vts-zatoka-gdanska-en/</x:v>
      </x:c>
      <x:c r="H31" s="66" t="str">
        <x:v>Parent entry contains East/West TSS; separate component records are non-additive.</x:v>
      </x:c>
    </x:row>
    <x:row r="32" ht="79.5" customHeight="1">
      <x:c r="A32" s="70" t="str">
        <x:v>LNK-0026</x:v>
      </x:c>
      <x:c r="B32" s="70" t="str">
        <x:v>TSS-0038</x:v>
      </x:c>
      <x:c r="C32" s="70" t="str">
        <x:v>VTS-002</x:v>
      </x:c>
      <x:c r="D32" s="70" t="str">
        <x:v>TSS associated with service</x:v>
      </x:c>
      <x:c r="E32" s="70" t="str">
        <x:v>Authority-supported identity</x:v>
      </x:c>
      <x:c r="F32" s="70" t="str">
        <x:v>SRC-008; SRC-020</x:v>
      </x:c>
      <x:c r="G32" s="71" t="str">
        <x:v>https://www.forsvaret.dk/da/organisation/soevaernet/civile-opgaver/beltrep/
https://wwwcdn.imo.org/localresources/en/KnowledgeCentre/IndexofIMOResolutions/MSCResolutions/MSC.332(90).pdf</x:v>
      </x:c>
      <x:c r="H32" s="70" t="str">
        <x:v>Named association supported; no completed coordinate or operational audit.</x:v>
      </x:c>
    </x:row>
    <x:row r="33" ht="79.5" customHeight="1">
      <x:c r="A33" s="66" t="str">
        <x:v>LNK-0027</x:v>
      </x:c>
      <x:c r="B33" s="66" t="str">
        <x:v>TSS-0039</x:v>
      </x:c>
      <x:c r="C33" s="66" t="str">
        <x:v>VTS-002</x:v>
      </x:c>
      <x:c r="D33" s="66" t="str">
        <x:v>TSS associated with service</x:v>
      </x:c>
      <x:c r="E33" s="66" t="str">
        <x:v>Authority-supported identity</x:v>
      </x:c>
      <x:c r="F33" s="66" t="str">
        <x:v>SRC-008; SRC-020</x:v>
      </x:c>
      <x:c r="G33" s="67" t="str">
        <x:v>https://www.forsvaret.dk/da/organisation/soevaernet/civile-opgaver/beltrep/
https://wwwcdn.imo.org/localresources/en/KnowledgeCentre/IndexofIMOResolutions/MSCResolutions/MSC.332(90).pdf</x:v>
      </x:c>
      <x:c r="H33" s="66" t="str">
        <x:v>Named association supported; no completed coordinate or operational audit.</x:v>
      </x:c>
    </x:row>
    <x:row r="34" ht="79.5" customHeight="1">
      <x:c r="A34" s="70" t="str">
        <x:v>LNK-0028</x:v>
      </x:c>
      <x:c r="B34" s="70" t="str">
        <x:v>TSS-0040</x:v>
      </x:c>
      <x:c r="C34" s="70" t="str">
        <x:v>VTS-003</x:v>
      </x:c>
      <x:c r="D34" s="70" t="str">
        <x:v>TSS associated with service</x:v>
      </x:c>
      <x:c r="E34" s="70" t="str">
        <x:v>Authority-supported identity</x:v>
      </x:c>
      <x:c r="F34" s="70" t="str">
        <x:v>SRC-009; SRC-021</x:v>
      </x:c>
      <x:c r="G34" s="71" t="str">
        <x:v>https://www.sjofartsverket.se/en/services/maritime-traffic-information/soundrep/soundrep-information/about-soundrep/
https://www.sjofartsverket.se/globalassets/tjanster/sjotrafiktjanster/msc.31488.pdf</x:v>
      </x:c>
      <x:c r="H34" s="70" t="str">
        <x:v>Named association supported; no completed coordinate or operational audit.</x:v>
      </x:c>
    </x:row>
    <x:row r="35" ht="106.5" customHeight="1">
      <x:c r="A35" s="66" t="str">
        <x:v>LNK-0029</x:v>
      </x:c>
      <x:c r="B35" s="66" t="str">
        <x:v>TSS-0041</x:v>
      </x:c>
      <x:c r="C35" s="66" t="str">
        <x:v>VTS-003</x:v>
      </x:c>
      <x:c r="D35" s="66" t="str">
        <x:v>TSS associated with service</x:v>
      </x:c>
      <x:c r="E35" s="66" t="str">
        <x:v>Authority-supported identity</x:v>
      </x:c>
      <x:c r="F35" s="66" t="str">
        <x:v>SRC-009; SRC-015; SRC-021</x:v>
      </x:c>
      <x:c r="G35" s="67" t="str">
        <x:v>https://www.sjofartsverket.se/en/services/maritime-traffic-information/soundrep/soundrep-information/about-soundrep/
https://www.forsvaret.dk/da/organisation/soevaernet/nationalt-maritimt-operationscenter/vts/
https://www.sjofartsverket.se/globalassets/tjanster/sjotrafiktjanster/msc.31488.pdf</x:v>
      </x:c>
      <x:c r="H35" s="66" t="str">
        <x:v>Named association supported; no completed coordinate or operational audit.</x:v>
      </x:c>
    </x:row>
    <x:row r="36" ht="60" customHeight="1">
      <x:c r="A36" s="70" t="str">
        <x:v>LNK-0030</x:v>
      </x:c>
      <x:c r="B36" s="70" t="str">
        <x:v>TSS-0043</x:v>
      </x:c>
      <x:c r="C36" s="70" t="str">
        <x:v>VTS-015</x:v>
      </x:c>
      <x:c r="D36" s="70" t="str">
        <x:v>TSS associated with service</x:v>
      </x:c>
      <x:c r="E36" s="70" t="str">
        <x:v>Authority-supported identity</x:v>
      </x:c>
      <x:c r="F36" s="70" t="str">
        <x:v>SRC-019</x:v>
      </x:c>
      <x:c r="G36" s="71" t="str">
        <x:v>https://www.umgdy.gov.pl/en/marine-safety/vts-zatoka-gdanska-en/</x:v>
      </x:c>
      <x:c r="H36" s="70" t="str">
        <x:v>Named association supported; no completed coordinate or operational audit.</x:v>
      </x:c>
    </x:row>
    <x:row r="37" ht="106.5" customHeight="1">
      <x:c r="A37" s="66" t="str">
        <x:v>LNK-0031</x:v>
      </x:c>
      <x:c r="B37" s="66" t="str">
        <x:v>TSS-0041</x:v>
      </x:c>
      <x:c r="C37" s="66" t="str">
        <x:v>SRS-003</x:v>
      </x:c>
      <x:c r="D37" s="66" t="str">
        <x:v>TSS associated with reporting scheme</x:v>
      </x:c>
      <x:c r="E37" s="66" t="str">
        <x:v>Authority-supported identity</x:v>
      </x:c>
      <x:c r="F37" s="66" t="str">
        <x:v>SRC-009; SRC-015; SRC-021</x:v>
      </x:c>
      <x:c r="G37" s="67" t="str">
        <x:v>https://www.sjofartsverket.se/en/services/maritime-traffic-information/soundrep/soundrep-information/about-soundrep/
https://www.forsvaret.dk/da/organisation/soevaernet/nationalt-maritimt-operationscenter/vts/
https://www.sjofartsverket.se/globalassets/tjanster/sjotrafiktjanster/msc.31488.pdf</x:v>
      </x:c>
      <x:c r="H37" s="66" t="str">
        <x:v>Formal resolution uses 'Off Falsterbo'; source-label alias reconciliation retained.</x:v>
      </x:c>
    </x:row>
    <x:row r="38" ht="60" customHeight="1">
      <x:c r="A38" s="70" t="str">
        <x:v>LNK-0032</x:v>
      </x:c>
      <x:c r="B38" s="70" t="str">
        <x:v>TSS-0129</x:v>
      </x:c>
      <x:c r="C38" s="70" t="str">
        <x:v>VTS-009</x:v>
      </x:c>
      <x:c r="D38" s="70" t="str">
        <x:v>TSS service research lead</x:v>
      </x:c>
      <x:c r="E38" s="70" t="str">
        <x:v>Proposed; boundary evidence pending</x:v>
      </x:c>
      <x:c r="F38" s="70" t="str">
        <x:v>SRC-017</x:v>
      </x:c>
      <x:c r="G38" s="71" t="str">
        <x:v>https://www.navcen.uscg.gov/vessel-traffic-services-locations</x:v>
      </x:c>
      <x:c r="H38" s="70" t="str">
        <x:v>Verify the exact approach-TSS relationship and participation boundaries.</x:v>
      </x:c>
    </x:row>
    <x:row r="39" ht="60" customHeight="1">
      <x:c r="A39" s="66" t="str">
        <x:v>LNK-0033</x:v>
      </x:c>
      <x:c r="B39" s="66" t="str">
        <x:v>TSS-0130</x:v>
      </x:c>
      <x:c r="C39" s="66" t="str">
        <x:v>VTS-010</x:v>
      </x:c>
      <x:c r="D39" s="66" t="str">
        <x:v>TSS service research lead</x:v>
      </x:c>
      <x:c r="E39" s="66" t="str">
        <x:v>Proposed; boundary evidence pending</x:v>
      </x:c>
      <x:c r="F39" s="66" t="str">
        <x:v>SRC-017</x:v>
      </x:c>
      <x:c r="G39" s="67" t="str">
        <x:v>https://www.navcen.uscg.gov/vessel-traffic-services-locations</x:v>
      </x:c>
      <x:c r="H39" s="66" t="str">
        <x:v>This US service is not the whole cross-border corridor. Canadian service areas require separate records and boundary checks.</x:v>
      </x:c>
    </x:row>
    <x:row r="40" ht="60" customHeight="1">
      <x:c r="A40" s="70" t="str">
        <x:v>LNK-0034</x:v>
      </x:c>
      <x:c r="B40" s="70" t="str">
        <x:v>TSS-0131</x:v>
      </x:c>
      <x:c r="C40" s="70" t="str">
        <x:v>VTS-010</x:v>
      </x:c>
      <x:c r="D40" s="70" t="str">
        <x:v>TSS service research lead</x:v>
      </x:c>
      <x:c r="E40" s="70" t="str">
        <x:v>Proposed; boundary evidence pending</x:v>
      </x:c>
      <x:c r="F40" s="70" t="str">
        <x:v>SRC-017</x:v>
      </x:c>
      <x:c r="G40" s="71" t="str">
        <x:v>https://www.navcen.uscg.gov/vessel-traffic-services-locations</x:v>
      </x:c>
      <x:c r="H40" s="70" t="str">
        <x:v>This US service is not the whole cross-border corridor. Canadian service areas require separate records and boundary checks.</x:v>
      </x:c>
    </x:row>
    <x:row r="41" ht="60" customHeight="1">
      <x:c r="A41" s="66" t="str">
        <x:v>LNK-0035</x:v>
      </x:c>
      <x:c r="B41" s="66" t="str">
        <x:v>TSS-0132</x:v>
      </x:c>
      <x:c r="C41" s="66" t="str">
        <x:v>VTS-011</x:v>
      </x:c>
      <x:c r="D41" s="66" t="str">
        <x:v>TSS service research lead</x:v>
      </x:c>
      <x:c r="E41" s="66" t="str">
        <x:v>Proposed; boundary evidence pending</x:v>
      </x:c>
      <x:c r="F41" s="66" t="str">
        <x:v>SRC-017</x:v>
      </x:c>
      <x:c r="G41" s="67" t="str">
        <x:v>https://www.navcen.uscg.gov/vessel-traffic-services-locations</x:v>
      </x:c>
      <x:c r="H41" s="66" t="str">
        <x:v>Separate VTS requirements from voluntary offshore OVMRS. Offshore TSS coverage remains a research lead.</x:v>
      </x:c>
    </x:row>
    <x:row r="42" ht="60" customHeight="1">
      <x:c r="A42" s="70" t="str">
        <x:v>LNK-0036</x:v>
      </x:c>
      <x:c r="B42" s="70" t="str">
        <x:v>TSS-0133</x:v>
      </x:c>
      <x:c r="C42" s="70" t="str">
        <x:v>VTS-012</x:v>
      </x:c>
      <x:c r="D42" s="70" t="str">
        <x:v>TSS service research lead</x:v>
      </x:c>
      <x:c r="E42" s="70" t="str">
        <x:v>Proposed; boundary evidence pending</x:v>
      </x:c>
      <x:c r="F42" s="70" t="str">
        <x:v>SRC-017</x:v>
      </x:c>
      <x:c r="G42" s="71" t="str">
        <x:v>https://www.navcen.uscg.gov/vessel-traffic-services-locations</x:v>
      </x:c>
      <x:c r="H42" s="70" t="str">
        <x:v>The source TSS heading also includes Santa Barbara Channel. Do not infer whole-heading coverage.</x:v>
      </x:c>
    </x:row>
    <x:row r="43" ht="60" customHeight="1">
      <x:c r="A43" s="66" t="str">
        <x:v>LNK-0037</x:v>
      </x:c>
      <x:c r="B43" s="66" t="str">
        <x:v>TSS-0160</x:v>
      </x:c>
      <x:c r="C43" s="66" t="str">
        <x:v>VTS-013</x:v>
      </x:c>
      <x:c r="D43" s="66" t="str">
        <x:v>TSS service research lead</x:v>
      </x:c>
      <x:c r="E43" s="66" t="str">
        <x:v>Proposed; boundary evidence pending</x:v>
      </x:c>
      <x:c r="F43" s="66" t="str">
        <x:v>SRC-017</x:v>
      </x:c>
      <x:c r="G43" s="67" t="str">
        <x:v>https://www.navcen.uscg.gov/vessel-traffic-services-locations</x:v>
      </x:c>
      <x:c r="H43" s="66" t="str">
        <x:v>The offshore Galveston TSS is an approach lead. Service existence does not establish offshore coverage.</x:v>
      </x:c>
    </x:row>
    <x:row r="44" ht="60" customHeight="1">
      <x:c r="A44" s="70" t="str">
        <x:v>LNK-0038</x:v>
      </x:c>
      <x:c r="B44" s="70" t="str">
        <x:v>TSS-0165</x:v>
      </x:c>
      <x:c r="C44" s="70" t="str">
        <x:v>VTS-014</x:v>
      </x:c>
      <x:c r="D44" s="70" t="str">
        <x:v>TSS service research lead</x:v>
      </x:c>
      <x:c r="E44" s="70" t="str">
        <x:v>Proposed; boundary evidence pending</x:v>
      </x:c>
      <x:c r="F44" s="70" t="str">
        <x:v>SRC-017</x:v>
      </x:c>
      <x:c r="G44" s="71" t="str">
        <x:v>https://www.navcen.uscg.gov/vessel-traffic-services-locations</x:v>
      </x:c>
      <x:c r="H44" s="70" t="str">
        <x:v>The offshore New York TSS link needs geographical and applicability confirmation.</x:v>
      </x:c>
    </x:row>
    <x:row r="45" ht="60" customHeight="1">
      <x:c r="A45" s="66" t="str">
        <x:v>LNK-0039</x:v>
      </x:c>
      <x:c r="B45" s="66" t="str">
        <x:v>TSS-0132</x:v>
      </x:c>
      <x:c r="C45" s="66" t="str">
        <x:v>SRS-008</x:v>
      </x:c>
      <x:c r="D45" s="66" t="str">
        <x:v>TSS reporting research lead</x:v>
      </x:c>
      <x:c r="E45" s="66" t="str">
        <x:v>Proposed; boundary evidence pending</x:v>
      </x:c>
      <x:c r="F45" s="66" t="str">
        <x:v>SRC-017</x:v>
      </x:c>
      <x:c r="G45" s="67" t="str">
        <x:v>https://www.navcen.uscg.gov/vessel-traffic-services-locations</x:v>
      </x:c>
      <x:c r="H45" s="66" t="str">
        <x:v>OVMRS is voluntary. Authority confirms the scheme, but exact TSS overlap has not been checked.</x:v>
      </x:c>
    </x:row>
    <x:row r="46" ht="60" customHeight="1">
      <x:c r="A46" s="70" t="str">
        <x:v>LNK-0040</x:v>
      </x:c>
      <x:c r="B46" s="70" t="str">
        <x:v>SRS-008</x:v>
      </x:c>
      <x:c r="C46" s="70" t="str">
        <x:v>VTS-011</x:v>
      </x:c>
      <x:c r="D46" s="70" t="str">
        <x:v>Reporting system served by</x:v>
      </x:c>
      <x:c r="E46" s="70" t="str">
        <x:v>Authority-supported identity</x:v>
      </x:c>
      <x:c r="F46" s="70" t="str">
        <x:v>SRC-017</x:v>
      </x:c>
      <x:c r="G46" s="71" t="str">
        <x:v>https://www.navcen.uscg.gov/vessel-traffic-services-locations</x:v>
      </x:c>
      <x:c r="H46" s="70" t="str">
        <x:v>Voluntary OVMRS must remain separate from mandatory VTS participation.</x:v>
      </x:c>
    </x:row>
    <x:row r="47" ht="60" customHeight="1">
      <x:c r="A47" s="66" t="str">
        <x:v>LNK-0041</x:v>
      </x:c>
      <x:c r="B47" s="66" t="str">
        <x:v>SRS-007</x:v>
      </x:c>
      <x:c r="C47" s="66" t="str">
        <x:v>VTS-015</x:v>
      </x:c>
      <x:c r="D47" s="66" t="str">
        <x:v>Reporting system served by</x:v>
      </x:c>
      <x:c r="E47" s="66" t="str">
        <x:v>Authority-supported identity</x:v>
      </x:c>
      <x:c r="F47" s="66" t="str">
        <x:v>SRC-019</x:v>
      </x:c>
      <x:c r="G47" s="67" t="str">
        <x:v>https://www.umgdy.gov.pl/en/marine-safety/vts-zatoka-gdanska-en/</x:v>
      </x:c>
      <x:c r="H47" s="66" t="str">
        <x:v>Authority identifies GDANREP and its receiving VTS. Full operational audit pending.</x:v>
      </x:c>
    </x:row>
    <x:row r="48" ht="60" customHeight="1">
      <x:c r="A48" s="70" t="str">
        <x:v>LNK-0042</x:v>
      </x:c>
      <x:c r="B48" s="70" t="str">
        <x:v>TSS-0021</x:v>
      </x:c>
      <x:c r="C48" s="70" t="str">
        <x:v>SRS-006</x:v>
      </x:c>
      <x:c r="D48" s="70" t="str">
        <x:v>Restored reporting research lead</x:v>
      </x:c>
      <x:c r="E48" s="70" t="str">
        <x:v>Unverified legacy hypothesis</x:v>
      </x:c>
      <x:c r="F48" s="70" t="str">
        <x:v>SRC-011; SRC-012</x:v>
      </x:c>
      <x:c r="G48" s="71" t="str">
        <x:v>https://mastersguide.fintraffic.fi/en/gofrep-area
https://www.fintraffic.fi/sv/node/254</x:v>
      </x:c>
      <x:c r="H48" s="70" t="str">
        <x:v>These sources support GOFREP generally, not this named TSS. Do not count this as an evidenced relationship.</x:v>
      </x:c>
    </x:row>
    <x:row r="49" ht="60" customHeight="1">
      <x:c r="A49" s="66" t="str">
        <x:v>LNK-0043</x:v>
      </x:c>
      <x:c r="B49" s="66" t="str">
        <x:v>TSS-0022</x:v>
      </x:c>
      <x:c r="C49" s="66" t="str">
        <x:v>SRS-006</x:v>
      </x:c>
      <x:c r="D49" s="66" t="str">
        <x:v>Restored reporting research lead</x:v>
      </x:c>
      <x:c r="E49" s="66" t="str">
        <x:v>Unverified legacy hypothesis</x:v>
      </x:c>
      <x:c r="F49" s="66" t="str">
        <x:v>SRC-011; SRC-012</x:v>
      </x:c>
      <x:c r="G49" s="67" t="str">
        <x:v>https://mastersguide.fintraffic.fi/en/gofrep-area
https://www.fintraffic.fi/sv/node/254</x:v>
      </x:c>
      <x:c r="H49" s="66" t="str">
        <x:v>These sources support GOFREP generally, not this named TSS. Do not count this as an evidenced relationship.</x:v>
      </x:c>
    </x:row>
    <x:row r="50" ht="60" customHeight="1">
      <x:c r="A50" s="70" t="str">
        <x:v>LNK-0044</x:v>
      </x:c>
      <x:c r="B50" s="70" t="str">
        <x:v>TSS-0023</x:v>
      </x:c>
      <x:c r="C50" s="70" t="str">
        <x:v>SRS-006</x:v>
      </x:c>
      <x:c r="D50" s="70" t="str">
        <x:v>Restored reporting research lead</x:v>
      </x:c>
      <x:c r="E50" s="70" t="str">
        <x:v>Unverified legacy hypothesis</x:v>
      </x:c>
      <x:c r="F50" s="70" t="str">
        <x:v>SRC-011; SRC-012</x:v>
      </x:c>
      <x:c r="G50" s="71" t="str">
        <x:v>https://mastersguide.fintraffic.fi/en/gofrep-area
https://www.fintraffic.fi/sv/node/254</x:v>
      </x:c>
      <x:c r="H50" s="70" t="str">
        <x:v>These sources support GOFREP generally, not this named TSS. Do not count this as an evidenced relationship.</x:v>
      </x:c>
    </x:row>
  </x:sheetData>
  <x:mergeCells>
    <x:mergeCell ref="A1:H2"/>
    <x:mergeCell ref="A3:H4"/>
  </x:mergeCells>
  <x:pageMargins left="0.7" right="0.7" top="0.75" bottom="0.75" header="0.3" footer="0.3"/>
  <x:tableParts count="1">
    <x:tablePart xmlns:r="http://schemas.openxmlformats.org/officeDocument/2006/relationships" r:id="Red5d8489d2c1409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43" hidden="0" customWidth="1"/>
    <x:col min="3" max="3" width="36" hidden="0" customWidth="1"/>
    <x:col min="4" max="4" width="58" hidden="0" customWidth="1"/>
    <x:col min="5" max="5" width="35" hidden="0" customWidth="1"/>
    <x:col min="6" max="6" width="34" hidden="0" customWidth="1"/>
    <x:col min="7" max="7" width="60" hidden="0" customWidth="1"/>
    <x:col min="8" max="8" width="15" hidden="0" customWidth="1"/>
  </x:cols>
  <x:sheetData>
    <x:row r="1" ht="23" customHeight="1">
      <x:c r="A1" s="44" t="str">
        <x:v>SOURCE REGISTER</x:v>
      </x:c>
      <x:c r="B1" s="44"/>
      <x:c r="C1" s="44"/>
      <x:c r="D1" s="44"/>
      <x:c r="E1" s="44"/>
      <x:c r="F1" s="44"/>
      <x:c r="G1" s="44"/>
      <x:c r="H1" s="44"/>
    </x:row>
    <x:row r="2" ht="23" customHeight="1">
      <x:c r="A2" s="44"/>
      <x:c r="B2" s="44"/>
      <x:c r="C2" s="44"/>
      <x:c r="D2" s="44"/>
      <x:c r="E2" s="44"/>
      <x:c r="F2" s="44"/>
      <x:c r="G2" s="44"/>
      <x:c r="H2" s="44"/>
    </x:row>
    <x:row r="3" ht="21" customHeight="1">
      <x:c r="A3" s="12" t="str">
        <x:v>Version 0.2 | 29 September 2026 | Sources. Reconciled register; see Audit Findings and Overview for limits.</x:v>
      </x:c>
      <x:c r="B3" s="12"/>
      <x:c r="C3" s="12"/>
      <x:c r="D3" s="12"/>
      <x:c r="E3" s="12"/>
      <x:c r="F3" s="12"/>
      <x:c r="G3" s="12"/>
      <x:c r="H3" s="12"/>
    </x:row>
    <x:row r="4" ht="21" customHeight="1">
      <x:c r="A4" s="12"/>
      <x:c r="B4" s="12"/>
      <x:c r="C4" s="12"/>
      <x:c r="D4" s="12"/>
      <x:c r="E4" s="12"/>
      <x:c r="F4" s="12"/>
      <x:c r="G4" s="12"/>
      <x:c r="H4" s="12"/>
    </x:row>
    <x:row r="6" ht="34" customHeight="1">
      <x:c r="A6" s="65" t="str">
        <x:v>Source ID</x:v>
      </x:c>
      <x:c r="B6" s="65" t="str">
        <x:v>Title</x:v>
      </x:c>
      <x:c r="C6" s="65" t="str">
        <x:v>Authority / origin</x:v>
      </x:c>
      <x:c r="D6" s="65" t="str">
        <x:v>URL</x:v>
      </x:c>
      <x:c r="E6" s="65" t="str">
        <x:v>Edition / date shown</x:v>
      </x:c>
      <x:c r="F6" s="65" t="str">
        <x:v>Evidence class</x:v>
      </x:c>
      <x:c r="G6" s="65" t="str">
        <x:v>Scope / limitation</x:v>
      </x:c>
      <x:c r="H6" s="65" t="str">
        <x:v>Accessed</x:v>
      </x:c>
    </x:row>
    <x:row r="7" ht="60" customHeight="1">
      <x:c r="A7" s="72" t="str">
        <x:v>SRC-001</x:v>
      </x:c>
      <x:c r="B7" s="72" t="str">
        <x:v>UKHO-labelled Notice 17: candidate extraction</x:v>
      </x:c>
      <x:c r="C7" s="72" t="str">
        <x:v>UKHO-labelled text; third-party host</x:v>
      </x:c>
      <x:c r="D7" s="73" t="str">
        <x:v>https://www.scribd.com/document/1014775753/1-1-IMO-Adopted-Traffic-Separation-Schemes-on-the-ADMIRALTY-Chart-Series</x:v>
      </x:c>
      <x:c r="E7" s="72" t="str">
        <x:v>Edition not visible</x:v>
      </x:c>
      <x:c r="F7" s="72" t="str">
        <x:v>Lead only</x:v>
      </x:c>
      <x:c r="G7" s="72" t="str">
        <x:v>Scheme labels recorded for research. Publication year, authenticity and current completeness require primary reconciliation.</x:v>
      </x:c>
      <x:c r="H7" s="72" t="str">
        <x:v>2026-09-29</x:v>
      </x:c>
    </x:row>
    <x:row r="8" ht="60" customHeight="1">
      <x:c r="A8" s="70" t="str">
        <x:v>SRC-002</x:v>
      </x:c>
      <x:c r="B8" s="70" t="str">
        <x:v>Annual Summary of Notices to Mariners (NP247)</x:v>
      </x:c>
      <x:c r="C8" s="70" t="str">
        <x:v>UK Hydrographic Office</x:v>
      </x:c>
      <x:c r="D8" s="71" t="str">
        <x:v>https://msi.admiralty.co.uk/NoticesToMariners/Annual</x:v>
      </x:c>
      <x:c r="E8" s="70" t="str">
        <x:v>2026 listing</x:v>
      </x:c>
      <x:c r="F8" s="70" t="str">
        <x:v>Primary source index</x:v>
      </x:c>
      <x:c r="G8" s="70" t="str">
        <x:v>Official 2026 Notice 17 index verified. Linked PDF could not be retrieved. No row-by-row comparison against the official list completed.</x:v>
      </x:c>
      <x:c r="H8" s="70" t="str">
        <x:v>2026-09-29</x:v>
      </x:c>
    </x:row>
    <x:row r="9" ht="60" customHeight="1">
      <x:c r="A9" s="66" t="str">
        <x:v>SRC-003</x:v>
      </x:c>
      <x:c r="B9" s="66" t="str">
        <x:v>Ships’ Routeing, 2025 Edition</x:v>
      </x:c>
      <x:c r="C9" s="66" t="str">
        <x:v>International Maritime Organization</x:v>
      </x:c>
      <x:c r="D9" s="67" t="str">
        <x:v>https://imo-epublications.org/content/books/9789280118353</x:v>
      </x:c>
      <x:c r="E9" s="66" t="str">
        <x:v>2025 edition</x:v>
      </x:c>
      <x:c r="F9" s="66" t="str">
        <x:v>Primary metadata only</x:v>
      </x:c>
      <x:c r="G9" s="66" t="str">
        <x:v>Catalogue identifies the 2025 edition, incorporating measures adopted before September 2025. Full contents and subsequent amendments not reconciled.</x:v>
      </x:c>
      <x:c r="H9" s="66" t="str">
        <x:v>2026-09-29</x:v>
      </x:c>
    </x:row>
    <x:row r="10" ht="60" customHeight="1">
      <x:c r="A10" s="70" t="str">
        <x:v>SRC-004</x:v>
      </x:c>
      <x:c r="B10" s="70" t="str">
        <x:v>Dover Strait crossings: Channel VTS</x:v>
      </x:c>
      <x:c r="C10" s="70" t="str">
        <x:v>Maritime and Coastguard Agency</x:v>
      </x:c>
      <x:c r="D10" s="71" t="str">
        <x:v>https://www.gov.uk/government/publications/dover-strait-crossings-channel-navigation-information-service/dover-strait-crossings-channel-navigation-information-service-cnis</x:v>
      </x:c>
      <x:c r="E10" s="70" t="str">
        <x:v>Updated 1 February 2024</x:v>
      </x:c>
      <x:c r="F10" s="70" t="str">
        <x:v>Primary service evidence</x:v>
      </x:c>
      <x:c r="G10" s="70" t="str">
        <x:v>Joint UK–France Channel VTS, operated from Dover and Gris-Nez; Dover Strait TSS and mandatory reporting area described.</x:v>
      </x:c>
      <x:c r="H10" s="70" t="str">
        <x:v>2026-09-29</x:v>
      </x:c>
    </x:row>
    <x:row r="11" ht="79.5" customHeight="1">
      <x:c r="A11" s="66" t="str">
        <x:v>SRC-005</x:v>
      </x:c>
      <x:c r="B11" s="66" t="str">
        <x:v>MGN 364 (M+F), Amendment 2</x:v>
      </x:c>
      <x:c r="C11" s="66" t="str">
        <x:v>Maritime and Coastguard Agency</x:v>
      </x:c>
      <x:c r="D11" s="67" t="str">
        <x:v>https://www.gov.uk/government/publications/mgn-364-mf-amendment-2-navigation-safety-traffic-separation-schemes-application-of-rule-10-and-navigation-in-the-dover-strait/mgn-364-mf-amendment-2-navigation-safety-traffic-separation-schemes-application-of-rule-10-and-navigation-in-the-dover-strait</x:v>
      </x:c>
      <x:c r="E11" s="66" t="str">
        <x:v>Amendment 2</x:v>
      </x:c>
      <x:c r="F11" s="66" t="str">
        <x:v>Primary scheme evidence</x:v>
      </x:c>
      <x:c r="G11" s="66" t="str">
        <x:v>Sections 3.5–3.11 identify Channel VTS and CALDOVREP. This inventory does not reproduce operational reporting instructions.</x:v>
      </x:c>
      <x:c r="H11" s="66" t="str">
        <x:v>2026-09-29</x:v>
      </x:c>
    </x:row>
    <x:row r="12" ht="60" customHeight="1">
      <x:c r="A12" s="70" t="str">
        <x:v>SRC-006</x:v>
      </x:c>
      <x:c r="B12" s="70" t="str">
        <x:v>Vessel Traffic Information System</x:v>
      </x:c>
      <x:c r="C12" s="70" t="str">
        <x:v>Maritime and Port Authority of Singapore</x:v>
      </x:c>
      <x:c r="D12" s="71" t="str">
        <x:v>https://www.mpa.gov.sg/port-marine-ops/operations/vessel-traffic-information-system</x:v>
      </x:c>
      <x:c r="E12" s="70" t="str">
        <x:v>Updated 6 August 2026</x:v>
      </x:c>
      <x:c r="F12" s="70" t="str">
        <x:v>Primary service and scheme evidence</x:v>
      </x:c>
      <x:c r="G12" s="70" t="str">
        <x:v>STRAITREP encompasses the Malacca–Singapore routeing system. Klang, Johor and Singapore VTS operate its sectors.</x:v>
      </x:c>
      <x:c r="H12" s="70" t="str">
        <x:v>2026-09-29</x:v>
      </x:c>
    </x:row>
    <x:row r="13" ht="60" customHeight="1">
      <x:c r="A13" s="66" t="str">
        <x:v>SRC-007</x:v>
      </x:c>
      <x:c r="B13" s="66" t="str">
        <x:v>STRAITREP operational areas</x:v>
      </x:c>
      <x:c r="C13" s="66" t="str">
        <x:v>Maritime and Port Authority of Singapore</x:v>
      </x:c>
      <x:c r="D13" s="67" t="str">
        <x:v>https://www.mpa.gov.sg/port-marine-ops/operations/vessel-traffic-information-system/operational-areas</x:v>
      </x:c>
      <x:c r="E13" s="66" t="str">
        <x:v>Updated 6 August 2026</x:v>
      </x:c>
      <x:c r="F13" s="66" t="str">
        <x:v>Primary sector evidence</x:v>
      </x:c>
      <x:c r="G13" s="66" t="str">
        <x:v>Table assigns sectors 1–5 to Klang, 6 to Johor and 7–9 to Singapore. Individual TSS segment boundaries not reconciled.</x:v>
      </x:c>
      <x:c r="H13" s="66" t="str">
        <x:v>2026-09-29</x:v>
      </x:c>
    </x:row>
    <x:row r="14" ht="60" customHeight="1">
      <x:c r="A14" s="70" t="str">
        <x:v>SRC-008</x:v>
      </x:c>
      <x:c r="B14" s="70" t="str">
        <x:v>BELTREP: Reporting Procedures</x:v>
      </x:c>
      <x:c r="C14" s="70" t="str">
        <x:v>Danish Defence / Royal Danish Navy</x:v>
      </x:c>
      <x:c r="D14" s="71" t="str">
        <x:v>https://www.forsvaret.dk/da/organisation/soevaernet/civile-opgaver/beltrep/</x:v>
      </x:c>
      <x:c r="E14" s="70" t="str">
        <x:v>Undated live page</x:v>
      </x:c>
      <x:c r="F14" s="70" t="str">
        <x:v>Primary service and scheme evidence</x:v>
      </x:c>
      <x:c r="G14" s="70" t="str">
        <x:v>BELTREP is a mandatory reporting system operated by Great Belt VTS.</x:v>
      </x:c>
      <x:c r="H14" s="70" t="str">
        <x:v>2026-09-29</x:v>
      </x:c>
    </x:row>
    <x:row r="15" ht="60" customHeight="1">
      <x:c r="A15" s="66" t="str">
        <x:v>SRC-009</x:v>
      </x:c>
      <x:c r="B15" s="66" t="str">
        <x:v>About SOUNDREP</x:v>
      </x:c>
      <x:c r="C15" s="66" t="str">
        <x:v>Swedish Maritime Administration</x:v>
      </x:c>
      <x:c r="D15" s="67" t="str">
        <x:v>https://www.sjofartsverket.se/en/services/maritime-traffic-information/soundrep/soundrep-information/about-soundrep/</x:v>
      </x:c>
      <x:c r="E15" s="66" t="str">
        <x:v>Updated 26 October 2022</x:v>
      </x:c>
      <x:c r="F15" s="66" t="str">
        <x:v>Primary service and scheme evidence</x:v>
      </x:c>
      <x:c r="G15" s="66" t="str">
        <x:v>Joint Swedish–Danish mandatory reporting scheme, operated by Sound VTS from Malmö.</x:v>
      </x:c>
      <x:c r="H15" s="66" t="str">
        <x:v>2026-09-29</x:v>
      </x:c>
    </x:row>
    <x:row r="16" ht="60" customHeight="1">
      <x:c r="A16" s="70" t="str">
        <x:v>SRC-010</x:v>
      </x:c>
      <x:c r="B16" s="70" t="str">
        <x:v>Ship reporting systems (SRS)</x:v>
      </x:c>
      <x:c r="C16" s="70" t="str">
        <x:v>Swedish Transport Agency</x:v>
      </x:c>
      <x:c r="D16" s="71" t="str">
        <x:v>https://www.transportstyrelsen.se/sv/sjofart/sjotrafik-och-hamnar/sjotrafikrapporteringssystem-srs/</x:v>
      </x:c>
      <x:c r="E16" s="70" t="str">
        <x:v>Updated 9 June 2026</x:v>
      </x:c>
      <x:c r="F16" s="70" t="str">
        <x:v>Primary regulatory overview</x:v>
      </x:c>
      <x:c r="G16" s="70" t="str">
        <x:v>Lists SOUNDREP, BELTREP, GOFREP and GDANREP. TSFS 2026:60 takes effect 1 October 2026, after this inventory date.</x:v>
      </x:c>
      <x:c r="H16" s="70" t="str">
        <x:v>2026-09-29</x:v>
      </x:c>
    </x:row>
    <x:row r="17" ht="66" customHeight="1">
      <x:c r="A17" s="66" t="str">
        <x:v>SRC-011</x:v>
      </x:c>
      <x:c r="B17" s="66" t="str">
        <x:v>GOFREP Area: Master's Guide</x:v>
      </x:c>
      <x:c r="C17" s="66" t="str">
        <x:v>Fintraffic</x:v>
      </x:c>
      <x:c r="D17" s="67" t="str">
        <x:v>https://mastersguide.fintraffic.fi/en/gofrep-area</x:v>
      </x:c>
      <x:c r="E17" s="66" t="str">
        <x:v>Undated live page</x:v>
      </x:c>
      <x:c r="F17" s="66" t="str">
        <x:v>Primary reporting-service evidence</x:v>
      </x:c>
      <x:c r="G17" s="66" t="str">
        <x:v>Canonical English Master's Guide checked. Names four central-report-line TSS. Replaces the earlier /sv/node/102 link. Does not substantiate the three restored eastern Gulf research leads.</x:v>
      </x:c>
      <x:c r="H17" s="66" t="str">
        <x:v>2026-09-29</x:v>
      </x:c>
    </x:row>
    <x:row r="18" ht="60" customHeight="1">
      <x:c r="A18" s="70" t="str">
        <x:v>SRC-012</x:v>
      </x:c>
      <x:c r="B18" s="70" t="str">
        <x:v>Monitoring international waters</x:v>
      </x:c>
      <x:c r="C18" s="70" t="str">
        <x:v>Fintraffic</x:v>
      </x:c>
      <x:c r="D18" s="71" t="str">
        <x:v>https://www.fintraffic.fi/sv/node/254</x:v>
      </x:c>
      <x:c r="E18" s="70" t="str">
        <x:v>Undated live page</x:v>
      </x:c>
      <x:c r="F18" s="70" t="str">
        <x:v>Primary association evidence</x:v>
      </x:c>
      <x:c r="G18" s="70" t="str">
        <x:v>Distinguishes GOFREP from VTS areas; identifies TSS near Hankoniemi, Porkkala, Kalbådagrund and Kõpu.</x:v>
      </x:c>
      <x:c r="H18" s="70" t="str">
        <x:v>2026-09-29</x:v>
      </x:c>
    </x:row>
    <x:row r="19" ht="60" customHeight="1">
      <x:c r="A19" s="66" t="str">
        <x:v>SRC-013</x:v>
      </x:c>
      <x:c r="B19" s="66" t="str">
        <x:v>Marine Order 63: Vessel reporting systems</x:v>
      </x:c>
      <x:c r="C19" s="66" t="str">
        <x:v>Australian Maritime Safety Authority</x:v>
      </x:c>
      <x:c r="D19" s="67" t="str">
        <x:v>https://www.amsa.gov.au/about/regulations-and-standards/marine-order-63-vessel-reporting-systems</x:v>
      </x:c>
      <x:c r="E19" s="66" t="str">
        <x:v>Marine Order 63 (2019); commenced 1 January 2020</x:v>
      </x:c>
      <x:c r="F19" s="66" t="str">
        <x:v>Primary regulatory overview</x:v>
      </x:c>
      <x:c r="G19" s="66" t="str">
        <x:v>Identifies mandatory REEFREP and separate MASTREP. REEFREP is retained as additional coverage outside this extracted TSS list.</x:v>
      </x:c>
      <x:c r="H19" s="66" t="str">
        <x:v>2026-09-29</x:v>
      </x:c>
    </x:row>
    <x:row r="20" ht="60" customHeight="1">
      <x:c r="A20" s="70" t="str">
        <x:v>SRC-014</x:v>
      </x:c>
      <x:c r="B20" s="70" t="str">
        <x:v>Vessel track data disclosure and dissemination policy</x:v>
      </x:c>
      <x:c r="C20" s="70" t="str">
        <x:v>Australian Maritime Safety Authority</x:v>
      </x:c>
      <x:c r="D20" s="71" t="str">
        <x:v>https://www.amsa.gov.au/safety-navigation/spatial-data/vessel-track-data-disclosure-and-dissemination-policy</x:v>
      </x:c>
      <x:c r="E20" s="70" t="str">
        <x:v>Updated 21 January 2021</x:v>
      </x:c>
      <x:c r="F20" s="70" t="str">
        <x:v>Primary background policy</x:v>
      </x:c>
      <x:c r="G20" s="70" t="str">
        <x:v>Historic policy distinguishes REEFVTS and REEFREP. Not used alone for present centre/sector configuration; use SRC-018.</x:v>
      </x:c>
      <x:c r="H20" s="70" t="str">
        <x:v>2026-09-29</x:v>
      </x:c>
    </x:row>
    <x:row r="21" ht="60" customHeight="1">
      <x:c r="A21" s="66" t="str">
        <x:v>SRC-015</x:v>
      </x:c>
      <x:c r="B21" s="66" t="str">
        <x:v>Vessel Traffic Service</x:v>
      </x:c>
      <x:c r="C21" s="66" t="str">
        <x:v>Danish Defence / Royal Danish Navy</x:v>
      </x:c>
      <x:c r="D21" s="67" t="str">
        <x:v>https://www.forsvaret.dk/da/organisation/soevaernet/nationalt-maritimt-operationscenter/vts/</x:v>
      </x:c>
      <x:c r="E21" s="66" t="str">
        <x:v>Updated 29 July 2026</x:v>
      </x:c>
      <x:c r="F21" s="66" t="str">
        <x:v>Primary service evidence</x:v>
      </x:c>
      <x:c r="G21" s="66" t="str">
        <x:v>Identifies VTS services in Great Belt, Sound and Fehmarnbelt, with distinct operating centres.</x:v>
      </x:c>
      <x:c r="H21" s="66" t="str">
        <x:v>2026-09-29</x:v>
      </x:c>
    </x:row>
    <x:row r="22" ht="60" customHeight="1">
      <x:c r="A22" s="70" t="str">
        <x:v>SRC-016</x:v>
      </x:c>
      <x:c r="B22" s="70" t="str">
        <x:v>Mandatory ship reporting systems and VTS</x:v>
      </x:c>
      <x:c r="C22" s="70" t="str">
        <x:v>Danish Emergency Management Agency</x:v>
      </x:c>
      <x:c r="D22" s="71" t="str">
        <x:v>https://www.brs.dk/da/om-os/organisation/sikre-farvande/obligatoriske-skibsmeldesystemer-msrs-og-skibstrafiktjenester-vts/</x:v>
      </x:c>
      <x:c r="E22" s="70" t="str">
        <x:v>Undated live page</x:v>
      </x:c>
      <x:c r="F22" s="70" t="str">
        <x:v>Primary service-status evidence</x:v>
      </x:c>
      <x:c r="G22" s="70" t="str">
        <x:v>Describes Fehmarnbelt VTS as temporary and voluntary. Confirm construction-phase extent and ending date.</x:v>
      </x:c>
      <x:c r="H22" s="70" t="str">
        <x:v>2026-09-29</x:v>
      </x:c>
    </x:row>
    <x:row r="23" ht="60" customHeight="1">
      <x:c r="A23" s="66" t="str">
        <x:v>SRC-017</x:v>
      </x:c>
      <x:c r="B23" s="66" t="str">
        <x:v>Vessel Traffic Services Locations</x:v>
      </x:c>
      <x:c r="C23" s="66" t="str">
        <x:v>United States Coast Guard Navigation Center</x:v>
      </x:c>
      <x:c r="D23" s="67" t="str">
        <x:v>https://www.navcen.uscg.gov/vessel-traffic-services-locations</x:v>
      </x:c>
      <x:c r="E23" s="66" t="str">
        <x:v>Live page; date not displayed</x:v>
      </x:c>
      <x:c r="F23" s="66" t="str">
        <x:v>Primary service and reporting evidence</x:v>
      </x:c>
      <x:c r="G23" s="66" t="str">
        <x:v>Detailed location sections identify the six restored US services and voluntary OVMRS. Nearby or offshore TSS coverage requires separate boundary checks.</x:v>
      </x:c>
      <x:c r="H23" s="66" t="str">
        <x:v>2026-09-29</x:v>
      </x:c>
    </x:row>
    <x:row r="24" ht="60" customHeight="1">
      <x:c r="A24" s="70" t="str">
        <x:v>SRC-018</x:v>
      </x:c>
      <x:c r="B24" s="70" t="str">
        <x:v>Great Barrier Reef and Torres Strait VTS (REEFVTS)</x:v>
      </x:c>
      <x:c r="C24" s="70" t="str">
        <x:v>Maritime Safety Queensland</x:v>
      </x:c>
      <x:c r="D24" s="71" t="str">
        <x:v>https://www.msq.qld.gov.au/shipping/reefvts</x:v>
      </x:c>
      <x:c r="E24" s="70" t="str">
        <x:v>Live operating-authority page</x:v>
      </x:c>
      <x:c r="F24" s="70" t="str">
        <x:v>Primary operational structure evidence</x:v>
      </x:c>
      <x:c r="G24" s="70" t="str">
        <x:v>Identifies Reef North/Reef South sectors and Townsville/Gladstone centres. Both centres can manage both sectors. Service identity does not establish a TSS link.</x:v>
      </x:c>
      <x:c r="H24" s="70" t="str">
        <x:v>2026-09-29</x:v>
      </x:c>
    </x:row>
    <x:row r="25" ht="60" customHeight="1">
      <x:c r="A25" s="66" t="str">
        <x:v>SRC-019</x:v>
      </x:c>
      <x:c r="B25" s="66" t="str">
        <x:v>VTS Zatoka Gdańska</x:v>
      </x:c>
      <x:c r="C25" s="66" t="str">
        <x:v>Maritime Office in Gdynia</x:v>
      </x:c>
      <x:c r="D25" s="67" t="str">
        <x:v>https://www.umgdy.gov.pl/en/marine-safety/vts-zatoka-gdanska-en/</x:v>
      </x:c>
      <x:c r="E25" s="66" t="str">
        <x:v>Updated 22 October 2024</x:v>
      </x:c>
      <x:c r="F25" s="66" t="str">
        <x:v>Primary service, scheme and component evidence</x:v>
      </x:c>
      <x:c r="G25" s="66" t="str">
        <x:v>Sections 'VTS area' and 'Traffic Separation Schemes' connect VTS, GDANREP and East/West TSS. Detailed current rules and coordinates remain for operational review.</x:v>
      </x:c>
      <x:c r="H25" s="66" t="str">
        <x:v>2026-09-29</x:v>
      </x:c>
    </x:row>
    <x:row r="26" ht="66" customHeight="1">
      <x:c r="A26" s="70" t="str">
        <x:v>SRC-020</x:v>
      </x:c>
      <x:c r="B26" s="70" t="str">
        <x:v>Resolution MSC.332(90): BELTREP amendments</x:v>
      </x:c>
      <x:c r="C26" s="70" t="str">
        <x:v>International Maritime Organization</x:v>
      </x:c>
      <x:c r="D26" s="71" t="str">
        <x:v>https://wwwcdn.imo.org/localresources/en/KnowledgeCentre/IndexofIMOResolutions/MSCResolutions/MSC.332(90).pdf</x:v>
      </x:c>
      <x:c r="E26" s="70" t="str">
        <x:v>Adopted 22 May 2012</x:v>
      </x:c>
      <x:c r="F26" s="70" t="str">
        <x:v>Primary adopted instrument; text checked</x:v>
      </x:c>
      <x:c r="G26" s="70" t="str">
        <x:v>Annex sections 2.1–2.2 and 6.2–6.4 identify Great Belt VTS and the Hatter Barn/Korsoer–Sprogoe TSS. Current service cross-checked using SRC-008/SRC-015. PDF image fetch failed; no chart geometry audited.</x:v>
      </x:c>
      <x:c r="H26" s="70" t="str">
        <x:v>2026-09-29</x:v>
      </x:c>
    </x:row>
    <x:row r="27" ht="66" customHeight="1">
      <x:c r="A27" s="66" t="str">
        <x:v>SRC-021</x:v>
      </x:c>
      <x:c r="B27" s="66" t="str">
        <x:v>Resolution MSC.314(88): SOUNDREP</x:v>
      </x:c>
      <x:c r="C27" s="66" t="str">
        <x:v>IMO; hosted by Swedish Maritime Administration</x:v>
      </x:c>
      <x:c r="D27" s="67" t="str">
        <x:v>https://www.sjofartsverket.se/globalassets/tjanster/sjotrafiktjanster/msc.31488.pdf</x:v>
      </x:c>
      <x:c r="E27" s="66" t="str">
        <x:v>Adopted 29 November 2010</x:v>
      </x:c>
      <x:c r="F27" s="66" t="str">
        <x:v>Primary adopted instrument; text checked</x:v>
      </x:c>
      <x:c r="G27" s="66" t="str">
        <x:v>Annex sections 6.2–6.3 name 'In the Sound' and 'Off Falsterbo'. Current service cross-checked with SRC-009/SRC-015. PDF image fetch failed; no chart geometry audited.</x:v>
      </x:c>
      <x:c r="H27" s="66" t="str">
        <x:v>2026-09-29</x:v>
      </x:c>
    </x:row>
    <x:row r="28" ht="60" customHeight="1">
      <x:c r="A28" s="70" t="str">
        <x:v>SRC-022</x:v>
      </x:c>
      <x:c r="B28" s="70" t="str">
        <x:v>Puget Sound Vessel Traffic Service</x:v>
      </x:c>
      <x:c r="C28" s="70" t="str">
        <x:v>United States Coast Guard</x:v>
      </x:c>
      <x:c r="D28" s="71" t="str">
        <x:v>https://www.pacificarea.uscg.mil/VTSPugetSound/</x:v>
      </x:c>
      <x:c r="E28" s="70" t="str">
        <x:v>Live page; date not displayed</x:v>
      </x:c>
      <x:c r="F28" s="70" t="str">
        <x:v>Legacy source locator; not reverified</x:v>
      </x:c>
      <x:c r="G28" s="70" t="str">
        <x:v>Preserved from the earlier v0.1 release for traceability. Not used as sole confirmation in v0.2.</x:v>
      </x:c>
      <x:c r="H28" s="70" t="str">
        <x:v>Not reverified in v0.2</x:v>
      </x:c>
    </x:row>
    <x:row r="29" ht="60" customHeight="1">
      <x:c r="A29" s="66" t="str">
        <x:v>SRC-023</x:v>
      </x:c>
      <x:c r="B29" s="66" t="str">
        <x:v>Mandatory and recommended SRS list</x:v>
      </x:c>
      <x:c r="C29" s="66" t="str">
        <x:v>Swedish Transport Agency</x:v>
      </x:c>
      <x:c r="D29" s="67" t="str">
        <x:v>https://www.transportstyrelsen.se/globalassets/global/sjofart/dokument/sjotrafik_dok/mandatory-and-recommended-srs.pdf</x:v>
      </x:c>
      <x:c r="E29" s="66" t="str">
        <x:v>Edition not established</x:v>
      </x:c>
      <x:c r="F29" s="66" t="str">
        <x:v>Legacy source locator; not reverified</x:v>
      </x:c>
      <x:c r="G29" s="66" t="str">
        <x:v>Preserved from the earlier v0.1 release for traceability. Not used as sole confirmation in v0.2.</x:v>
      </x:c>
      <x:c r="H29" s="66" t="str">
        <x:v>Not reverified in v0.2</x:v>
      </x:c>
    </x:row>
  </x:sheetData>
  <x:mergeCells>
    <x:mergeCell ref="A1:H2"/>
    <x:mergeCell ref="A3:H4"/>
  </x:mergeCells>
  <x:pageMargins left="0.7" right="0.7" top="0.75" bottom="0.75" header="0.3" footer="0.3"/>
  <x:tableParts count="1">
    <x:tablePart xmlns:r="http://schemas.openxmlformats.org/officeDocument/2006/relationships" r:id="R8b4932350a6c419a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23" hidden="0" customWidth="1"/>
    <x:col min="4" max="4" width="38" hidden="0" customWidth="1"/>
    <x:col min="5" max="5" width="15" hidden="0" customWidth="1"/>
    <x:col min="6" max="6" width="54" hidden="0" customWidth="1"/>
    <x:col min="7" max="7" width="48" hidden="0" customWidth="1"/>
    <x:col min="8" max="8" width="27" hidden="0" customWidth="1"/>
  </x:cols>
  <x:sheetData>
    <x:row r="1" ht="23" customHeight="1">
      <x:c r="A1" s="44" t="str">
        <x:v>UNRESOLVED RESEARCH ISSUES</x:v>
      </x:c>
      <x:c r="B1" s="44"/>
      <x:c r="C1" s="44"/>
      <x:c r="D1" s="44"/>
      <x:c r="E1" s="44"/>
      <x:c r="F1" s="44"/>
      <x:c r="G1" s="44"/>
      <x:c r="H1" s="44"/>
    </x:row>
    <x:row r="2" ht="23" customHeight="1">
      <x:c r="A2" s="44"/>
      <x:c r="B2" s="44"/>
      <x:c r="C2" s="44"/>
      <x:c r="D2" s="44"/>
      <x:c r="E2" s="44"/>
      <x:c r="F2" s="44"/>
      <x:c r="G2" s="44"/>
      <x:c r="H2" s="44"/>
    </x:row>
    <x:row r="3" ht="21" customHeight="1">
      <x:c r="A3" s="12" t="str">
        <x:v>Version 0.2 | 29 September 2026 | Issues. Reconciled register; see Audit Findings and Overview for limits.</x:v>
      </x:c>
      <x:c r="B3" s="12"/>
      <x:c r="C3" s="12"/>
      <x:c r="D3" s="12"/>
      <x:c r="E3" s="12"/>
      <x:c r="F3" s="12"/>
      <x:c r="G3" s="12"/>
      <x:c r="H3" s="12"/>
    </x:row>
    <x:row r="4" ht="21" customHeight="1">
      <x:c r="A4" s="12"/>
      <x:c r="B4" s="12"/>
      <x:c r="C4" s="12"/>
      <x:c r="D4" s="12"/>
      <x:c r="E4" s="12"/>
      <x:c r="F4" s="12"/>
      <x:c r="G4" s="12"/>
      <x:c r="H4" s="12"/>
    </x:row>
    <x:row r="6" ht="34" customHeight="1">
      <x:c r="A6" s="65" t="str">
        <x:v>Issue ID</x:v>
      </x:c>
      <x:c r="B6" s="65" t="str">
        <x:v>Priority</x:v>
      </x:c>
      <x:c r="C6" s="65" t="str">
        <x:v>Category</x:v>
      </x:c>
      <x:c r="D6" s="65" t="str">
        <x:v>Affected records</x:v>
      </x:c>
      <x:c r="E6" s="65" t="str">
        <x:v>Status</x:v>
      </x:c>
      <x:c r="F6" s="65" t="str">
        <x:v>Required action</x:v>
      </x:c>
      <x:c r="G6" s="65" t="str">
        <x:v>Counting / research effect</x:v>
      </x:c>
      <x:c r="H6" s="65" t="str">
        <x:v>Source IDs</x:v>
      </x:c>
    </x:row>
    <x:row r="7" ht="60" customHeight="1">
      <x:c r="A7" s="66" t="str">
        <x:v>ISS-001</x:v>
      </x:c>
      <x:c r="B7" s="66" t="str">
        <x:v>High</x:v>
      </x:c>
      <x:c r="C7" s="66" t="str">
        <x:v>Baseline source</x:v>
      </x:c>
      <x:c r="D7" s="66" t="str">
        <x:v>All TSS candidates</x:v>
      </x:c>
      <x:c r="E7" s="66" t="str">
        <x:v>Open</x:v>
      </x:c>
      <x:c r="F7" s="66" t="str">
        <x:v>Obtain primary Ships’ Routeing Part B and reporting-system contents. Reconcile against current UKHO Notice 17.</x:v>
      </x:c>
      <x:c r="G7" s="66" t="str">
        <x:v>170 source entries are not a confirmed worldwide TSS count.</x:v>
      </x:c>
      <x:c r="H7" s="66" t="str">
        <x:v>SRC-001; SRC-002; SRC-003</x:v>
      </x:c>
    </x:row>
    <x:row r="8" ht="60" customHeight="1">
      <x:c r="A8" s="70" t="str">
        <x:v>ISS-002</x:v>
      </x:c>
      <x:c r="B8" s="70" t="str">
        <x:v>High</x:v>
      </x:c>
      <x:c r="C8" s="70" t="str">
        <x:v>Completeness</x:v>
      </x:c>
      <x:c r="D8" s="70" t="str">
        <x:v>Whole inventory</x:v>
      </x:c>
      <x:c r="E8" s="70" t="str">
        <x:v>Open</x:v>
      </x:c>
      <x:c r="F8" s="70" t="str">
        <x:v>Apply adopted and implemented amendments after the baseline publication date, through 29 September 2026.</x:v>
      </x:c>
      <x:c r="G8" s="70" t="str">
        <x:v>The extraction has no established current-to date.</x:v>
      </x:c>
      <x:c r="H8" s="70" t="str">
        <x:v>SRC-003</x:v>
      </x:c>
    </x:row>
    <x:row r="9" ht="60" customHeight="1">
      <x:c r="A9" s="66" t="str">
        <x:v>ISS-003</x:v>
      </x:c>
      <x:c r="B9" s="66" t="str">
        <x:v>High</x:v>
      </x:c>
      <x:c r="C9" s="66" t="str">
        <x:v>Source access</x:v>
      </x:c>
      <x:c r="D9" s="66" t="str">
        <x:v>UKHO Notice 17</x:v>
      </x:c>
      <x:c r="E9" s="66" t="str">
        <x:v>Open</x:v>
      </x:c>
      <x:c r="F9" s="66" t="str">
        <x:v>Retrieve the official PDF; the index was accessible but the download failed.</x:v>
      </x:c>
      <x:c r="G9" s="66" t="str">
        <x:v>A mirror cannot establish the current official inventory.</x:v>
      </x:c>
      <x:c r="H9" s="66" t="str">
        <x:v>SRC-002</x:v>
      </x:c>
    </x:row>
    <x:row r="10" ht="60" customHeight="1">
      <x:c r="A10" s="70" t="str">
        <x:v>ISS-004</x:v>
      </x:c>
      <x:c r="B10" s="70" t="str">
        <x:v>High</x:v>
      </x:c>
      <x:c r="C10" s="70" t="str">
        <x:v>Grouped schemes</x:v>
      </x:c>
      <x:c r="D10" s="70" t="str">
        <x:v>Norway; Åland; Kattegat; Gdansk; Slupska Bank</x:v>
      </x:c>
      <x:c r="E10" s="70" t="str">
        <x:v>Open</x:v>
      </x:c>
      <x:c r="F10" s="70" t="str">
        <x:v>Gdańsk East/West components identified. Decompose the remaining grouped headings against the official baseline.</x:v>
      </x:c>
      <x:c r="G10" s="70" t="str">
        <x:v>Two Gdańsk child records are non-additive. The number of unique TSS remains undetermined.</x:v>
      </x:c>
      <x:c r="H10" s="70" t="str">
        <x:v>SRC-001; SRC-019</x:v>
      </x:c>
    </x:row>
    <x:row r="11" ht="60" customHeight="1">
      <x:c r="A11" s="66" t="str">
        <x:v>ISS-005</x:v>
      </x:c>
      <x:c r="B11" s="66" t="str">
        <x:v>High</x:v>
      </x:c>
      <x:c r="C11" s="66" t="str">
        <x:v>Counting</x:v>
      </x:c>
      <x:c r="D11" s="66" t="str">
        <x:v>Malacca–Singapore</x:v>
      </x:c>
      <x:c r="E11" s="66" t="str">
        <x:v>Open</x:v>
      </x:c>
      <x:c r="F11" s="66" t="str">
        <x:v>Reconcile eight source segments with the routeing system, nine reporting sectors and three VTS authorities.</x:v>
      </x:c>
      <x:c r="G11" s="66" t="str">
        <x:v>Segments, sectors, services and guide entries are different units.</x:v>
      </x:c>
      <x:c r="H11" s="66" t="str">
        <x:v>SRC-006; SRC-007</x:v>
      </x:c>
    </x:row>
    <x:row r="12" ht="60" customHeight="1">
      <x:c r="A12" s="70" t="str">
        <x:v>ISS-006</x:v>
      </x:c>
      <x:c r="B12" s="70" t="str">
        <x:v>High</x:v>
      </x:c>
      <x:c r="C12" s="70" t="str">
        <x:v>Scope gap</x:v>
      </x:c>
      <x:c r="D12" s="70" t="str">
        <x:v>REEFVTS / REEFREP</x:v>
      </x:c>
      <x:c r="E12" s="70" t="str">
        <x:v>Open</x:v>
      </x:c>
      <x:c r="F12" s="70" t="str">
        <x:v>Retain this additional area and run a separate non-TSS coverage search.</x:v>
      </x:c>
      <x:c r="G12" s="70" t="str">
        <x:v>Absence from the extracted TSS list is not absence of VTS or mandatory reporting.</x:v>
      </x:c>
      <x:c r="H12" s="70" t="str">
        <x:v>SRC-018; SRC-013</x:v>
      </x:c>
    </x:row>
    <x:row r="13" ht="60" customHeight="1">
      <x:c r="A13" s="66" t="str">
        <x:v>ISS-007</x:v>
      </x:c>
      <x:c r="B13" s="66" t="str">
        <x:v>Medium</x:v>
      </x:c>
      <x:c r="C13" s="66" t="str">
        <x:v>Temporary service</x:v>
      </x:c>
      <x:c r="D13" s="66" t="str">
        <x:v>VTS Fehmarnbelt</x:v>
      </x:c>
      <x:c r="E13" s="66" t="str">
        <x:v>Open</x:v>
      </x:c>
      <x:c r="F13" s="66" t="str">
        <x:v>Voluntary and temporary status confirmed. Check construction-phase boundaries, applicable reporting instructions and the service end date.</x:v>
      </x:c>
      <x:c r="G13" s="66" t="str">
        <x:v>Do not treat the voluntary service as a mandatory reporting scheme.</x:v>
      </x:c>
      <x:c r="H13" s="66" t="str">
        <x:v>SRC-015; SRC-016</x:v>
      </x:c>
    </x:row>
    <x:row r="14" ht="60" customHeight="1">
      <x:c r="A14" s="70" t="str">
        <x:v>ISS-008</x:v>
      </x:c>
      <x:c r="B14" s="70" t="str">
        <x:v>High</x:v>
      </x:c>
      <x:c r="C14" s="70" t="str">
        <x:v>Effective date</x:v>
      </x:c>
      <x:c r="D14" s="70" t="str">
        <x:v>SOUNDREP / Sweden</x:v>
      </x:c>
      <x:c r="E14" s="70" t="str">
        <x:v>Open</x:v>
      </x:c>
      <x:c r="F14" s="70" t="str">
        <x:v>Check TSFS 2026:60 after its stated commencement on 1 October 2026.</x:v>
      </x:c>
      <x:c r="G14" s="70" t="str">
        <x:v>Published future rules are not in force on this inventory date.</x:v>
      </x:c>
      <x:c r="H14" s="70" t="str">
        <x:v>SRC-010</x:v>
      </x:c>
    </x:row>
    <x:row r="15" ht="60" customHeight="1">
      <x:c r="A15" s="66" t="str">
        <x:v>ISS-009</x:v>
      </x:c>
      <x:c r="B15" s="66" t="str">
        <x:v>High</x:v>
      </x:c>
      <x:c r="C15" s="66" t="str">
        <x:v>Classification</x:v>
      </x:c>
      <x:c r="D15" s="66" t="str">
        <x:v>GOFREP</x:v>
      </x:c>
      <x:c r="E15" s="66" t="str">
        <x:v>Open</x:v>
      </x:c>
      <x:c r="F15" s="66" t="str">
        <x:v>Preserve GOFREP as a reporting system, not three VTS areas. Audit the restored Sommers/Hogland/Rodsher hypotheses separately.</x:v>
      </x:c>
      <x:c r="G15" s="66" t="str">
        <x:v>Reporting coverage outside VTS areas must not be counted as three new VTS areas.</x:v>
      </x:c>
      <x:c r="H15" s="66" t="str">
        <x:v>SRC-011; SRC-012</x:v>
      </x:c>
    </x:row>
    <x:row r="16" ht="60" customHeight="1">
      <x:c r="A16" s="70" t="str">
        <x:v>ISS-010</x:v>
      </x:c>
      <x:c r="B16" s="70" t="str">
        <x:v>Medium</x:v>
      </x:c>
      <x:c r="C16" s="70" t="str">
        <x:v>Geographical labels</x:v>
      </x:c>
      <x:c r="D16" s="70" t="str">
        <x:v>Pacific Panama; Punta Arenas; Iceland; Black Sea entries</x:v>
      </x:c>
      <x:c r="E16" s="70" t="str">
        <x:v>Open</x:v>
      </x:c>
      <x:c r="F16" s="70" t="str">
        <x:v>Preserve source labels, correct regional filing and verify official spellings and current names.</x:v>
      </x:c>
      <x:c r="G16" s="70" t="str">
        <x:v>Aliases and naming changes can create duplicates.</x:v>
      </x:c>
      <x:c r="H16" s="70" t="str">
        <x:v>SRC-001</x:v>
      </x:c>
    </x:row>
    <x:row r="17" ht="60" customHeight="1">
      <x:c r="A17" s="66" t="str">
        <x:v>ISS-011</x:v>
      </x:c>
      <x:c r="B17" s="66" t="str">
        <x:v>High</x:v>
      </x:c>
      <x:c r="C17" s="66" t="str">
        <x:v>Local confirmation</x:v>
      </x:c>
      <x:c r="D17" s="66" t="str">
        <x:v>GDANREP</x:v>
      </x:c>
      <x:c r="E17" s="66" t="str">
        <x:v>Open</x:v>
      </x:c>
      <x:c r="F17" s="66" t="str">
        <x:v>Polish authority and receiving VTS now identified. Complete current boundary, applicability and procedure checks.</x:v>
      </x:c>
      <x:c r="G17" s="66" t="str">
        <x:v>Identity gap resolved; operational verification remains open.</x:v>
      </x:c>
      <x:c r="H17" s="66" t="str">
        <x:v>SRC-019; SRC-010</x:v>
      </x:c>
    </x:row>
    <x:row r="18" ht="60" customHeight="1">
      <x:c r="A18" s="70" t="str">
        <x:v>ISS-012</x:v>
      </x:c>
      <x:c r="B18" s="70" t="str">
        <x:v>High</x:v>
      </x:c>
      <x:c r="C18" s="70" t="str">
        <x:v>Project inputs</x:v>
      </x:c>
      <x:c r="D18" s="70" t="str">
        <x:v>Sarah’s history; Derek’s source PDF</x:v>
      </x:c>
      <x:c r="E18" s="70" t="str">
        <x:v>Open</x:v>
      </x:c>
      <x:c r="F18" s="70" t="str">
        <x:v>Obtain and reconcile the documents named in the brief.</x:v>
      </x:c>
      <x:c r="G18" s="70" t="str">
        <x:v>Neither document was available as a usable research input in this inventory build.</x:v>
      </x:c>
      <x:c r="H18" s="70" t="str"/>
    </x:row>
    <x:row r="19" ht="60" customHeight="1">
      <x:c r="A19" s="66" t="str">
        <x:v>ISS-013</x:v>
      </x:c>
      <x:c r="B19" s="66" t="str">
        <x:v>High</x:v>
      </x:c>
      <x:c r="C19" s="66" t="str">
        <x:v>Recognition scope</x:v>
      </x:c>
      <x:c r="D19" s="66" t="str">
        <x:v>Nationally established TSS</x:v>
      </x:c>
      <x:c r="E19" s="66" t="str">
        <x:v>Open</x:v>
      </x:c>
      <x:c r="F19" s="66" t="str">
        <x:v>Create a separate national-scheme inventory and decide inclusion criteria.</x:v>
      </x:c>
      <x:c r="G19" s="66" t="str">
        <x:v>The present extraction targets UKHO-labelled IMO-adopted entries, not all national routeing measures.</x:v>
      </x:c>
      <x:c r="H19" s="66" t="str">
        <x:v>SRC-001; SRC-003</x:v>
      </x:c>
    </x:row>
    <x:row r="20" ht="60" customHeight="1">
      <x:c r="A20" s="70" t="str">
        <x:v>ISS-014</x:v>
      </x:c>
      <x:c r="B20" s="70" t="str">
        <x:v>Medium</x:v>
      </x:c>
      <x:c r="C20" s="70" t="str">
        <x:v>Production scope</x:v>
      </x:c>
      <x:c r="D20" s="70" t="str">
        <x:v>Proposed guide entries</x:v>
      </x:c>
      <x:c r="E20" s="70" t="str">
        <x:v>Open</x:v>
      </x:c>
      <x:c r="F20" s="70" t="str">
        <x:v>Define coherent editorial units after service-boundary reconciliation.</x:v>
      </x:c>
      <x:c r="G20" s="70" t="str">
        <x:v>No guide-entry, directional-diagram or page total is assigned in this release.</x:v>
      </x:c>
      <x:c r="H20" s="70" t="str"/>
    </x:row>
    <x:row r="21" ht="60" customHeight="1">
      <x:c r="A21" s="66" t="str">
        <x:v>ISS-015</x:v>
      </x:c>
      <x:c r="B21" s="66" t="str">
        <x:v>High</x:v>
      </x:c>
      <x:c r="C21" s="66" t="str">
        <x:v>Version control</x:v>
      </x:c>
      <x:c r="D21" s="66" t="str">
        <x:v>Both v0.1 releases</x:v>
      </x:c>
      <x:c r="E21" s="66" t="str">
        <x:v>Closed</x:v>
      </x:c>
      <x:c r="F21" s="66" t="str">
        <x:v>Reconciled into v0.2. Restored dropped services and voluntary scheme. Added ID Crosswalk and Legacy Links.</x:v>
      </x:c>
      <x:c r="G21" s="66" t="str">
        <x:v>v0.2 supersedes both v0.1 workbooks. Earlier candidate labels are retained.</x:v>
      </x:c>
      <x:c r="H21" s="66" t="str">
        <x:v>SRC-017; SRC-019</x:v>
      </x:c>
    </x:row>
    <x:row r="22" ht="60" customHeight="1">
      <x:c r="A22" s="70" t="str">
        <x:v>ISS-016</x:v>
      </x:c>
      <x:c r="B22" s="70" t="str">
        <x:v>High</x:v>
      </x:c>
      <x:c r="C22" s="70" t="str">
        <x:v>Boundary evidence</x:v>
      </x:c>
      <x:c r="D22" s="70" t="str">
        <x:v>Seven US TSS research leads</x:v>
      </x:c>
      <x:c r="E22" s="70" t="str">
        <x:v>Open</x:v>
      </x:c>
      <x:c r="F22" s="70" t="str">
        <x:v>Verify actual overlap, approaches and participating-vessel scope. Add Canadian service areas where evidence supports them.</x:v>
      </x:c>
      <x:c r="G22" s="70" t="str">
        <x:v>Six service identities confirmed, but no whole-TSS coverage inferred from proximity.</x:v>
      </x:c>
      <x:c r="H22" s="70" t="str">
        <x:v>SRC-017</x:v>
      </x:c>
    </x:row>
    <x:row r="23" ht="60" customHeight="1">
      <x:c r="A23" s="66" t="str">
        <x:v>ISS-017</x:v>
      </x:c>
      <x:c r="B23" s="66" t="str">
        <x:v>High</x:v>
      </x:c>
      <x:c r="C23" s="66" t="str">
        <x:v>Unverified legacy hypotheses</x:v>
      </x:c>
      <x:c r="D23" s="66" t="str">
        <x:v>TSS-0021; TSS-0022; TSS-0023</x:v>
      </x:c>
      <x:c r="E23" s="66" t="str">
        <x:v>Open</x:v>
      </x:c>
      <x:c r="F23" s="66" t="str">
        <x:v>Obtain direct authority evidence for each proposed GOFREP connection.</x:v>
      </x:c>
      <x:c r="G23" s="66" t="str">
        <x:v>Restored hypotheses remain excluded from the evidenced-association count.</x:v>
      </x:c>
      <x:c r="H23" s="66" t="str">
        <x:v>SRC-011; SRC-012</x:v>
      </x:c>
    </x:row>
  </x:sheetData>
  <x:mergeCells>
    <x:mergeCell ref="A1:H2"/>
    <x:mergeCell ref="A3:H4"/>
  </x:mergeCells>
  <x:conditionalFormatting sqref="B7:B20">
    <x:cfRule type="expression" dxfId="0" priority="1">
      <x:formula>B7="High"</x:formula>
    </x:cfRule>
  </x:conditionalFormatting>
  <x:dataValidations count="2">
    <x:dataValidation type="list" sqref="E7:E20">
      <x:formula1>"Open,In progress,Resolved,Deferred"</x:formula1>
    </x:dataValidation>
    <x:dataValidation type="list" sqref="E7:E23">
      <x:formula1>"Open,Closed"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822ea80d87046fb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5" hidden="0" customWidth="1"/>
    <x:col min="3" max="3" width="15" hidden="0" customWidth="1"/>
    <x:col min="4" max="4" width="15" hidden="0" customWidth="1"/>
    <x:col min="5" max="5" width="20" hidden="0" customWidth="1"/>
    <x:col min="6" max="6" width="48" hidden="0" customWidth="1"/>
    <x:col min="7" max="7" width="25" hidden="0" customWidth="1"/>
    <x:col min="8" max="8" width="54" hidden="0" customWidth="1"/>
  </x:cols>
  <x:sheetData>
    <x:row r="1" ht="23" customHeight="1">
      <x:c r="A1" s="44" t="str">
        <x:v>SEQUENTIAL RESEARCH BATCHES</x:v>
      </x:c>
      <x:c r="B1" s="44"/>
      <x:c r="C1" s="44"/>
      <x:c r="D1" s="44"/>
      <x:c r="E1" s="44"/>
      <x:c r="F1" s="44"/>
      <x:c r="G1" s="44"/>
      <x:c r="H1" s="44"/>
    </x:row>
    <x:row r="2" ht="23" customHeight="1">
      <x:c r="A2" s="44"/>
      <x:c r="B2" s="44"/>
      <x:c r="C2" s="44"/>
      <x:c r="D2" s="44"/>
      <x:c r="E2" s="44"/>
      <x:c r="F2" s="44"/>
      <x:c r="G2" s="44"/>
      <x:c r="H2" s="44"/>
    </x:row>
    <x:row r="3" ht="21" customHeight="1">
      <x:c r="A3" s="12" t="str">
        <x:v>Version 0.2 | 29 September 2026 | Batches. Reconciled register; see Audit Findings and Overview for limits.</x:v>
      </x:c>
      <x:c r="B3" s="12"/>
      <x:c r="C3" s="12"/>
      <x:c r="D3" s="12"/>
      <x:c r="E3" s="12"/>
      <x:c r="F3" s="12"/>
      <x:c r="G3" s="12"/>
      <x:c r="H3" s="12"/>
    </x:row>
    <x:row r="4" ht="21" customHeight="1">
      <x:c r="A4" s="12"/>
      <x:c r="B4" s="12"/>
      <x:c r="C4" s="12"/>
      <x:c r="D4" s="12"/>
      <x:c r="E4" s="12"/>
      <x:c r="F4" s="12"/>
      <x:c r="G4" s="12"/>
      <x:c r="H4" s="12"/>
    </x:row>
    <x:row r="6" ht="34" customHeight="1">
      <x:c r="A6" s="65" t="str">
        <x:v>Batch</x:v>
      </x:c>
      <x:c r="B6" s="65" t="str">
        <x:v>First record</x:v>
      </x:c>
      <x:c r="C6" s="65" t="str">
        <x:v>Last record</x:v>
      </x:c>
      <x:c r="D6" s="65" t="str">
        <x:v>Candidate rows</x:v>
      </x:c>
      <x:c r="E6" s="65" t="str">
        <x:v>Identification started</x:v>
      </x:c>
      <x:c r="F6" s="65" t="str">
        <x:v>Areas in batch</x:v>
      </x:c>
      <x:c r="G6" s="65" t="str">
        <x:v>Status</x:v>
      </x:c>
      <x:c r="H6" s="65" t="str">
        <x:v>Next action</x:v>
      </x:c>
    </x:row>
    <x:row r="7" ht="39" customHeight="1">
      <x:c r="A7" s="66" t="str">
        <x:v>B01</x:v>
      </x:c>
      <x:c r="B7" s="66" t="str">
        <x:v>TSS-0001</x:v>
      </x:c>
      <x:c r="C7" s="66" t="str">
        <x:v>TSS-0005</x:v>
      </x:c>
      <x:c r="D7" s="66" t="n">
        <x:f>COUNTIF('TSS Candidates'!$Q$7:$Q$176,A7)</x:f>
        <x:v>5</x:v>
      </x:c>
      <x:c r="E7" s="66" t="n">
        <x:f>COUNTIFS('TSS Candidates'!$Q$7:$Q$176,A7,'TSS Candidates'!$R$7:$R$176,"&lt;&gt;Candidate recorded")</x:f>
        <x:v>1</x:v>
      </x:c>
      <x:c r="F7" s="66" t="str">
        <x:v>British Isles and southern North Sea</x:v>
      </x:c>
      <x:c r="G7" s="66" t="str">
        <x:v>Not fully reviewed</x:v>
      </x:c>
      <x:c r="H7" s="66" t="str">
        <x:v>Primary baseline check, then VTS/SRS classification and association audit.</x:v>
      </x:c>
    </x:row>
    <x:row r="8" ht="39" customHeight="1">
      <x:c r="A8" s="66" t="str">
        <x:v>B02</x:v>
      </x:c>
      <x:c r="B8" s="66" t="str">
        <x:v>TSS-0006</x:v>
      </x:c>
      <x:c r="C8" s="66" t="str">
        <x:v>TSS-0010</x:v>
      </x:c>
      <x:c r="D8" s="66" t="n">
        <x:f>COUNTIF('TSS Candidates'!$Q$7:$Q$176,A8)</x:f>
        <x:v>5</x:v>
      </x:c>
      <x:c r="E8" s="66" t="n">
        <x:f>COUNTIFS('TSS Candidates'!$Q$7:$Q$176,A8,'TSS Candidates'!$R$7:$R$176,"&lt;&gt;Candidate recorded")</x:f>
        <x:v>0</x:v>
      </x:c>
      <x:c r="F8" s="66" t="str">
        <x:v>British Isles and southern North Sea</x:v>
      </x:c>
      <x:c r="G8" s="66" t="str">
        <x:v>Not fully reviewed</x:v>
      </x:c>
      <x:c r="H8" s="66" t="str">
        <x:v>Primary baseline check, then VTS/SRS classification and association audit.</x:v>
      </x:c>
    </x:row>
    <x:row r="9" ht="39" customHeight="1">
      <x:c r="A9" s="66" t="str">
        <x:v>B03</x:v>
      </x:c>
      <x:c r="B9" s="66" t="str">
        <x:v>TSS-0011</x:v>
      </x:c>
      <x:c r="C9" s="66" t="str">
        <x:v>TSS-0015</x:v>
      </x:c>
      <x:c r="D9" s="66" t="n">
        <x:f>COUNTIF('TSS Candidates'!$Q$7:$Q$176,A9)</x:f>
        <x:v>5</x:v>
      </x:c>
      <x:c r="E9" s="66" t="n">
        <x:f>COUNTIFS('TSS Candidates'!$Q$7:$Q$176,A9,'TSS Candidates'!$R$7:$R$176,"&lt;&gt;Candidate recorded")</x:f>
        <x:v>0</x:v>
      </x:c>
      <x:c r="F9" s="66" t="str">
        <x:v>British Isles and southern North Sea</x:v>
      </x:c>
      <x:c r="G9" s="66" t="str">
        <x:v>Not fully reviewed</x:v>
      </x:c>
      <x:c r="H9" s="66" t="str">
        <x:v>Primary baseline check, then VTS/SRS classification and association audit.</x:v>
      </x:c>
    </x:row>
    <x:row r="10" ht="39" customHeight="1">
      <x:c r="A10" s="66" t="str">
        <x:v>B04</x:v>
      </x:c>
      <x:c r="B10" s="66" t="str">
        <x:v>TSS-0016</x:v>
      </x:c>
      <x:c r="C10" s="66" t="str">
        <x:v>TSS-0020</x:v>
      </x:c>
      <x:c r="D10" s="66" t="n">
        <x:f>COUNTIF('TSS Candidates'!$Q$7:$Q$176,A10)</x:f>
        <x:v>5</x:v>
      </x:c>
      <x:c r="E10" s="66" t="n">
        <x:f>COUNTIFS('TSS Candidates'!$Q$7:$Q$176,A10,'TSS Candidates'!$R$7:$R$176,"&lt;&gt;Candidate recorded")</x:f>
        <x:v>0</x:v>
      </x:c>
      <x:c r="F10" s="66" t="str">
        <x:v>British Isles and southern North Sea; Norway and Iceland; Baltic Sea and approaches</x:v>
      </x:c>
      <x:c r="G10" s="66" t="str">
        <x:v>Not fully reviewed</x:v>
      </x:c>
      <x:c r="H10" s="66" t="str">
        <x:v>Primary baseline check, then VTS/SRS classification and association audit.</x:v>
      </x:c>
    </x:row>
    <x:row r="11" ht="39" customHeight="1">
      <x:c r="A11" s="66" t="str">
        <x:v>B05</x:v>
      </x:c>
      <x:c r="B11" s="66" t="str">
        <x:v>TSS-0021</x:v>
      </x:c>
      <x:c r="C11" s="66" t="str">
        <x:v>TSS-0025</x:v>
      </x:c>
      <x:c r="D11" s="66" t="n">
        <x:f>COUNTIF('TSS Candidates'!$Q$7:$Q$176,A11)</x:f>
        <x:v>5</x:v>
      </x:c>
      <x:c r="E11" s="66" t="n">
        <x:f>COUNTIFS('TSS Candidates'!$Q$7:$Q$176,A11,'TSS Candidates'!$R$7:$R$176,"&lt;&gt;Candidate recorded")</x:f>
        <x:v>5</x:v>
      </x:c>
      <x:c r="F11" s="66" t="str">
        <x:v>Baltic Sea and approaches</x:v>
      </x:c>
      <x:c r="G11" s="66" t="str">
        <x:v>Not fully reviewed</x:v>
      </x:c>
      <x:c r="H11" s="66" t="str">
        <x:v>Primary baseline check, then VTS/SRS classification and association audit.</x:v>
      </x:c>
    </x:row>
    <x:row r="12" ht="39" customHeight="1">
      <x:c r="A12" s="66" t="str">
        <x:v>B06</x:v>
      </x:c>
      <x:c r="B12" s="66" t="str">
        <x:v>TSS-0026</x:v>
      </x:c>
      <x:c r="C12" s="66" t="str">
        <x:v>TSS-0030</x:v>
      </x:c>
      <x:c r="D12" s="66" t="n">
        <x:f>COUNTIF('TSS Candidates'!$Q$7:$Q$176,A12)</x:f>
        <x:v>5</x:v>
      </x:c>
      <x:c r="E12" s="66" t="n">
        <x:f>COUNTIFS('TSS Candidates'!$Q$7:$Q$176,A12,'TSS Candidates'!$R$7:$R$176,"&lt;&gt;Candidate recorded")</x:f>
        <x:v>2</x:v>
      </x:c>
      <x:c r="F12" s="66" t="str">
        <x:v>Baltic Sea and approaches</x:v>
      </x:c>
      <x:c r="G12" s="66" t="str">
        <x:v>Not fully reviewed</x:v>
      </x:c>
      <x:c r="H12" s="66" t="str">
        <x:v>Primary baseline check, then VTS/SRS classification and association audit.</x:v>
      </x:c>
    </x:row>
    <x:row r="13" ht="39" customHeight="1">
      <x:c r="A13" s="66" t="str">
        <x:v>B07</x:v>
      </x:c>
      <x:c r="B13" s="66" t="str">
        <x:v>TSS-0031</x:v>
      </x:c>
      <x:c r="C13" s="66" t="str">
        <x:v>TSS-0035</x:v>
      </x:c>
      <x:c r="D13" s="66" t="n">
        <x:f>COUNTIF('TSS Candidates'!$Q$7:$Q$176,A13)</x:f>
        <x:v>5</x:v>
      </x:c>
      <x:c r="E13" s="66" t="n">
        <x:f>COUNTIFS('TSS Candidates'!$Q$7:$Q$176,A13,'TSS Candidates'!$R$7:$R$176,"&lt;&gt;Candidate recorded")</x:f>
        <x:v>0</x:v>
      </x:c>
      <x:c r="F13" s="66" t="str">
        <x:v>Baltic Sea and approaches</x:v>
      </x:c>
      <x:c r="G13" s="66" t="str">
        <x:v>Not fully reviewed</x:v>
      </x:c>
      <x:c r="H13" s="66" t="str">
        <x:v>Primary baseline check, then VTS/SRS classification and association audit.</x:v>
      </x:c>
    </x:row>
    <x:row r="14" ht="39" customHeight="1">
      <x:c r="A14" s="66" t="str">
        <x:v>B08</x:v>
      </x:c>
      <x:c r="B14" s="66" t="str">
        <x:v>TSS-0036</x:v>
      </x:c>
      <x:c r="C14" s="66" t="str">
        <x:v>TSS-0040</x:v>
      </x:c>
      <x:c r="D14" s="66" t="n">
        <x:f>COUNTIF('TSS Candidates'!$Q$7:$Q$176,A14)</x:f>
        <x:v>5</x:v>
      </x:c>
      <x:c r="E14" s="66" t="n">
        <x:f>COUNTIFS('TSS Candidates'!$Q$7:$Q$176,A14,'TSS Candidates'!$R$7:$R$176,"&lt;&gt;Candidate recorded")</x:f>
        <x:v>3</x:v>
      </x:c>
      <x:c r="F14" s="66" t="str">
        <x:v>Baltic Sea and approaches</x:v>
      </x:c>
      <x:c r="G14" s="66" t="str">
        <x:v>Not fully reviewed</x:v>
      </x:c>
      <x:c r="H14" s="66" t="str">
        <x:v>Primary baseline check, then VTS/SRS classification and association audit.</x:v>
      </x:c>
    </x:row>
    <x:row r="15" ht="39" customHeight="1">
      <x:c r="A15" s="66" t="str">
        <x:v>B09</x:v>
      </x:c>
      <x:c r="B15" s="66" t="str">
        <x:v>TSS-0041</x:v>
      </x:c>
      <x:c r="C15" s="66" t="str">
        <x:v>TSS-0045</x:v>
      </x:c>
      <x:c r="D15" s="66" t="n">
        <x:f>COUNTIF('TSS Candidates'!$Q$7:$Q$176,A15)</x:f>
        <x:v>5</x:v>
      </x:c>
      <x:c r="E15" s="66" t="n">
        <x:f>COUNTIFS('TSS Candidates'!$Q$7:$Q$176,A15,'TSS Candidates'!$R$7:$R$176,"&lt;&gt;Candidate recorded")</x:f>
        <x:v>2</x:v>
      </x:c>
      <x:c r="F15" s="66" t="str">
        <x:v>Baltic Sea and approaches</x:v>
      </x:c>
      <x:c r="G15" s="66" t="str">
        <x:v>Not fully reviewed</x:v>
      </x:c>
      <x:c r="H15" s="66" t="str">
        <x:v>Primary baseline check, then VTS/SRS classification and association audit.</x:v>
      </x:c>
    </x:row>
    <x:row r="16" ht="39" customHeight="1">
      <x:c r="A16" s="66" t="str">
        <x:v>B10</x:v>
      </x:c>
      <x:c r="B16" s="66" t="str">
        <x:v>TSS-0046</x:v>
      </x:c>
      <x:c r="C16" s="66" t="str">
        <x:v>TSS-0050</x:v>
      </x:c>
      <x:c r="D16" s="66" t="n">
        <x:f>COUNTIF('TSS Candidates'!$Q$7:$Q$176,A16)</x:f>
        <x:v>5</x:v>
      </x:c>
      <x:c r="E16" s="66" t="n">
        <x:f>COUNTIFS('TSS Candidates'!$Q$7:$Q$176,A16,'TSS Candidates'!$R$7:$R$176,"&lt;&gt;Candidate recorded")</x:f>
        <x:v>0</x:v>
      </x:c>
      <x:c r="F16" s="66" t="str">
        <x:v>North Sea continental coast</x:v>
      </x:c>
      <x:c r="G16" s="66" t="str">
        <x:v>Not fully reviewed</x:v>
      </x:c>
      <x:c r="H16" s="66" t="str">
        <x:v>Primary baseline check, then VTS/SRS classification and association audit.</x:v>
      </x:c>
    </x:row>
    <x:row r="17" ht="39" customHeight="1">
      <x:c r="A17" s="66" t="str">
        <x:v>B11</x:v>
      </x:c>
      <x:c r="B17" s="66" t="str">
        <x:v>TSS-0051</x:v>
      </x:c>
      <x:c r="C17" s="66" t="str">
        <x:v>TSS-0055</x:v>
      </x:c>
      <x:c r="D17" s="66" t="n">
        <x:f>COUNTIF('TSS Candidates'!$Q$7:$Q$176,A17)</x:f>
        <x:v>5</x:v>
      </x:c>
      <x:c r="E17" s="66" t="n">
        <x:f>COUNTIFS('TSS Candidates'!$Q$7:$Q$176,A17,'TSS Candidates'!$R$7:$R$176,"&lt;&gt;Candidate recorded")</x:f>
        <x:v>0</x:v>
      </x:c>
      <x:c r="F17" s="66" t="str">
        <x:v>North Sea continental coast</x:v>
      </x:c>
      <x:c r="G17" s="66" t="str">
        <x:v>Not fully reviewed</x:v>
      </x:c>
      <x:c r="H17" s="66" t="str">
        <x:v>Primary baseline check, then VTS/SRS classification and association audit.</x:v>
      </x:c>
    </x:row>
    <x:row r="18" ht="39" customHeight="1">
      <x:c r="A18" s="66" t="str">
        <x:v>B12</x:v>
      </x:c>
      <x:c r="B18" s="66" t="str">
        <x:v>TSS-0056</x:v>
      </x:c>
      <x:c r="C18" s="66" t="str">
        <x:v>TSS-0060</x:v>
      </x:c>
      <x:c r="D18" s="66" t="n">
        <x:f>COUNTIF('TSS Candidates'!$Q$7:$Q$176,A18)</x:f>
        <x:v>5</x:v>
      </x:c>
      <x:c r="E18" s="66" t="n">
        <x:f>COUNTIFS('TSS Candidates'!$Q$7:$Q$176,A18,'TSS Candidates'!$R$7:$R$176,"&lt;&gt;Candidate recorded")</x:f>
        <x:v>0</x:v>
      </x:c>
      <x:c r="F18" s="66" t="str">
        <x:v>North Sea continental coast; France, Iberia and Canary Islands</x:v>
      </x:c>
      <x:c r="G18" s="66" t="str">
        <x:v>Not fully reviewed</x:v>
      </x:c>
      <x:c r="H18" s="66" t="str">
        <x:v>Primary baseline check, then VTS/SRS classification and association audit.</x:v>
      </x:c>
    </x:row>
    <x:row r="19" ht="39" customHeight="1">
      <x:c r="A19" s="66" t="str">
        <x:v>B13</x:v>
      </x:c>
      <x:c r="B19" s="66" t="str">
        <x:v>TSS-0061</x:v>
      </x:c>
      <x:c r="C19" s="66" t="str">
        <x:v>TSS-0065</x:v>
      </x:c>
      <x:c r="D19" s="66" t="n">
        <x:f>COUNTIF('TSS Candidates'!$Q$7:$Q$176,A19)</x:f>
        <x:v>5</x:v>
      </x:c>
      <x:c r="E19" s="66" t="n">
        <x:f>COUNTIFS('TSS Candidates'!$Q$7:$Q$176,A19,'TSS Candidates'!$R$7:$R$176,"&lt;&gt;Candidate recorded")</x:f>
        <x:v>0</x:v>
      </x:c>
      <x:c r="F19" s="66" t="str">
        <x:v>France, Iberia and Canary Islands</x:v>
      </x:c>
      <x:c r="G19" s="66" t="str">
        <x:v>Not fully reviewed</x:v>
      </x:c>
      <x:c r="H19" s="66" t="str">
        <x:v>Primary baseline check, then VTS/SRS classification and association audit.</x:v>
      </x:c>
    </x:row>
    <x:row r="20" ht="39" customHeight="1">
      <x:c r="A20" s="66" t="str">
        <x:v>B14</x:v>
      </x:c>
      <x:c r="B20" s="66" t="str">
        <x:v>TSS-0066</x:v>
      </x:c>
      <x:c r="C20" s="66" t="str">
        <x:v>TSS-0070</x:v>
      </x:c>
      <x:c r="D20" s="66" t="n">
        <x:f>COUNTIF('TSS Candidates'!$Q$7:$Q$176,A20)</x:f>
        <x:v>5</x:v>
      </x:c>
      <x:c r="E20" s="66" t="n">
        <x:f>COUNTIFS('TSS Candidates'!$Q$7:$Q$176,A20,'TSS Candidates'!$R$7:$R$176,"&lt;&gt;Candidate recorded")</x:f>
        <x:v>0</x:v>
      </x:c>
      <x:c r="F20" s="66" t="str">
        <x:v>Mediterranean and Black Seas</x:v>
      </x:c>
      <x:c r="G20" s="66" t="str">
        <x:v>Not fully reviewed</x:v>
      </x:c>
      <x:c r="H20" s="66" t="str">
        <x:v>Primary baseline check, then VTS/SRS classification and association audit.</x:v>
      </x:c>
    </x:row>
    <x:row r="21" ht="39" customHeight="1">
      <x:c r="A21" s="66" t="str">
        <x:v>B15</x:v>
      </x:c>
      <x:c r="B21" s="66" t="str">
        <x:v>TSS-0071</x:v>
      </x:c>
      <x:c r="C21" s="66" t="str">
        <x:v>TSS-0075</x:v>
      </x:c>
      <x:c r="D21" s="66" t="n">
        <x:f>COUNTIF('TSS Candidates'!$Q$7:$Q$176,A21)</x:f>
        <x:v>5</x:v>
      </x:c>
      <x:c r="E21" s="66" t="n">
        <x:f>COUNTIFS('TSS Candidates'!$Q$7:$Q$176,A21,'TSS Candidates'!$R$7:$R$176,"&lt;&gt;Candidate recorded")</x:f>
        <x:v>0</x:v>
      </x:c>
      <x:c r="F21" s="66" t="str">
        <x:v>Mediterranean and Black Seas</x:v>
      </x:c>
      <x:c r="G21" s="66" t="str">
        <x:v>Not fully reviewed</x:v>
      </x:c>
      <x:c r="H21" s="66" t="str">
        <x:v>Primary baseline check, then VTS/SRS classification and association audit.</x:v>
      </x:c>
    </x:row>
    <x:row r="22" ht="39" customHeight="1">
      <x:c r="A22" s="66" t="str">
        <x:v>B16</x:v>
      </x:c>
      <x:c r="B22" s="66" t="str">
        <x:v>TSS-0076</x:v>
      </x:c>
      <x:c r="C22" s="66" t="str">
        <x:v>TSS-0080</x:v>
      </x:c>
      <x:c r="D22" s="66" t="n">
        <x:f>COUNTIF('TSS Candidates'!$Q$7:$Q$176,A22)</x:f>
        <x:v>5</x:v>
      </x:c>
      <x:c r="E22" s="66" t="n">
        <x:f>COUNTIFS('TSS Candidates'!$Q$7:$Q$176,A22,'TSS Candidates'!$R$7:$R$176,"&lt;&gt;Candidate recorded")</x:f>
        <x:v>0</x:v>
      </x:c>
      <x:c r="F22" s="66" t="str">
        <x:v>Mediterranean and Black Seas</x:v>
      </x:c>
      <x:c r="G22" s="66" t="str">
        <x:v>Not fully reviewed</x:v>
      </x:c>
      <x:c r="H22" s="66" t="str">
        <x:v>Primary baseline check, then VTS/SRS classification and association audit.</x:v>
      </x:c>
    </x:row>
    <x:row r="23" ht="39" customHeight="1">
      <x:c r="A23" s="66" t="str">
        <x:v>B17</x:v>
      </x:c>
      <x:c r="B23" s="66" t="str">
        <x:v>TSS-0081</x:v>
      </x:c>
      <x:c r="C23" s="66" t="str">
        <x:v>TSS-0085</x:v>
      </x:c>
      <x:c r="D23" s="66" t="n">
        <x:f>COUNTIF('TSS Candidates'!$Q$7:$Q$176,A23)</x:f>
        <x:v>5</x:v>
      </x:c>
      <x:c r="E23" s="66" t="n">
        <x:f>COUNTIFS('TSS Candidates'!$Q$7:$Q$176,A23,'TSS Candidates'!$R$7:$R$176,"&lt;&gt;Candidate recorded")</x:f>
        <x:v>0</x:v>
      </x:c>
      <x:c r="F23" s="66" t="str">
        <x:v>Mediterranean and Black Seas</x:v>
      </x:c>
      <x:c r="G23" s="66" t="str">
        <x:v>Not fully reviewed</x:v>
      </x:c>
      <x:c r="H23" s="66" t="str">
        <x:v>Primary baseline check, then VTS/SRS classification and association audit.</x:v>
      </x:c>
    </x:row>
    <x:row r="24" ht="39" customHeight="1">
      <x:c r="A24" s="66" t="str">
        <x:v>B18</x:v>
      </x:c>
      <x:c r="B24" s="66" t="str">
        <x:v>TSS-0086</x:v>
      </x:c>
      <x:c r="C24" s="66" t="str">
        <x:v>TSS-0090</x:v>
      </x:c>
      <x:c r="D24" s="66" t="n">
        <x:f>COUNTIF('TSS Candidates'!$Q$7:$Q$176,A24)</x:f>
        <x:v>5</x:v>
      </x:c>
      <x:c r="E24" s="66" t="n">
        <x:f>COUNTIFS('TSS Candidates'!$Q$7:$Q$176,A24,'TSS Candidates'!$R$7:$R$176,"&lt;&gt;Candidate recorded")</x:f>
        <x:v>0</x:v>
      </x:c>
      <x:c r="F24" s="66" t="str">
        <x:v>Mediterranean and Black Seas; Southern Africa</x:v>
      </x:c>
      <x:c r="G24" s="66" t="str">
        <x:v>Not fully reviewed</x:v>
      </x:c>
      <x:c r="H24" s="66" t="str">
        <x:v>Primary baseline check, then VTS/SRS classification and association audit.</x:v>
      </x:c>
    </x:row>
    <x:row r="25" ht="39" customHeight="1">
      <x:c r="A25" s="66" t="str">
        <x:v>B19</x:v>
      </x:c>
      <x:c r="B25" s="66" t="str">
        <x:v>TSS-0091</x:v>
      </x:c>
      <x:c r="C25" s="66" t="str">
        <x:v>TSS-0095</x:v>
      </x:c>
      <x:c r="D25" s="66" t="n">
        <x:f>COUNTIF('TSS Candidates'!$Q$7:$Q$176,A25)</x:f>
        <x:v>5</x:v>
      </x:c>
      <x:c r="E25" s="66" t="n">
        <x:f>COUNTIFS('TSS Candidates'!$Q$7:$Q$176,A25,'TSS Candidates'!$R$7:$R$176,"&lt;&gt;Candidate recorded")</x:f>
        <x:v>0</x:v>
      </x:c>
      <x:c r="F25" s="66" t="str">
        <x:v>Southern Africa; Red Sea and Arabian region</x:v>
      </x:c>
      <x:c r="G25" s="66" t="str">
        <x:v>Not fully reviewed</x:v>
      </x:c>
      <x:c r="H25" s="66" t="str">
        <x:v>Primary baseline check, then VTS/SRS classification and association audit.</x:v>
      </x:c>
    </x:row>
    <x:row r="26" ht="39" customHeight="1">
      <x:c r="A26" s="66" t="str">
        <x:v>B20</x:v>
      </x:c>
      <x:c r="B26" s="66" t="str">
        <x:v>TSS-0096</x:v>
      </x:c>
      <x:c r="C26" s="66" t="str">
        <x:v>TSS-0100</x:v>
      </x:c>
      <x:c r="D26" s="66" t="n">
        <x:f>COUNTIF('TSS Candidates'!$Q$7:$Q$176,A26)</x:f>
        <x:v>5</x:v>
      </x:c>
      <x:c r="E26" s="66" t="n">
        <x:f>COUNTIFS('TSS Candidates'!$Q$7:$Q$176,A26,'TSS Candidates'!$R$7:$R$176,"&lt;&gt;Candidate recorded")</x:f>
        <x:v>0</x:v>
      </x:c>
      <x:c r="F26" s="66" t="str">
        <x:v>Red Sea and Arabian region</x:v>
      </x:c>
      <x:c r="G26" s="66" t="str">
        <x:v>Not fully reviewed</x:v>
      </x:c>
      <x:c r="H26" s="66" t="str">
        <x:v>Primary baseline check, then VTS/SRS classification and association audit.</x:v>
      </x:c>
    </x:row>
    <x:row r="27" ht="39" customHeight="1">
      <x:c r="A27" s="66" t="str">
        <x:v>B21</x:v>
      </x:c>
      <x:c r="B27" s="66" t="str">
        <x:v>TSS-0101</x:v>
      </x:c>
      <x:c r="C27" s="66" t="str">
        <x:v>TSS-0105</x:v>
      </x:c>
      <x:c r="D27" s="66" t="n">
        <x:f>COUNTIF('TSS Candidates'!$Q$7:$Q$176,A27)</x:f>
        <x:v>5</x:v>
      </x:c>
      <x:c r="E27" s="66" t="n">
        <x:f>COUNTIFS('TSS Candidates'!$Q$7:$Q$176,A27,'TSS Candidates'!$R$7:$R$176,"&lt;&gt;Candidate recorded")</x:f>
        <x:v>0</x:v>
      </x:c>
      <x:c r="F27" s="66" t="str">
        <x:v>Red Sea and Arabian region</x:v>
      </x:c>
      <x:c r="G27" s="66" t="str">
        <x:v>Not fully reviewed</x:v>
      </x:c>
      <x:c r="H27" s="66" t="str">
        <x:v>Primary baseline check, then VTS/SRS classification and association audit.</x:v>
      </x:c>
    </x:row>
    <x:row r="28" ht="39" customHeight="1">
      <x:c r="A28" s="66" t="str">
        <x:v>B22</x:v>
      </x:c>
      <x:c r="B28" s="66" t="str">
        <x:v>TSS-0106</x:v>
      </x:c>
      <x:c r="C28" s="66" t="str">
        <x:v>TSS-0110</x:v>
      </x:c>
      <x:c r="D28" s="66" t="n">
        <x:f>COUNTIF('TSS Candidates'!$Q$7:$Q$176,A28)</x:f>
        <x:v>5</x:v>
      </x:c>
      <x:c r="E28" s="66" t="n">
        <x:f>COUNTIFS('TSS Candidates'!$Q$7:$Q$176,A28,'TSS Candidates'!$R$7:$R$176,"&lt;&gt;Candidate recorded")</x:f>
        <x:v>4</x:v>
      </x:c>
      <x:c r="F28" s="66" t="str">
        <x:v>Indian Ocean and South Asia; Malacca, Singapore and Indonesia</x:v>
      </x:c>
      <x:c r="G28" s="66" t="str">
        <x:v>Not fully reviewed</x:v>
      </x:c>
      <x:c r="H28" s="66" t="str">
        <x:v>Primary baseline check, then VTS/SRS classification and association audit.</x:v>
      </x:c>
    </x:row>
    <x:row r="29" ht="39" customHeight="1">
      <x:c r="A29" s="66" t="str">
        <x:v>B23</x:v>
      </x:c>
      <x:c r="B29" s="66" t="str">
        <x:v>TSS-0111</x:v>
      </x:c>
      <x:c r="C29" s="66" t="str">
        <x:v>TSS-0115</x:v>
      </x:c>
      <x:c r="D29" s="66" t="n">
        <x:f>COUNTIF('TSS Candidates'!$Q$7:$Q$176,A29)</x:f>
        <x:v>5</x:v>
      </x:c>
      <x:c r="E29" s="66" t="n">
        <x:f>COUNTIFS('TSS Candidates'!$Q$7:$Q$176,A29,'TSS Candidates'!$R$7:$R$176,"&lt;&gt;Candidate recorded")</x:f>
        <x:v>4</x:v>
      </x:c>
      <x:c r="F29" s="66" t="str">
        <x:v>Malacca, Singapore and Indonesia</x:v>
      </x:c>
      <x:c r="G29" s="66" t="str">
        <x:v>Not fully reviewed</x:v>
      </x:c>
      <x:c r="H29" s="66" t="str">
        <x:v>Primary baseline check, then VTS/SRS classification and association audit.</x:v>
      </x:c>
    </x:row>
    <x:row r="30" ht="39" customHeight="1">
      <x:c r="A30" s="66" t="str">
        <x:v>B24</x:v>
      </x:c>
      <x:c r="B30" s="66" t="str">
        <x:v>TSS-0116</x:v>
      </x:c>
      <x:c r="C30" s="66" t="str">
        <x:v>TSS-0120</x:v>
      </x:c>
      <x:c r="D30" s="66" t="n">
        <x:f>COUNTIF('TSS Candidates'!$Q$7:$Q$176,A30)</x:f>
        <x:v>5</x:v>
      </x:c>
      <x:c r="E30" s="66" t="n">
        <x:f>COUNTIFS('TSS Candidates'!$Q$7:$Q$176,A30,'TSS Candidates'!$R$7:$R$176,"&lt;&gt;Candidate recorded")</x:f>
        <x:v>0</x:v>
      </x:c>
      <x:c r="F30" s="66" t="str">
        <x:v>Malacca, Singapore and Indonesia; China Sea and China</x:v>
      </x:c>
      <x:c r="G30" s="66" t="str">
        <x:v>Not fully reviewed</x:v>
      </x:c>
      <x:c r="H30" s="66" t="str">
        <x:v>Primary baseline check, then VTS/SRS classification and association audit.</x:v>
      </x:c>
    </x:row>
    <x:row r="31" ht="39" customHeight="1">
      <x:c r="A31" s="66" t="str">
        <x:v>B25</x:v>
      </x:c>
      <x:c r="B31" s="66" t="str">
        <x:v>TSS-0121</x:v>
      </x:c>
      <x:c r="C31" s="66" t="str">
        <x:v>TSS-0125</x:v>
      </x:c>
      <x:c r="D31" s="66" t="n">
        <x:f>COUNTIF('TSS Candidates'!$Q$7:$Q$176,A31)</x:f>
        <x:v>5</x:v>
      </x:c>
      <x:c r="E31" s="66" t="n">
        <x:f>COUNTIFS('TSS Candidates'!$Q$7:$Q$176,A31,'TSS Candidates'!$R$7:$R$176,"&lt;&gt;Candidate recorded")</x:f>
        <x:v>0</x:v>
      </x:c>
      <x:c r="F31" s="66" t="str">
        <x:v>North-west Pacific</x:v>
      </x:c>
      <x:c r="G31" s="66" t="str">
        <x:v>Not fully reviewed</x:v>
      </x:c>
      <x:c r="H31" s="66" t="str">
        <x:v>Primary baseline check, then VTS/SRS classification and association audit.</x:v>
      </x:c>
    </x:row>
    <x:row r="32" ht="39" customHeight="1">
      <x:c r="A32" s="66" t="str">
        <x:v>B26</x:v>
      </x:c>
      <x:c r="B32" s="66" t="str">
        <x:v>TSS-0126</x:v>
      </x:c>
      <x:c r="C32" s="66" t="str">
        <x:v>TSS-0130</x:v>
      </x:c>
      <x:c r="D32" s="66" t="n">
        <x:f>COUNTIF('TSS Candidates'!$Q$7:$Q$176,A32)</x:f>
        <x:v>5</x:v>
      </x:c>
      <x:c r="E32" s="66" t="n">
        <x:f>COUNTIFS('TSS Candidates'!$Q$7:$Q$176,A32,'TSS Candidates'!$R$7:$R$176,"&lt;&gt;Candidate recorded")</x:f>
        <x:v>2</x:v>
      </x:c>
      <x:c r="F32" s="66" t="str">
        <x:v>Australia; North America Pacific coast</x:v>
      </x:c>
      <x:c r="G32" s="66" t="str">
        <x:v>Not fully reviewed</x:v>
      </x:c>
      <x:c r="H32" s="66" t="str">
        <x:v>Primary baseline check, then VTS/SRS classification and association audit.</x:v>
      </x:c>
    </x:row>
    <x:row r="33" ht="39" customHeight="1">
      <x:c r="A33" s="66" t="str">
        <x:v>B27</x:v>
      </x:c>
      <x:c r="B33" s="66" t="str">
        <x:v>TSS-0131</x:v>
      </x:c>
      <x:c r="C33" s="66" t="str">
        <x:v>TSS-0135</x:v>
      </x:c>
      <x:c r="D33" s="66" t="n">
        <x:f>COUNTIF('TSS Candidates'!$Q$7:$Q$176,A33)</x:f>
        <x:v>5</x:v>
      </x:c>
      <x:c r="E33" s="66" t="n">
        <x:f>COUNTIFS('TSS Candidates'!$Q$7:$Q$176,A33,'TSS Candidates'!$R$7:$R$176,"&lt;&gt;Candidate recorded")</x:f>
        <x:v>3</x:v>
      </x:c>
      <x:c r="F33" s="66" t="str">
        <x:v>North America Pacific coast; Central and South America Pacific coast</x:v>
      </x:c>
      <x:c r="G33" s="66" t="str">
        <x:v>Not fully reviewed</x:v>
      </x:c>
      <x:c r="H33" s="66" t="str">
        <x:v>Primary baseline check, then VTS/SRS classification and association audit.</x:v>
      </x:c>
    </x:row>
    <x:row r="34" ht="39" customHeight="1">
      <x:c r="A34" s="66" t="str">
        <x:v>B28</x:v>
      </x:c>
      <x:c r="B34" s="66" t="str">
        <x:v>TSS-0136</x:v>
      </x:c>
      <x:c r="C34" s="66" t="str">
        <x:v>TSS-0140</x:v>
      </x:c>
      <x:c r="D34" s="66" t="n">
        <x:f>COUNTIF('TSS Candidates'!$Q$7:$Q$176,A34)</x:f>
        <x:v>5</x:v>
      </x:c>
      <x:c r="E34" s="66" t="n">
        <x:f>COUNTIFS('TSS Candidates'!$Q$7:$Q$176,A34,'TSS Candidates'!$R$7:$R$176,"&lt;&gt;Candidate recorded")</x:f>
        <x:v>0</x:v>
      </x:c>
      <x:c r="F34" s="66" t="str">
        <x:v>Central and South America Pacific coast</x:v>
      </x:c>
      <x:c r="G34" s="66" t="str">
        <x:v>Not fully reviewed</x:v>
      </x:c>
      <x:c r="H34" s="66" t="str">
        <x:v>Primary baseline check, then VTS/SRS classification and association audit.</x:v>
      </x:c>
    </x:row>
    <x:row r="35" ht="39" customHeight="1">
      <x:c r="A35" s="66" t="str">
        <x:v>B29</x:v>
      </x:c>
      <x:c r="B35" s="66" t="str">
        <x:v>TSS-0141</x:v>
      </x:c>
      <x:c r="C35" s="66" t="str">
        <x:v>TSS-0145</x:v>
      </x:c>
      <x:c r="D35" s="66" t="n">
        <x:f>COUNTIF('TSS Candidates'!$Q$7:$Q$176,A35)</x:f>
        <x:v>5</x:v>
      </x:c>
      <x:c r="E35" s="66" t="n">
        <x:f>COUNTIFS('TSS Candidates'!$Q$7:$Q$176,A35,'TSS Candidates'!$R$7:$R$176,"&lt;&gt;Candidate recorded")</x:f>
        <x:v>0</x:v>
      </x:c>
      <x:c r="F35" s="66" t="str">
        <x:v>Central and South America Pacific coast</x:v>
      </x:c>
      <x:c r="G35" s="66" t="str">
        <x:v>Not fully reviewed</x:v>
      </x:c>
      <x:c r="H35" s="66" t="str">
        <x:v>Primary baseline check, then VTS/SRS classification and association audit.</x:v>
      </x:c>
    </x:row>
    <x:row r="36" ht="39" customHeight="1">
      <x:c r="A36" s="66" t="str">
        <x:v>B30</x:v>
      </x:c>
      <x:c r="B36" s="66" t="str">
        <x:v>TSS-0146</x:v>
      </x:c>
      <x:c r="C36" s="66" t="str">
        <x:v>TSS-0150</x:v>
      </x:c>
      <x:c r="D36" s="66" t="n">
        <x:f>COUNTIF('TSS Candidates'!$Q$7:$Q$176,A36)</x:f>
        <x:v>5</x:v>
      </x:c>
      <x:c r="E36" s="66" t="n">
        <x:f>COUNTIFS('TSS Candidates'!$Q$7:$Q$176,A36,'TSS Candidates'!$R$7:$R$176,"&lt;&gt;Candidate recorded")</x:f>
        <x:v>0</x:v>
      </x:c>
      <x:c r="F36" s="66" t="str">
        <x:v>Central and South America Pacific coast</x:v>
      </x:c>
      <x:c r="G36" s="66" t="str">
        <x:v>Not fully reviewed</x:v>
      </x:c>
      <x:c r="H36" s="66" t="str">
        <x:v>Primary baseline check, then VTS/SRS classification and association audit.</x:v>
      </x:c>
    </x:row>
    <x:row r="37" ht="39" customHeight="1">
      <x:c r="A37" s="66" t="str">
        <x:v>B31</x:v>
      </x:c>
      <x:c r="B37" s="66" t="str">
        <x:v>TSS-0151</x:v>
      </x:c>
      <x:c r="C37" s="66" t="str">
        <x:v>TSS-0155</x:v>
      </x:c>
      <x:c r="D37" s="66" t="n">
        <x:f>COUNTIF('TSS Candidates'!$Q$7:$Q$176,A37)</x:f>
        <x:v>5</x:v>
      </x:c>
      <x:c r="E37" s="66" t="n">
        <x:f>COUNTIFS('TSS Candidates'!$Q$7:$Q$176,A37,'TSS Candidates'!$R$7:$R$176,"&lt;&gt;Candidate recorded")</x:f>
        <x:v>0</x:v>
      </x:c>
      <x:c r="F37" s="66" t="str">
        <x:v>Caribbean, Gulf of Mexico and Panama</x:v>
      </x:c>
      <x:c r="G37" s="66" t="str">
        <x:v>Not fully reviewed</x:v>
      </x:c>
      <x:c r="H37" s="66" t="str">
        <x:v>Primary baseline check, then VTS/SRS classification and association audit.</x:v>
      </x:c>
    </x:row>
    <x:row r="38" ht="39" customHeight="1">
      <x:c r="A38" s="66" t="str">
        <x:v>B32</x:v>
      </x:c>
      <x:c r="B38" s="66" t="str">
        <x:v>TSS-0156</x:v>
      </x:c>
      <x:c r="C38" s="66" t="str">
        <x:v>TSS-0160</x:v>
      </x:c>
      <x:c r="D38" s="66" t="n">
        <x:f>COUNTIF('TSS Candidates'!$Q$7:$Q$176,A38)</x:f>
        <x:v>5</x:v>
      </x:c>
      <x:c r="E38" s="66" t="n">
        <x:f>COUNTIFS('TSS Candidates'!$Q$7:$Q$176,A38,'TSS Candidates'!$R$7:$R$176,"&lt;&gt;Candidate recorded")</x:f>
        <x:v>1</x:v>
      </x:c>
      <x:c r="F38" s="66" t="str">
        <x:v>Caribbean, Gulf of Mexico and Panama</x:v>
      </x:c>
      <x:c r="G38" s="66" t="str">
        <x:v>Not fully reviewed</x:v>
      </x:c>
      <x:c r="H38" s="66" t="str">
        <x:v>Primary baseline check, then VTS/SRS classification and association audit.</x:v>
      </x:c>
    </x:row>
    <x:row r="39" ht="39" customHeight="1">
      <x:c r="A39" s="66" t="str">
        <x:v>B33</x:v>
      </x:c>
      <x:c r="B39" s="66" t="str">
        <x:v>TSS-0161</x:v>
      </x:c>
      <x:c r="C39" s="66" t="str">
        <x:v>TSS-0165</x:v>
      </x:c>
      <x:c r="D39" s="66" t="n">
        <x:f>COUNTIF('TSS Candidates'!$Q$7:$Q$176,A39)</x:f>
        <x:v>5</x:v>
      </x:c>
      <x:c r="E39" s="66" t="n">
        <x:f>COUNTIFS('TSS Candidates'!$Q$7:$Q$176,A39,'TSS Candidates'!$R$7:$R$176,"&lt;&gt;Candidate recorded")</x:f>
        <x:v>1</x:v>
      </x:c>
      <x:c r="F39" s="66" t="str">
        <x:v>Central and South America Pacific coast; North America Atlantic coast</x:v>
      </x:c>
      <x:c r="G39" s="66" t="str">
        <x:v>Not fully reviewed</x:v>
      </x:c>
      <x:c r="H39" s="66" t="str">
        <x:v>Primary baseline check, then VTS/SRS classification and association audit.</x:v>
      </x:c>
    </x:row>
    <x:row r="40" ht="39" customHeight="1">
      <x:c r="A40" s="66" t="str">
        <x:v>B34</x:v>
      </x:c>
      <x:c r="B40" s="66" t="str">
        <x:v>TSS-0166</x:v>
      </x:c>
      <x:c r="C40" s="66" t="str">
        <x:v>TSS-0170</x:v>
      </x:c>
      <x:c r="D40" s="66" t="n">
        <x:f>COUNTIF('TSS Candidates'!$Q$7:$Q$176,A40)</x:f>
        <x:v>5</x:v>
      </x:c>
      <x:c r="E40" s="66" t="n">
        <x:f>COUNTIFS('TSS Candidates'!$Q$7:$Q$176,A40,'TSS Candidates'!$R$7:$R$176,"&lt;&gt;Candidate recorded")</x:f>
        <x:v>0</x:v>
      </x:c>
      <x:c r="F40" s="66" t="str">
        <x:v>North America Atlantic coast</x:v>
      </x:c>
      <x:c r="G40" s="66" t="str">
        <x:v>Not fully reviewed</x:v>
      </x:c>
      <x:c r="H40" s="66" t="str">
        <x:v>Primary baseline check, then VTS/SRS classification and association audit.</x:v>
      </x:c>
    </x:row>
  </x:sheetData>
  <x:mergeCells>
    <x:mergeCell ref="A1:H2"/>
    <x:mergeCell ref="A3:H4"/>
  </x:mergeCells>
  <x:pageMargins left="0.7" right="0.7" top="0.75" bottom="0.75" header="0.3" footer="0.3"/>
  <x:tableParts count="1">
    <x:tablePart xmlns:r="http://schemas.openxmlformats.org/officeDocument/2006/relationships" r:id="Ra6dc366025074c9f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08" hidden="0" customWidth="1"/>
  </x:cols>
  <x:sheetData>
    <x:row r="1" ht="23" customHeight="1">
      <x:c r="A1" s="44" t="str">
        <x:v>COUNTING AND REVIEW RULES</x:v>
      </x:c>
      <x:c r="B1" s="44"/>
    </x:row>
    <x:row r="2" ht="23" customHeight="1">
      <x:c r="A2" s="44"/>
      <x:c r="B2" s="44"/>
    </x:row>
    <x:row r="3" ht="21" customHeight="1">
      <x:c r="A3" s="12" t="str">
        <x:v>Version 0.2 | 29 September 2026 | Definitions. Reconciled register; see Audit Findings and Overview for limits.</x:v>
      </x:c>
      <x:c r="B3" s="12"/>
    </x:row>
    <x:row r="4" ht="21" customHeight="1">
      <x:c r="A4" s="12"/>
      <x:c r="B4" s="12"/>
    </x:row>
    <x:row r="6" ht="34" customHeight="1">
      <x:c r="A6" s="65" t="str">
        <x:v>Rule</x:v>
      </x:c>
      <x:c r="B6" s="65" t="str">
        <x:v>Definition</x:v>
      </x:c>
    </x:row>
    <x:row r="7" ht="36" customHeight="1">
      <x:c r="A7" s="66" t="str">
        <x:v>Unit of record</x:v>
      </x:c>
      <x:c r="B7" s="66" t="str">
        <x:v>A TSS candidate row is a source entry, not a verified unique scheme or VTS area.</x:v>
      </x:c>
    </x:row>
    <x:row r="8" ht="36" customHeight="1">
      <x:c r="A8" s="66" t="str">
        <x:v>Candidate</x:v>
      </x:c>
      <x:c r="B8" s="66" t="str">
        <x:v>Recorded research lead. Naming, adoption, operation or component structure may remain unverified.</x:v>
      </x:c>
    </x:row>
    <x:row r="9" ht="39" customHeight="1">
      <x:c r="A9" s="66" t="str">
        <x:v>Initial association evidenced</x:v>
      </x:c>
      <x:c r="B9" s="66" t="str">
        <x:v>A primary source supports the named relationship. It is not a complete operational or boundary audit.</x:v>
      </x:c>
    </x:row>
    <x:row r="10" ht="39" customHeight="1">
      <x:c r="A10" s="66" t="str">
        <x:v>Association proposed</x:v>
      </x:c>
      <x:c r="B10" s="66" t="str">
        <x:v>A plausible relationship requiring direct authority or boundary evidence; excluded from confirmed association totals.</x:v>
      </x:c>
    </x:row>
    <x:row r="11" ht="39" customHeight="1">
      <x:c r="A11" s="66" t="str">
        <x:v>System-level association only</x:v>
      </x:c>
      <x:c r="B11" s="66" t="str">
        <x:v>The parent routeing/reporting system is evidenced. Component-level allocation remains pending.</x:v>
      </x:c>
    </x:row>
    <x:row r="12" ht="36" customHeight="1">
      <x:c r="A12" s="66" t="str">
        <x:v>Not researched</x:v>
      </x:c>
      <x:c r="B12" s="66" t="str">
        <x:v>No substantive record-level determination has been made. It does not mean absent.</x:v>
      </x:c>
    </x:row>
    <x:row r="13" ht="36" customHeight="1">
      <x:c r="A13" s="66" t="str">
        <x:v>No negative findings</x:v>
      </x:c>
      <x:c r="B13" s="66" t="str">
        <x:v>This release makes no confirmed-absence determinations for VTS or mandatory reporting.</x:v>
      </x:c>
    </x:row>
    <x:row r="14" ht="39" customHeight="1">
      <x:c r="A14" s="66" t="str">
        <x:v>Service records</x:v>
      </x:c>
      <x:c r="B14" s="66" t="str">
        <x:v>Named VTS services are recorded independently. Sector and centre counts do not define the number of areas.</x:v>
      </x:c>
    </x:row>
    <x:row r="15" ht="36" customHeight="1">
      <x:c r="A15" s="66" t="str">
        <x:v>Reporting schemes</x:v>
      </x:c>
      <x:c r="B15" s="66" t="str">
        <x:v>Mandatory reporting systems remain distinct from ordinary reporting duties within a VTS.</x:v>
      </x:c>
    </x:row>
    <x:row r="16" ht="36" customHeight="1">
      <x:c r="A16" s="66" t="str">
        <x:v>Core scope</x:v>
      </x:c>
      <x:c r="B16" s="66" t="str">
        <x:v>TSS-linked services and mandatory reporting are the primary research track.</x:v>
      </x:c>
    </x:row>
    <x:row r="17" ht="39" customHeight="1">
      <x:c r="A17" s="66" t="str">
        <x:v>Additional coverage</x:v>
      </x:c>
      <x:c r="B17" s="66" t="str">
        <x:v>Separate track for relevant services outside the extracted TSS baseline, including temporary or voluntary services.</x:v>
      </x:c>
    </x:row>
    <x:row r="18" ht="39" customHeight="1">
      <x:c r="A18" s="66" t="str">
        <x:v>Source precedence</x:v>
      </x:c>
      <x:c r="B18" s="66" t="str">
        <x:v>Use issuing-authority documents for confirmation. The mirrored candidate list is a lead, not operational evidence.</x:v>
      </x:c>
    </x:row>
    <x:row r="19" ht="36" customHeight="1">
      <x:c r="A19" s="66" t="str">
        <x:v>Currency</x:v>
      </x:c>
      <x:c r="B19" s="66" t="str">
        <x:v>Access date records retrieval, not assurance that every page reflects every current amendment.</x:v>
      </x:c>
    </x:row>
    <x:row r="20" ht="39" customHeight="1">
      <x:c r="A20" s="66" t="str">
        <x:v>Counting gate</x:v>
      </x:c>
      <x:c r="B20" s="66" t="str">
        <x:v>Do not publish final scheme, operational-area or guide-entry totals before resolving groups, duplicates and gaps.</x:v>
      </x:c>
    </x:row>
    <x:row r="21" ht="39" customHeight="1">
      <x:c r="A21" s="66" t="str">
        <x:v>Review sequence</x:v>
      </x:c>
      <x:c r="B21" s="66" t="str">
        <x:v>Check the primary baseline, verify VTS/SRS evidence, reconcile relationships, then audit each batch.</x:v>
      </x:c>
    </x:row>
    <x:row r="22" ht="39" customHeight="1">
      <x:c r="A22" s="66" t="str">
        <x:v>Navigation status</x:v>
      </x:c>
      <x:c r="B22" s="66" t="str">
        <x:v>Research inventory only. It is not for passage planning, pilotage, VHF reporting or operational navigation.</x:v>
      </x:c>
    </x:row>
    <x:row r="23" ht="36" customHeight="1">
      <x:c r="A23" s="66" t="str">
        <x:v>Editing</x:v>
      </x:c>
      <x:c r="B23" s="66" t="str">
        <x:v>Preserve stable IDs. Add replacement names and child records without deleting the evidence trail.</x:v>
      </x:c>
    </x:row>
    <x:row r="24" ht="36" customHeight="1">
      <x:c r="A24" s="66" t="str">
        <x:v>Effective date</x:v>
      </x:c>
      <x:c r="B24" s="66" t="str">
        <x:v>Published measures with future commencement dates remain separate from measures in force.</x:v>
      </x:c>
    </x:row>
    <x:row r="25" ht="39" customHeight="1">
      <x:c r="A25" s="66" t="str">
        <x:v>Release precedence</x:v>
      </x:c>
      <x:c r="B25" s="66" t="str">
        <x:v>Version 0.2 supersedes both conflicting v0.1 releases. Canonical IDs use four-digit TSS numbering and SRS prefixes; mappings are retained.</x:v>
      </x:c>
    </x:row>
    <x:row r="26" ht="39" customHeight="1">
      <x:c r="A26" s="66" t="str">
        <x:v>Last record check</x:v>
      </x:c>
      <x:c r="B26" s="66" t="str">
        <x:v>Date the row was reviewed or edited. It is not a certificate that all current regulations, boundaries or amendments have been checked.</x:v>
      </x:c>
    </x:row>
    <x:row r="27" ht="39" customHeight="1">
      <x:c r="A27" s="66" t="str">
        <x:v>Component counting</x:v>
      </x:c>
      <x:c r="B27" s="66" t="str">
        <x:v>TSS Components are child records. Do not add them to the parent source-row total. A future reconciled scheme inventory must replace or resolve each grouped parent.</x:v>
      </x:c>
    </x:row>
    <x:row r="28" ht="39" customHeight="1">
      <x:c r="A28" s="66" t="str">
        <x:v>Legacy links</x:v>
      </x:c>
      <x:c r="B28" s="66" t="str">
        <x:v>Earlier relationship assertions are preserved with a reconciliation outcome. Archived assertions are not active or confirmed coverage.</x:v>
      </x:c>
    </x:row>
    <x:row r="29" ht="39" customHeight="1">
      <x:c r="A29" s="66" t="str">
        <x:v>Audit scope</x:v>
      </x:c>
      <x:c r="B29" s="66" t="str">
        <x:v>Structure, version differences, identifiers, CSV/ZIP consistency and selected authority evidence were checked. No candidate has passed the full operational multi-pass audit.</x:v>
      </x:c>
    </x:row>
    <x:row r="30" ht="36" customHeight="1">
      <x:c r="A30" s="66" t="str">
        <x:v>Voluntary reporting</x:v>
      </x:c>
      <x:c r="B30" s="66" t="str">
        <x:v>OVMRS is recorded separately and excluded from the mandatory reporting-scheme subtotal.</x:v>
      </x:c>
    </x:row>
  </x:sheetData>
  <x:mergeCells>
    <x:mergeCell ref="A1:B2"/>
    <x:mergeCell ref="A3:B4"/>
  </x:mergeCells>
  <x:pageMargins left="0.7" right="0.7" top="0.75" bottom="0.75" header="0.3" footer="0.3"/>
  <x:tableParts count="1">
    <x:tablePart xmlns:r="http://schemas.openxmlformats.org/officeDocument/2006/relationships" r:id="Rbc9d254875954c15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48" hidden="0" customWidth="1"/>
    <x:col min="4" max="4" width="48" hidden="0" customWidth="1"/>
    <x:col min="5" max="5" width="23" hidden="0" customWidth="1"/>
    <x:col min="6" max="6" width="46" hidden="0" customWidth="1"/>
    <x:col min="7" max="7" width="48" hidden="0" customWidth="1"/>
  </x:cols>
  <x:sheetData>
    <x:row r="1">
      <x:c r="A1" s="76" t="str">
        <x:v>GLOBAL VTS | AUDIT FINDINGS</x:v>
      </x:c>
      <x:c r="B1" s="76"/>
      <x:c r="C1" s="76"/>
      <x:c r="D1" s="76"/>
      <x:c r="E1" s="76"/>
      <x:c r="F1" s="76"/>
      <x:c r="G1" s="76"/>
    </x:row>
    <x:row r="2">
      <x:c r="A2" s="76"/>
      <x:c r="B2" s="76"/>
      <x:c r="C2" s="76"/>
      <x:c r="D2" s="76"/>
      <x:c r="E2" s="76"/>
      <x:c r="F2" s="76"/>
      <x:c r="G2" s="76"/>
    </x:row>
    <x:row r="3">
      <x:c r="A3" s="79" t="str">
        <x:v>v0.2 | Structural and selected source checks. Unresolved evidence gaps remain visible.</x:v>
      </x:c>
      <x:c r="B3" s="79"/>
      <x:c r="C3" s="79"/>
      <x:c r="D3" s="79"/>
      <x:c r="E3" s="79"/>
      <x:c r="F3" s="79"/>
      <x:c r="G3" s="79"/>
    </x:row>
    <x:row r="4">
      <x:c r="A4" s="79"/>
      <x:c r="B4" s="79"/>
      <x:c r="C4" s="79"/>
      <x:c r="D4" s="79"/>
      <x:c r="E4" s="79"/>
      <x:c r="F4" s="79"/>
      <x:c r="G4" s="79"/>
    </x:row>
    <x:row r="5">
      <x:c r="A5" s="68"/>
      <x:c r="B5" s="68"/>
      <x:c r="C5" s="68"/>
      <x:c r="D5" s="68"/>
      <x:c r="E5" s="68"/>
      <x:c r="F5" s="68"/>
      <x:c r="G5" s="68"/>
    </x:row>
    <x:row r="6" ht="34" customHeight="1">
      <x:c r="A6" s="65" t="str">
        <x:v>Audit ID</x:v>
      </x:c>
      <x:c r="B6" s="65" t="str">
        <x:v>Check</x:v>
      </x:c>
      <x:c r="C6" s="65" t="str">
        <x:v>Finding</x:v>
      </x:c>
      <x:c r="D6" s="65" t="str">
        <x:v>Action / status</x:v>
      </x:c>
      <x:c r="E6" s="65" t="str">
        <x:v>Source IDs</x:v>
      </x:c>
      <x:c r="F6" s="65" t="str">
        <x:v>Source URLs</x:v>
      </x:c>
      <x:c r="G6" s="65" t="str">
        <x:v>Residual limitation</x:v>
      </x:c>
    </x:row>
    <x:row r="7" ht="60" customHeight="1">
      <x:c r="A7" s="66" t="str">
        <x:v>AUD-001</x:v>
      </x:c>
      <x:c r="B7" s="66" t="str">
        <x:v>Release consistency</x:v>
      </x:c>
      <x:c r="C7" s="66" t="str">
        <x:v>Both files were labelled v0.1 but differed in named services, schemes and screening progress.</x:v>
      </x:c>
      <x:c r="D7" s="66" t="str">
        <x:v>Corrected: v0.2 is the single superseding release.</x:v>
      </x:c>
      <x:c r="E7" s="66" t="str"/>
      <x:c r="F7" s="67" t="str"/>
      <x:c r="G7" s="66" t="str">
        <x:v>Earlier files retained unmodified.</x:v>
      </x:c>
    </x:row>
    <x:row r="8" ht="60" customHeight="1">
      <x:c r="A8" s="70" t="str">
        <x:v>AUD-002</x:v>
      </x:c>
      <x:c r="B8" s="70" t="str">
        <x:v>Candidate rows and IDs</x:v>
      </x:c>
      <x:c r="C8" s="70" t="str">
        <x:v>Both workbooks contain the same 170 candidate labels in the same order; no exact duplicate names or IDs.</x:v>
      </x:c>
      <x:c r="D8" s="70" t="str">
        <x:v>Passed structural comparison. Added old-to-canonical ID crosswalk.</x:v>
      </x:c>
      <x:c r="E8" s="70" t="str"/>
      <x:c r="F8" s="71" t="str"/>
      <x:c r="G8" s="70" t="str">
        <x:v>Exact-match checks do not prove current completeness, absence of geographic duplicates, or the number of component TSS.</x:v>
      </x:c>
    </x:row>
    <x:row r="9" ht="66" customHeight="1">
      <x:c r="A9" s="66" t="str">
        <x:v>AUD-003</x:v>
      </x:c>
      <x:c r="B9" s="66" t="str">
        <x:v>CSV and ZIP consistency</x:v>
      </x:c>
      <x:c r="C9" s="66" t="str">
        <x:v>Each supplied CSV matched its corresponding workbook. The ZIP workbook matched the underscore-named standalone release byte-for-byte.</x:v>
      </x:c>
      <x:c r="D9" s="66" t="str">
        <x:v>Passed file-content checks.</x:v>
      </x:c>
      <x:c r="E9" s="66" t="str"/>
      <x:c r="F9" s="67" t="str"/>
      <x:c r="G9" s="66" t="str">
        <x:v>The two releases disagreed with each other despite internal file consistency.</x:v>
      </x:c>
    </x:row>
    <x:row r="10" ht="60" customHeight="1">
      <x:c r="A10" s="70" t="str">
        <x:v>AUD-004</x:v>
      </x:c>
      <x:c r="B10" s="70" t="str">
        <x:v>Missing US services</x:v>
      </x:c>
      <x:c r="C10" s="70" t="str">
        <x:v>Six named US VTS records were absent from the later workbook.</x:v>
      </x:c>
      <x:c r="D10" s="70" t="str">
        <x:v>Restored VTS-009 to VTS-014 from current USCG service-location evidence.</x:v>
      </x:c>
      <x:c r="E10" s="70" t="str">
        <x:v>SRC-017</x:v>
      </x:c>
      <x:c r="F10" s="71" t="str">
        <x:v>https://www.navcen.uscg.gov/vessel-traffic-services-locations</x:v>
      </x:c>
      <x:c r="G10" s="70" t="str">
        <x:v>Seven associated TSS remain proposed links pending actual boundary/applicability checks.</x:v>
      </x:c>
    </x:row>
    <x:row r="11" ht="60" customHeight="1">
      <x:c r="A11" s="66" t="str">
        <x:v>AUD-005</x:v>
      </x:c>
      <x:c r="B11" s="66" t="str">
        <x:v>Voluntary OVMRS</x:v>
      </x:c>
      <x:c r="C11" s="66" t="str">
        <x:v>The earlier voluntary San Francisco reporting record was omitted from the later workbook.</x:v>
      </x:c>
      <x:c r="D11" s="66" t="str">
        <x:v>Restored as SRS-008; explicitly excluded from the mandatory subtotal.</x:v>
      </x:c>
      <x:c r="E11" s="66" t="str">
        <x:v>SRC-017</x:v>
      </x:c>
      <x:c r="F11" s="67" t="str">
        <x:v>https://www.navcen.uscg.gov/vessel-traffic-services-locations</x:v>
      </x:c>
      <x:c r="G11" s="66" t="str">
        <x:v>Exact offshore TSS coverage is not established.</x:v>
      </x:c>
    </x:row>
    <x:row r="12" ht="60" customHeight="1">
      <x:c r="A12" s="70" t="str">
        <x:v>AUD-006</x:v>
      </x:c>
      <x:c r="B12" s="70" t="str">
        <x:v>Gdańsk receiving VTS</x:v>
      </x:c>
      <x:c r="C12" s="70" t="str">
        <x:v>The Polish authority identifies VTS Zatoka Gdańska and links it to GDANREP.</x:v>
      </x:c>
      <x:c r="D12" s="70" t="str">
        <x:v>Added VTS-015 and authority-supported relationships.</x:v>
      </x:c>
      <x:c r="E12" s="70" t="str">
        <x:v>SRC-019</x:v>
      </x:c>
      <x:c r="F12" s="71" t="str">
        <x:v>https://www.umgdy.gov.pl/en/marine-safety/vts-zatoka-gdanska-en/</x:v>
      </x:c>
      <x:c r="G12" s="70" t="str">
        <x:v>Full current reporting instructions and geographical audit remain pending.</x:v>
      </x:c>
    </x:row>
    <x:row r="13" ht="60" customHeight="1">
      <x:c r="A13" s="66" t="str">
        <x:v>AUD-007</x:v>
      </x:c>
      <x:c r="B13" s="66" t="str">
        <x:v>Grouped Gdańsk source heading</x:v>
      </x:c>
      <x:c r="C13" s="66" t="str">
        <x:v>The authority names TSS East and TSS West within the VTS area.</x:v>
      </x:c>
      <x:c r="D13" s="66" t="str">
        <x:v>Added two non-additive child records. The parent candidate remains unchanged.</x:v>
      </x:c>
      <x:c r="E13" s="66" t="str">
        <x:v>SRC-019</x:v>
      </x:c>
      <x:c r="F13" s="67" t="str">
        <x:v>https://www.umgdy.gov.pl/en/marine-safety/vts-zatoka-gdanska-en/</x:v>
      </x:c>
      <x:c r="G13" s="66" t="str">
        <x:v>Do not add child rows to the 170 parent-row total.</x:v>
      </x:c>
    </x:row>
    <x:row r="14" ht="60" customHeight="1">
      <x:c r="A14" s="70" t="str">
        <x:v>AUD-008</x:v>
      </x:c>
      <x:c r="B14" s="70" t="str">
        <x:v>REEFVTS centre and sector information</x:v>
      </x:c>
      <x:c r="C14" s="70" t="str">
        <x:v>The later workbook omitted the operational structure.</x:v>
      </x:c>
      <x:c r="D14" s="70" t="str">
        <x:v>Recorded Reef North/Reef South and Townsville/Gladstone; either centre can manage either sector.</x:v>
      </x:c>
      <x:c r="E14" s="70" t="str">
        <x:v>SRC-018</x:v>
      </x:c>
      <x:c r="F14" s="71" t="str">
        <x:v>https://www.msq.qld.gov.au/shipping/reefvts</x:v>
      </x:c>
      <x:c r="G14" s="70" t="str">
        <x:v>Two sectors or centres do not establish two distinct VTS services or guide entries.</x:v>
      </x:c>
    </x:row>
    <x:row r="15" ht="79.5" customHeight="1">
      <x:c r="A15" s="66" t="str">
        <x:v>AUD-009</x:v>
      </x:c>
      <x:c r="B15" s="66" t="str">
        <x:v>STRAITREP allocation</x:v>
      </x:c>
      <x:c r="C15" s="66" t="str">
        <x:v>The earlier workbook proposed every one of eight TSS rows against all three VTS authorities.</x:v>
      </x:c>
      <x:c r="D15" s="66" t="str">
        <x:v>Archived 24 unverified component-to-VTS links. Retained system-level and sector/service evidence.</x:v>
      </x:c>
      <x:c r="E15" s="66" t="str">
        <x:v>SRC-006; SRC-007</x:v>
      </x:c>
      <x:c r="F15" s="67" t="str">
        <x:v>https://www.mpa.gov.sg/port-marine-ops/operations/vessel-traffic-information-system
https://www.mpa.gov.sg/port-marine-ops/operations/vessel-traffic-information-system/operational-areas</x:v>
      </x:c>
      <x:c r="G15" s="66" t="str">
        <x:v>One reporting system, nine sectors and three service identities remain different counting units.</x:v>
      </x:c>
    </x:row>
    <x:row r="16" ht="79.5" customHeight="1">
      <x:c r="A16" s="70" t="str">
        <x:v>AUD-010</x:v>
      </x:c>
      <x:c r="B16" s="70" t="str">
        <x:v>Great Belt links</x:v>
      </x:c>
      <x:c r="C16" s="70" t="str">
        <x:v>IMO MSC.332(90) explicitly names Hatter Barn and Korsoer–Sprogoe TSS within BELTREP provisions.</x:v>
      </x:c>
      <x:c r="D16" s="70" t="str">
        <x:v>Upgraded two named associations and completed matching VTS links.</x:v>
      </x:c>
      <x:c r="E16" s="70" t="str">
        <x:v>SRC-008; SRC-020</x:v>
      </x:c>
      <x:c r="F16" s="71" t="str">
        <x:v>https://www.forsvaret.dk/da/organisation/soevaernet/civile-opgaver/beltrep/
https://wwwcdn.imo.org/localresources/en/KnowledgeCentre/IndexofIMOResolutions/MSCResolutions/MSC.332(90).pdf</x:v>
      </x:c>
      <x:c r="G16" s="70" t="str">
        <x:v>Historical adopted text plus current authority description is not a completed current-rule or chart audit.</x:v>
      </x:c>
    </x:row>
    <x:row r="17" ht="106.5" customHeight="1">
      <x:c r="A17" s="66" t="str">
        <x:v>AUD-011</x:v>
      </x:c>
      <x:c r="B17" s="66" t="str">
        <x:v>Sound and Falsterbo links</x:v>
      </x:c>
      <x:c r="C17" s="66" t="str">
        <x:v>MSC.314(88) names In the Sound and Off Falsterbo. The Falsterbo lead had disappeared from the later release.</x:v>
      </x:c>
      <x:c r="D17" s="66" t="str">
        <x:v>Restored Falsterbo and strengthened named associations for both entries.</x:v>
      </x:c>
      <x:c r="E17" s="66" t="str">
        <x:v>SRC-009; SRC-015; SRC-021</x:v>
      </x:c>
      <x:c r="F17" s="67" t="str">
        <x:v>https://www.sjofartsverket.se/en/services/maritime-traffic-information/soundrep/soundrep-information/about-soundrep/
https://www.forsvaret.dk/da/organisation/soevaernet/nationalt-maritimt-operationscenter/vts/
https://www.sjofartsverket.se/globalassets/tjanster/sjotrafiktjanster/msc.31488.pdf</x:v>
      </x:c>
      <x:c r="G17" s="66" t="str">
        <x:v>Preserved source labels; alias, geometry and amended requirements remain to be reconciled.</x:v>
      </x:c>
    </x:row>
    <x:row r="18" ht="60" customHeight="1">
      <x:c r="A18" s="70" t="str">
        <x:v>AUD-012</x:v>
      </x:c>
      <x:c r="B18" s="70" t="str">
        <x:v>GOFREP legacy leads</x:v>
      </x:c>
      <x:c r="C18" s="70" t="str">
        <x:v>Sommers, Hogland and Rodsher hypotheses were dropped. The checked Fintraffic text does not substantiate these three named links.</x:v>
      </x:c>
      <x:c r="D18" s="70" t="str">
        <x:v>Restored only as unverified hypotheses, excluded from evidenced totals.</x:v>
      </x:c>
      <x:c r="E18" s="70" t="str">
        <x:v>SRC-011; SRC-012</x:v>
      </x:c>
      <x:c r="F18" s="71" t="str">
        <x:v>https://mastersguide.fintraffic.fi/en/gofrep-area
https://www.fintraffic.fi/sv/node/254</x:v>
      </x:c>
      <x:c r="G18" s="70" t="str">
        <x:v>The four named central-report-line TSS remain the stronger Fintraffic-supported associations.</x:v>
      </x:c>
    </x:row>
    <x:row r="19" ht="79.5" customHeight="1">
      <x:c r="A19" s="66" t="str">
        <x:v>AUD-013</x:v>
      </x:c>
      <x:c r="B19" s="66" t="str">
        <x:v>Fehmarnbelt classification</x:v>
      </x:c>
      <x:c r="C19" s="66" t="str">
        <x:v>The competent authority describes a temporary, voluntary service.</x:v>
      </x:c>
      <x:c r="D19" s="66" t="str">
        <x:v>Retained as an additional VTS record, not a mandatory reporting scheme.</x:v>
      </x:c>
      <x:c r="E19" s="66" t="str">
        <x:v>SRC-015; SRC-016</x:v>
      </x:c>
      <x:c r="F19" s="67" t="str">
        <x:v>https://www.forsvaret.dk/da/organisation/soevaernet/nationalt-maritimt-operationscenter/vts/
https://www.brs.dk/da/om-os/organisation/sikre-farvande/obligatoriske-skibsmeldesystemer-msrs-og-skibstrafiktjenester-vts/</x:v>
      </x:c>
      <x:c r="G19" s="66" t="str">
        <x:v>Construction-phase limits, applicable instructions and service end date remain to be checked.</x:v>
      </x:c>
    </x:row>
    <x:row r="20" ht="160.5" customHeight="1">
      <x:c r="A20" s="70" t="str">
        <x:v>AUD-014</x:v>
      </x:c>
      <x:c r="B20" s="70" t="str">
        <x:v>Sources and dates</x:v>
      </x:c>
      <x:c r="C20" s="70" t="str">
        <x:v>MPA pages show 6 August 2026; the AMSA data policy shows 21 January 2021; the GOFREP source had a legacy-language URL.</x:v>
      </x:c>
      <x:c r="D20" s="70" t="str">
        <x:v>Corrected dates, replaced the GOFREP link with the canonical English guide and added current MSQ evidence.</x:v>
      </x:c>
      <x:c r="E20" s="70" t="str">
        <x:v>SRC-006; SRC-007; SRC-011; SRC-014; SRC-018</x:v>
      </x:c>
      <x:c r="F20" s="71" t="str">
        <x:v>https://www.mpa.gov.sg/port-marine-ops/operations/vessel-traffic-information-system
https://www.mpa.gov.sg/port-marine-ops/operations/vessel-traffic-information-system/operational-areas
https://mastersguide.fintraffic.fi/en/gofrep-area
https://www.amsa.gov.au/safety-navigation/spatial-data/vessel-track-data-disclosure-and-dissemination-policy
https://www.msq.qld.gov.au/shipping/reefvts</x:v>
      </x:c>
      <x:c r="G20" s="70" t="str">
        <x:v>Access and publication dates do not guarantee complete amendment coverage.</x:v>
      </x:c>
    </x:row>
    <x:row r="21" ht="106.5" customHeight="1">
      <x:c r="A21" s="66" t="str">
        <x:v>AUD-015</x:v>
      </x:c>
      <x:c r="B21" s="66" t="str">
        <x:v>Primary baseline verification</x:v>
      </x:c>
      <x:c r="C21" s="66" t="str">
        <x:v>The official 2026 UKHO index was available; the Notice 17 PDF download was not retrieved.</x:v>
      </x:c>
      <x:c r="D21" s="66" t="str">
        <x:v>Unresolved: retain the 170 labels as an unverified source inventory.</x:v>
      </x:c>
      <x:c r="E21" s="66" t="str">
        <x:v>SRC-001; SRC-002; SRC-003</x:v>
      </x:c>
      <x:c r="F21" s="67" t="str">
        <x:v>https://www.scribd.com/document/1014775753/1-1-IMO-Adopted-Traffic-Separation-Schemes-on-the-ADMIRALTY-Chart-Series
https://msi.admiralty.co.uk/NoticesToMariners/Annual
https://imo-epublications.org/content/books/9789280118353</x:v>
      </x:c>
      <x:c r="G21" s="66" t="str">
        <x:v>No claim that 170 is the current worldwide TSS total. IMO contents and post-baseline amendments also remain outstanding.</x:v>
      </x:c>
    </x:row>
    <x:row r="22" ht="60" customHeight="1">
      <x:c r="A22" s="70" t="str">
        <x:v>AUD-016</x:v>
      </x:c>
      <x:c r="B22" s="70" t="str">
        <x:v>Scope of completion</x:v>
      </x:c>
      <x:c r="C22" s="70" t="str">
        <x:v>Structural/source-identity audit is narrower than the planned full multi-pass operational review.</x:v>
      </x:c>
      <x:c r="D22" s="70" t="str">
        <x:v>No candidate or batch marked fully audited. Revised dashboard totals are formula-driven.</x:v>
      </x:c>
      <x:c r="E22" s="70" t="str"/>
      <x:c r="F22" s="71" t="str"/>
      <x:c r="G22" s="70" t="str">
        <x:v>VTS area, guide-entry and page totals remain undetermined.</x:v>
      </x:c>
    </x:row>
    <x:row r="23" ht="60" customHeight="1">
      <x:c r="A23" s="66" t="str">
        <x:v>AUD-017</x:v>
      </x:c>
      <x:c r="B23" s="66" t="str">
        <x:v>Geographical filing</x:v>
      </x:c>
      <x:c r="C23" s="66" t="str">
        <x:v>The newer workbook corrected Pacific Panama into the Pacific regional group.</x:v>
      </x:c>
      <x:c r="D23" s="66" t="str">
        <x:v>Retained that correction while preserving source labels.</x:v>
      </x:c>
      <x:c r="E23" s="66" t="str">
        <x:v>SRC-001</x:v>
      </x:c>
      <x:c r="F23" s="67" t="str">
        <x:v>https://www.scribd.com/document/1014775753/1-1-IMO-Adopted-Traffic-Separation-Schemes-on-the-ADMIRALTY-Chart-Series</x:v>
      </x:c>
      <x:c r="G23" s="66" t="str">
        <x:v>Other labels and grouped headings still require baseline reconciliation.</x:v>
      </x:c>
    </x:row>
    <x:row r="24">
      <x:c r="A24" s="68"/>
      <x:c r="B24" s="68"/>
      <x:c r="C24" s="68"/>
      <x:c r="D24" s="68"/>
      <x:c r="E24" s="68"/>
      <x:c r="F24" s="68"/>
      <x:c r="G24" s="68"/>
    </x:row>
  </x:sheetData>
  <x:mergeCells>
    <x:mergeCell ref="A1:G2"/>
    <x:mergeCell ref="A3:G4"/>
  </x:mergeCells>
  <x:pageMargins left="0.7" right="0.7" top="0.75" bottom="0.75" header="0.3" footer="0.3"/>
  <x:tableParts count="1">
    <x:tablePart xmlns:r="http://schemas.openxmlformats.org/officeDocument/2006/relationships" r:id="R98f78ceba19944ff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20" hidden="0" customWidth="1"/>
    <x:col min="5" max="5" width="24" hidden="0" customWidth="1"/>
    <x:col min="6" max="6" width="34" hidden="0" customWidth="1"/>
    <x:col min="7" max="7" width="45" hidden="0" customWidth="1"/>
    <x:col min="8" max="8" width="18" hidden="0" customWidth="1"/>
    <x:col min="9" max="9" width="46" hidden="0" customWidth="1"/>
    <x:col min="10" max="10" width="48" hidden="0" customWidth="1"/>
  </x:cols>
  <x:sheetData>
    <x:row r="1">
      <x:c r="A1" s="76" t="str">
        <x:v>GLOBAL VTS | TSS COMPONENTS</x:v>
      </x:c>
      <x:c r="B1" s="76"/>
      <x:c r="C1" s="76"/>
      <x:c r="D1" s="76"/>
      <x:c r="E1" s="76"/>
      <x:c r="F1" s="76"/>
      <x:c r="G1" s="76"/>
      <x:c r="H1" s="76"/>
      <x:c r="I1" s="68"/>
      <x:c r="J1" s="68"/>
    </x:row>
    <x:row r="2">
      <x:c r="A2" s="76"/>
      <x:c r="B2" s="76"/>
      <x:c r="C2" s="76"/>
      <x:c r="D2" s="76"/>
      <x:c r="E2" s="76"/>
      <x:c r="F2" s="76"/>
      <x:c r="G2" s="76"/>
      <x:c r="H2" s="76"/>
      <x:c r="I2" s="68"/>
      <x:c r="J2" s="68"/>
    </x:row>
    <x:row r="3">
      <x:c r="A3" s="79" t="str">
        <x:v>v0.2 | Child records only. Do not add these rows to the parent-source total.</x:v>
      </x:c>
      <x:c r="B3" s="79"/>
      <x:c r="C3" s="79"/>
      <x:c r="D3" s="79"/>
      <x:c r="E3" s="79"/>
      <x:c r="F3" s="79"/>
      <x:c r="G3" s="79"/>
      <x:c r="H3" s="79"/>
      <x:c r="I3" s="68"/>
      <x:c r="J3" s="68"/>
    </x:row>
    <x:row r="4">
      <x:c r="A4" s="79"/>
      <x:c r="B4" s="79"/>
      <x:c r="C4" s="79"/>
      <x:c r="D4" s="79"/>
      <x:c r="E4" s="79"/>
      <x:c r="F4" s="79"/>
      <x:c r="G4" s="79"/>
      <x:c r="H4" s="79"/>
      <x:c r="I4" s="68"/>
      <x:c r="J4" s="68"/>
    </x:row>
    <x:row r="5">
      <x:c r="A5" s="68"/>
      <x:c r="B5" s="68"/>
      <x:c r="C5" s="68"/>
      <x:c r="D5" s="68"/>
      <x:c r="E5" s="68"/>
      <x:c r="F5" s="68"/>
      <x:c r="G5" s="68"/>
      <x:c r="H5" s="68"/>
      <x:c r="I5" s="68"/>
      <x:c r="J5" s="68"/>
    </x:row>
    <x:row r="6" ht="34" customHeight="1">
      <x:c r="A6" s="65" t="str">
        <x:v>Component ID</x:v>
      </x:c>
      <x:c r="B6" s="65" t="str">
        <x:v>Parent record ID</x:v>
      </x:c>
      <x:c r="C6" s="65" t="str">
        <x:v>Authority label</x:v>
      </x:c>
      <x:c r="D6" s="65" t="str">
        <x:v>Associated VTS</x:v>
      </x:c>
      <x:c r="E6" s="65" t="str">
        <x:v>Associated reporting scheme</x:v>
      </x:c>
      <x:c r="F6" s="65" t="str">
        <x:v>Evidence status</x:v>
      </x:c>
      <x:c r="G6" s="65" t="str">
        <x:v>Counting treatment</x:v>
      </x:c>
      <x:c r="H6" s="65" t="str">
        <x:v>Source IDs</x:v>
      </x:c>
      <x:c r="I6" s="65" t="str">
        <x:v>Source URLs</x:v>
      </x:c>
      <x:c r="J6" s="65" t="str">
        <x:v>Remaining checks</x:v>
      </x:c>
    </x:row>
    <x:row r="7" ht="60" customHeight="1">
      <x:c r="A7" s="66" t="str">
        <x:v>TSS-0043-E</x:v>
      </x:c>
      <x:c r="B7" s="66" t="str">
        <x:v>TSS-0043</x:v>
      </x:c>
      <x:c r="C7" s="66" t="str">
        <x:v>TSS East</x:v>
      </x:c>
      <x:c r="D7" s="66" t="str">
        <x:v>VTS-015</x:v>
      </x:c>
      <x:c r="E7" s="66" t="str">
        <x:v>SRS-007</x:v>
      </x:c>
      <x:c r="F7" s="66" t="str">
        <x:v>Component named by authority</x:v>
      </x:c>
      <x:c r="G7" s="66" t="str">
        <x:v>Non-additive child; parent remains in the 170-row candidate inventory</x:v>
      </x:c>
      <x:c r="H7" s="66" t="str">
        <x:v>SRC-019</x:v>
      </x:c>
      <x:c r="I7" s="67" t="str">
        <x:v>https://www.umgdy.gov.pl/en/marine-safety/vts-zatoka-gdanska-en/</x:v>
      </x:c>
      <x:c r="J7" s="66" t="str">
        <x:v>Current formal scheme identifiers, adoption records, limits and chart geometry not reconciled.</x:v>
      </x:c>
    </x:row>
    <x:row r="8" ht="60" customHeight="1">
      <x:c r="A8" s="66" t="str">
        <x:v>TSS-0043-W</x:v>
      </x:c>
      <x:c r="B8" s="66" t="str">
        <x:v>TSS-0043</x:v>
      </x:c>
      <x:c r="C8" s="66" t="str">
        <x:v>TSS West</x:v>
      </x:c>
      <x:c r="D8" s="66" t="str">
        <x:v>VTS-015</x:v>
      </x:c>
      <x:c r="E8" s="66" t="str">
        <x:v>SRS-007</x:v>
      </x:c>
      <x:c r="F8" s="66" t="str">
        <x:v>Component named by authority</x:v>
      </x:c>
      <x:c r="G8" s="66" t="str">
        <x:v>Non-additive child; parent remains in the 170-row candidate inventory</x:v>
      </x:c>
      <x:c r="H8" s="66" t="str">
        <x:v>SRC-019</x:v>
      </x:c>
      <x:c r="I8" s="67" t="str">
        <x:v>https://www.umgdy.gov.pl/en/marine-safety/vts-zatoka-gdanska-en/</x:v>
      </x:c>
      <x:c r="J8" s="66" t="str">
        <x:v>Current formal scheme identifiers, adoption records, limits and chart geometry not reconciled.</x:v>
      </x:c>
    </x:row>
    <x:row r="9">
      <x:c r="A9" s="68"/>
      <x:c r="B9" s="68"/>
      <x:c r="C9" s="68"/>
      <x:c r="D9" s="68"/>
      <x:c r="E9" s="68"/>
      <x:c r="F9" s="68"/>
      <x:c r="G9" s="68"/>
      <x:c r="H9" s="68"/>
      <x:c r="I9" s="68"/>
      <x:c r="J9" s="68"/>
    </x:row>
  </x:sheetData>
  <x:mergeCells>
    <x:mergeCell ref="A1:H2"/>
    <x:mergeCell ref="A3:H4"/>
  </x:mergeCells>
  <x:pageMargins left="0.7" right="0.7" top="0.75" bottom="0.75" header="0.3" footer="0.3"/>
  <x:tableParts count="1">
    <x:tablePart xmlns:r="http://schemas.openxmlformats.org/officeDocument/2006/relationships" r:id="R6e9f794673964202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39" hidden="0" customWidth="1"/>
    <x:col min="2" max="2" width="23" hidden="0" customWidth="1"/>
    <x:col min="3" max="3" width="18" hidden="0" customWidth="1"/>
    <x:col min="4" max="4" width="21" hidden="0" customWidth="1"/>
    <x:col min="5" max="5" width="48" hidden="0" customWidth="1"/>
  </x:cols>
  <x:sheetData>
    <x:row r="1">
      <x:c r="A1" s="76" t="str">
        <x:v>GLOBAL VTS | ID CROSSWALK</x:v>
      </x:c>
      <x:c r="B1" s="76"/>
      <x:c r="C1" s="76"/>
      <x:c r="D1" s="76"/>
      <x:c r="E1" s="76"/>
    </x:row>
    <x:row r="2">
      <x:c r="A2" s="76"/>
      <x:c r="B2" s="76"/>
      <x:c r="C2" s="76"/>
      <x:c r="D2" s="76"/>
      <x:c r="E2" s="76"/>
    </x:row>
    <x:row r="3">
      <x:c r="A3" s="79" t="str">
        <x:v>v0.2 | Maps the earlier release to canonical identifiers without deleting its research trail.</x:v>
      </x:c>
      <x:c r="B3" s="79"/>
      <x:c r="C3" s="79"/>
      <x:c r="D3" s="79"/>
      <x:c r="E3" s="79"/>
    </x:row>
    <x:row r="4">
      <x:c r="A4" s="79"/>
      <x:c r="B4" s="79"/>
      <x:c r="C4" s="79"/>
      <x:c r="D4" s="79"/>
      <x:c r="E4" s="79"/>
    </x:row>
    <x:row r="5">
      <x:c r="A5" s="68"/>
      <x:c r="B5" s="68"/>
      <x:c r="C5" s="68"/>
      <x:c r="D5" s="68"/>
      <x:c r="E5" s="68"/>
    </x:row>
    <x:row r="6" ht="34" customHeight="1">
      <x:c r="A6" s="65" t="str">
        <x:v>Original release</x:v>
      </x:c>
      <x:c r="B6" s="65" t="str">
        <x:v>Entity</x:v>
      </x:c>
      <x:c r="C6" s="65" t="str">
        <x:v>Old ID</x:v>
      </x:c>
      <x:c r="D6" s="65" t="str">
        <x:v>Canonical ID</x:v>
      </x:c>
      <x:c r="E6" s="65" t="str">
        <x:v>Disposition</x:v>
      </x:c>
    </x:row>
    <x:row r="7" ht="36" customHeight="1">
      <x:c r="A7" s="66" t="str">
        <x:v>Global_VTS_Inventory_v0.1.xlsx</x:v>
      </x:c>
      <x:c r="B7" s="66" t="str">
        <x:v>TSS</x:v>
      </x:c>
      <x:c r="C7" s="66" t="str">
        <x:v>TSS-001</x:v>
      </x:c>
      <x:c r="D7" s="66" t="str">
        <x:v>TSS-0001</x:v>
      </x:c>
      <x:c r="E7" s="66" t="str">
        <x:v>Retained in v0.2</x:v>
      </x:c>
    </x:row>
    <x:row r="8" ht="36" customHeight="1">
      <x:c r="A8" s="66" t="str">
        <x:v>Global_VTS_Inventory_v0.1.xlsx</x:v>
      </x:c>
      <x:c r="B8" s="66" t="str">
        <x:v>TSS</x:v>
      </x:c>
      <x:c r="C8" s="66" t="str">
        <x:v>TSS-002</x:v>
      </x:c>
      <x:c r="D8" s="66" t="str">
        <x:v>TSS-0002</x:v>
      </x:c>
      <x:c r="E8" s="66" t="str">
        <x:v>Retained in v0.2</x:v>
      </x:c>
    </x:row>
    <x:row r="9" ht="36" customHeight="1">
      <x:c r="A9" s="66" t="str">
        <x:v>Global_VTS_Inventory_v0.1.xlsx</x:v>
      </x:c>
      <x:c r="B9" s="66" t="str">
        <x:v>TSS</x:v>
      </x:c>
      <x:c r="C9" s="66" t="str">
        <x:v>TSS-003</x:v>
      </x:c>
      <x:c r="D9" s="66" t="str">
        <x:v>TSS-0003</x:v>
      </x:c>
      <x:c r="E9" s="66" t="str">
        <x:v>Retained in v0.2</x:v>
      </x:c>
    </x:row>
    <x:row r="10" ht="36" customHeight="1">
      <x:c r="A10" s="66" t="str">
        <x:v>Global_VTS_Inventory_v0.1.xlsx</x:v>
      </x:c>
      <x:c r="B10" s="66" t="str">
        <x:v>TSS</x:v>
      </x:c>
      <x:c r="C10" s="66" t="str">
        <x:v>TSS-004</x:v>
      </x:c>
      <x:c r="D10" s="66" t="str">
        <x:v>TSS-0004</x:v>
      </x:c>
      <x:c r="E10" s="66" t="str">
        <x:v>Retained in v0.2</x:v>
      </x:c>
    </x:row>
    <x:row r="11" ht="36" customHeight="1">
      <x:c r="A11" s="66" t="str">
        <x:v>Global_VTS_Inventory_v0.1.xlsx</x:v>
      </x:c>
      <x:c r="B11" s="66" t="str">
        <x:v>TSS</x:v>
      </x:c>
      <x:c r="C11" s="66" t="str">
        <x:v>TSS-005</x:v>
      </x:c>
      <x:c r="D11" s="66" t="str">
        <x:v>TSS-0005</x:v>
      </x:c>
      <x:c r="E11" s="66" t="str">
        <x:v>Retained in v0.2</x:v>
      </x:c>
    </x:row>
    <x:row r="12" ht="36" customHeight="1">
      <x:c r="A12" s="66" t="str">
        <x:v>Global_VTS_Inventory_v0.1.xlsx</x:v>
      </x:c>
      <x:c r="B12" s="66" t="str">
        <x:v>TSS</x:v>
      </x:c>
      <x:c r="C12" s="66" t="str">
        <x:v>TSS-006</x:v>
      </x:c>
      <x:c r="D12" s="66" t="str">
        <x:v>TSS-0006</x:v>
      </x:c>
      <x:c r="E12" s="66" t="str">
        <x:v>Retained in v0.2</x:v>
      </x:c>
    </x:row>
    <x:row r="13" ht="36" customHeight="1">
      <x:c r="A13" s="66" t="str">
        <x:v>Global_VTS_Inventory_v0.1.xlsx</x:v>
      </x:c>
      <x:c r="B13" s="66" t="str">
        <x:v>TSS</x:v>
      </x:c>
      <x:c r="C13" s="66" t="str">
        <x:v>TSS-007</x:v>
      </x:c>
      <x:c r="D13" s="66" t="str">
        <x:v>TSS-0007</x:v>
      </x:c>
      <x:c r="E13" s="66" t="str">
        <x:v>Retained in v0.2</x:v>
      </x:c>
    </x:row>
    <x:row r="14" ht="36" customHeight="1">
      <x:c r="A14" s="66" t="str">
        <x:v>Global_VTS_Inventory_v0.1.xlsx</x:v>
      </x:c>
      <x:c r="B14" s="66" t="str">
        <x:v>TSS</x:v>
      </x:c>
      <x:c r="C14" s="66" t="str">
        <x:v>TSS-008</x:v>
      </x:c>
      <x:c r="D14" s="66" t="str">
        <x:v>TSS-0008</x:v>
      </x:c>
      <x:c r="E14" s="66" t="str">
        <x:v>Retained in v0.2</x:v>
      </x:c>
    </x:row>
    <x:row r="15" ht="36" customHeight="1">
      <x:c r="A15" s="66" t="str">
        <x:v>Global_VTS_Inventory_v0.1.xlsx</x:v>
      </x:c>
      <x:c r="B15" s="66" t="str">
        <x:v>TSS</x:v>
      </x:c>
      <x:c r="C15" s="66" t="str">
        <x:v>TSS-009</x:v>
      </x:c>
      <x:c r="D15" s="66" t="str">
        <x:v>TSS-0009</x:v>
      </x:c>
      <x:c r="E15" s="66" t="str">
        <x:v>Retained in v0.2</x:v>
      </x:c>
    </x:row>
    <x:row r="16" ht="36" customHeight="1">
      <x:c r="A16" s="66" t="str">
        <x:v>Global_VTS_Inventory_v0.1.xlsx</x:v>
      </x:c>
      <x:c r="B16" s="66" t="str">
        <x:v>TSS</x:v>
      </x:c>
      <x:c r="C16" s="66" t="str">
        <x:v>TSS-010</x:v>
      </x:c>
      <x:c r="D16" s="66" t="str">
        <x:v>TSS-0010</x:v>
      </x:c>
      <x:c r="E16" s="66" t="str">
        <x:v>Retained in v0.2</x:v>
      </x:c>
    </x:row>
    <x:row r="17" ht="36" customHeight="1">
      <x:c r="A17" s="66" t="str">
        <x:v>Global_VTS_Inventory_v0.1.xlsx</x:v>
      </x:c>
      <x:c r="B17" s="66" t="str">
        <x:v>TSS</x:v>
      </x:c>
      <x:c r="C17" s="66" t="str">
        <x:v>TSS-011</x:v>
      </x:c>
      <x:c r="D17" s="66" t="str">
        <x:v>TSS-0011</x:v>
      </x:c>
      <x:c r="E17" s="66" t="str">
        <x:v>Retained in v0.2</x:v>
      </x:c>
    </x:row>
    <x:row r="18" ht="36" customHeight="1">
      <x:c r="A18" s="66" t="str">
        <x:v>Global_VTS_Inventory_v0.1.xlsx</x:v>
      </x:c>
      <x:c r="B18" s="66" t="str">
        <x:v>TSS</x:v>
      </x:c>
      <x:c r="C18" s="66" t="str">
        <x:v>TSS-012</x:v>
      </x:c>
      <x:c r="D18" s="66" t="str">
        <x:v>TSS-0012</x:v>
      </x:c>
      <x:c r="E18" s="66" t="str">
        <x:v>Retained in v0.2</x:v>
      </x:c>
    </x:row>
    <x:row r="19" ht="36" customHeight="1">
      <x:c r="A19" s="66" t="str">
        <x:v>Global_VTS_Inventory_v0.1.xlsx</x:v>
      </x:c>
      <x:c r="B19" s="66" t="str">
        <x:v>TSS</x:v>
      </x:c>
      <x:c r="C19" s="66" t="str">
        <x:v>TSS-013</x:v>
      </x:c>
      <x:c r="D19" s="66" t="str">
        <x:v>TSS-0013</x:v>
      </x:c>
      <x:c r="E19" s="66" t="str">
        <x:v>Retained in v0.2</x:v>
      </x:c>
    </x:row>
    <x:row r="20" ht="36" customHeight="1">
      <x:c r="A20" s="66" t="str">
        <x:v>Global_VTS_Inventory_v0.1.xlsx</x:v>
      </x:c>
      <x:c r="B20" s="66" t="str">
        <x:v>TSS</x:v>
      </x:c>
      <x:c r="C20" s="66" t="str">
        <x:v>TSS-014</x:v>
      </x:c>
      <x:c r="D20" s="66" t="str">
        <x:v>TSS-0014</x:v>
      </x:c>
      <x:c r="E20" s="66" t="str">
        <x:v>Retained in v0.2</x:v>
      </x:c>
    </x:row>
    <x:row r="21" ht="36" customHeight="1">
      <x:c r="A21" s="66" t="str">
        <x:v>Global_VTS_Inventory_v0.1.xlsx</x:v>
      </x:c>
      <x:c r="B21" s="66" t="str">
        <x:v>TSS</x:v>
      </x:c>
      <x:c r="C21" s="66" t="str">
        <x:v>TSS-015</x:v>
      </x:c>
      <x:c r="D21" s="66" t="str">
        <x:v>TSS-0015</x:v>
      </x:c>
      <x:c r="E21" s="66" t="str">
        <x:v>Retained in v0.2</x:v>
      </x:c>
    </x:row>
    <x:row r="22" ht="36" customHeight="1">
      <x:c r="A22" s="66" t="str">
        <x:v>Global_VTS_Inventory_v0.1.xlsx</x:v>
      </x:c>
      <x:c r="B22" s="66" t="str">
        <x:v>TSS</x:v>
      </x:c>
      <x:c r="C22" s="66" t="str">
        <x:v>TSS-016</x:v>
      </x:c>
      <x:c r="D22" s="66" t="str">
        <x:v>TSS-0016</x:v>
      </x:c>
      <x:c r="E22" s="66" t="str">
        <x:v>Retained in v0.2</x:v>
      </x:c>
    </x:row>
    <x:row r="23" ht="36" customHeight="1">
      <x:c r="A23" s="66" t="str">
        <x:v>Global_VTS_Inventory_v0.1.xlsx</x:v>
      </x:c>
      <x:c r="B23" s="66" t="str">
        <x:v>TSS</x:v>
      </x:c>
      <x:c r="C23" s="66" t="str">
        <x:v>TSS-017</x:v>
      </x:c>
      <x:c r="D23" s="66" t="str">
        <x:v>TSS-0017</x:v>
      </x:c>
      <x:c r="E23" s="66" t="str">
        <x:v>Retained in v0.2</x:v>
      </x:c>
    </x:row>
    <x:row r="24" ht="36" customHeight="1">
      <x:c r="A24" s="66" t="str">
        <x:v>Global_VTS_Inventory_v0.1.xlsx</x:v>
      </x:c>
      <x:c r="B24" s="66" t="str">
        <x:v>TSS</x:v>
      </x:c>
      <x:c r="C24" s="66" t="str">
        <x:v>TSS-018</x:v>
      </x:c>
      <x:c r="D24" s="66" t="str">
        <x:v>TSS-0018</x:v>
      </x:c>
      <x:c r="E24" s="66" t="str">
        <x:v>Retained in v0.2</x:v>
      </x:c>
    </x:row>
    <x:row r="25" ht="36" customHeight="1">
      <x:c r="A25" s="66" t="str">
        <x:v>Global_VTS_Inventory_v0.1.xlsx</x:v>
      </x:c>
      <x:c r="B25" s="66" t="str">
        <x:v>TSS</x:v>
      </x:c>
      <x:c r="C25" s="66" t="str">
        <x:v>TSS-019</x:v>
      </x:c>
      <x:c r="D25" s="66" t="str">
        <x:v>TSS-0019</x:v>
      </x:c>
      <x:c r="E25" s="66" t="str">
        <x:v>Retained in v0.2</x:v>
      </x:c>
    </x:row>
    <x:row r="26" ht="36" customHeight="1">
      <x:c r="A26" s="66" t="str">
        <x:v>Global_VTS_Inventory_v0.1.xlsx</x:v>
      </x:c>
      <x:c r="B26" s="66" t="str">
        <x:v>TSS</x:v>
      </x:c>
      <x:c r="C26" s="66" t="str">
        <x:v>TSS-020</x:v>
      </x:c>
      <x:c r="D26" s="66" t="str">
        <x:v>TSS-0020</x:v>
      </x:c>
      <x:c r="E26" s="66" t="str">
        <x:v>Retained in v0.2</x:v>
      </x:c>
    </x:row>
    <x:row r="27" ht="36" customHeight="1">
      <x:c r="A27" s="66" t="str">
        <x:v>Global_VTS_Inventory_v0.1.xlsx</x:v>
      </x:c>
      <x:c r="B27" s="66" t="str">
        <x:v>TSS</x:v>
      </x:c>
      <x:c r="C27" s="66" t="str">
        <x:v>TSS-021</x:v>
      </x:c>
      <x:c r="D27" s="66" t="str">
        <x:v>TSS-0021</x:v>
      </x:c>
      <x:c r="E27" s="66" t="str">
        <x:v>Retained in v0.2</x:v>
      </x:c>
    </x:row>
    <x:row r="28" ht="36" customHeight="1">
      <x:c r="A28" s="66" t="str">
        <x:v>Global_VTS_Inventory_v0.1.xlsx</x:v>
      </x:c>
      <x:c r="B28" s="66" t="str">
        <x:v>TSS</x:v>
      </x:c>
      <x:c r="C28" s="66" t="str">
        <x:v>TSS-022</x:v>
      </x:c>
      <x:c r="D28" s="66" t="str">
        <x:v>TSS-0022</x:v>
      </x:c>
      <x:c r="E28" s="66" t="str">
        <x:v>Retained in v0.2</x:v>
      </x:c>
    </x:row>
    <x:row r="29" ht="36" customHeight="1">
      <x:c r="A29" s="66" t="str">
        <x:v>Global_VTS_Inventory_v0.1.xlsx</x:v>
      </x:c>
      <x:c r="B29" s="66" t="str">
        <x:v>TSS</x:v>
      </x:c>
      <x:c r="C29" s="66" t="str">
        <x:v>TSS-023</x:v>
      </x:c>
      <x:c r="D29" s="66" t="str">
        <x:v>TSS-0023</x:v>
      </x:c>
      <x:c r="E29" s="66" t="str">
        <x:v>Retained in v0.2</x:v>
      </x:c>
    </x:row>
    <x:row r="30" ht="36" customHeight="1">
      <x:c r="A30" s="66" t="str">
        <x:v>Global_VTS_Inventory_v0.1.xlsx</x:v>
      </x:c>
      <x:c r="B30" s="66" t="str">
        <x:v>TSS</x:v>
      </x:c>
      <x:c r="C30" s="66" t="str">
        <x:v>TSS-024</x:v>
      </x:c>
      <x:c r="D30" s="66" t="str">
        <x:v>TSS-0024</x:v>
      </x:c>
      <x:c r="E30" s="66" t="str">
        <x:v>Retained in v0.2</x:v>
      </x:c>
    </x:row>
    <x:row r="31" ht="36" customHeight="1">
      <x:c r="A31" s="66" t="str">
        <x:v>Global_VTS_Inventory_v0.1.xlsx</x:v>
      </x:c>
      <x:c r="B31" s="66" t="str">
        <x:v>TSS</x:v>
      </x:c>
      <x:c r="C31" s="66" t="str">
        <x:v>TSS-025</x:v>
      </x:c>
      <x:c r="D31" s="66" t="str">
        <x:v>TSS-0025</x:v>
      </x:c>
      <x:c r="E31" s="66" t="str">
        <x:v>Retained in v0.2</x:v>
      </x:c>
    </x:row>
    <x:row r="32" ht="36" customHeight="1">
      <x:c r="A32" s="66" t="str">
        <x:v>Global_VTS_Inventory_v0.1.xlsx</x:v>
      </x:c>
      <x:c r="B32" s="66" t="str">
        <x:v>TSS</x:v>
      </x:c>
      <x:c r="C32" s="66" t="str">
        <x:v>TSS-026</x:v>
      </x:c>
      <x:c r="D32" s="66" t="str">
        <x:v>TSS-0026</x:v>
      </x:c>
      <x:c r="E32" s="66" t="str">
        <x:v>Retained in v0.2</x:v>
      </x:c>
    </x:row>
    <x:row r="33" ht="36" customHeight="1">
      <x:c r="A33" s="66" t="str">
        <x:v>Global_VTS_Inventory_v0.1.xlsx</x:v>
      </x:c>
      <x:c r="B33" s="66" t="str">
        <x:v>TSS</x:v>
      </x:c>
      <x:c r="C33" s="66" t="str">
        <x:v>TSS-027</x:v>
      </x:c>
      <x:c r="D33" s="66" t="str">
        <x:v>TSS-0027</x:v>
      </x:c>
      <x:c r="E33" s="66" t="str">
        <x:v>Retained in v0.2</x:v>
      </x:c>
    </x:row>
    <x:row r="34" ht="36" customHeight="1">
      <x:c r="A34" s="66" t="str">
        <x:v>Global_VTS_Inventory_v0.1.xlsx</x:v>
      </x:c>
      <x:c r="B34" s="66" t="str">
        <x:v>TSS</x:v>
      </x:c>
      <x:c r="C34" s="66" t="str">
        <x:v>TSS-028</x:v>
      </x:c>
      <x:c r="D34" s="66" t="str">
        <x:v>TSS-0028</x:v>
      </x:c>
      <x:c r="E34" s="66" t="str">
        <x:v>Retained in v0.2</x:v>
      </x:c>
    </x:row>
    <x:row r="35" ht="36" customHeight="1">
      <x:c r="A35" s="66" t="str">
        <x:v>Global_VTS_Inventory_v0.1.xlsx</x:v>
      </x:c>
      <x:c r="B35" s="66" t="str">
        <x:v>TSS</x:v>
      </x:c>
      <x:c r="C35" s="66" t="str">
        <x:v>TSS-029</x:v>
      </x:c>
      <x:c r="D35" s="66" t="str">
        <x:v>TSS-0029</x:v>
      </x:c>
      <x:c r="E35" s="66" t="str">
        <x:v>Retained in v0.2</x:v>
      </x:c>
    </x:row>
    <x:row r="36" ht="36" customHeight="1">
      <x:c r="A36" s="66" t="str">
        <x:v>Global_VTS_Inventory_v0.1.xlsx</x:v>
      </x:c>
      <x:c r="B36" s="66" t="str">
        <x:v>TSS</x:v>
      </x:c>
      <x:c r="C36" s="66" t="str">
        <x:v>TSS-030</x:v>
      </x:c>
      <x:c r="D36" s="66" t="str">
        <x:v>TSS-0030</x:v>
      </x:c>
      <x:c r="E36" s="66" t="str">
        <x:v>Retained in v0.2</x:v>
      </x:c>
    </x:row>
    <x:row r="37" ht="36" customHeight="1">
      <x:c r="A37" s="66" t="str">
        <x:v>Global_VTS_Inventory_v0.1.xlsx</x:v>
      </x:c>
      <x:c r="B37" s="66" t="str">
        <x:v>TSS</x:v>
      </x:c>
      <x:c r="C37" s="66" t="str">
        <x:v>TSS-031</x:v>
      </x:c>
      <x:c r="D37" s="66" t="str">
        <x:v>TSS-0031</x:v>
      </x:c>
      <x:c r="E37" s="66" t="str">
        <x:v>Retained in v0.2</x:v>
      </x:c>
    </x:row>
    <x:row r="38" ht="36" customHeight="1">
      <x:c r="A38" s="66" t="str">
        <x:v>Global_VTS_Inventory_v0.1.xlsx</x:v>
      </x:c>
      <x:c r="B38" s="66" t="str">
        <x:v>TSS</x:v>
      </x:c>
      <x:c r="C38" s="66" t="str">
        <x:v>TSS-032</x:v>
      </x:c>
      <x:c r="D38" s="66" t="str">
        <x:v>TSS-0032</x:v>
      </x:c>
      <x:c r="E38" s="66" t="str">
        <x:v>Retained in v0.2</x:v>
      </x:c>
    </x:row>
    <x:row r="39" ht="36" customHeight="1">
      <x:c r="A39" s="66" t="str">
        <x:v>Global_VTS_Inventory_v0.1.xlsx</x:v>
      </x:c>
      <x:c r="B39" s="66" t="str">
        <x:v>TSS</x:v>
      </x:c>
      <x:c r="C39" s="66" t="str">
        <x:v>TSS-033</x:v>
      </x:c>
      <x:c r="D39" s="66" t="str">
        <x:v>TSS-0033</x:v>
      </x:c>
      <x:c r="E39" s="66" t="str">
        <x:v>Retained in v0.2</x:v>
      </x:c>
    </x:row>
    <x:row r="40" ht="36" customHeight="1">
      <x:c r="A40" s="66" t="str">
        <x:v>Global_VTS_Inventory_v0.1.xlsx</x:v>
      </x:c>
      <x:c r="B40" s="66" t="str">
        <x:v>TSS</x:v>
      </x:c>
      <x:c r="C40" s="66" t="str">
        <x:v>TSS-034</x:v>
      </x:c>
      <x:c r="D40" s="66" t="str">
        <x:v>TSS-0034</x:v>
      </x:c>
      <x:c r="E40" s="66" t="str">
        <x:v>Retained in v0.2</x:v>
      </x:c>
    </x:row>
    <x:row r="41" ht="36" customHeight="1">
      <x:c r="A41" s="66" t="str">
        <x:v>Global_VTS_Inventory_v0.1.xlsx</x:v>
      </x:c>
      <x:c r="B41" s="66" t="str">
        <x:v>TSS</x:v>
      </x:c>
      <x:c r="C41" s="66" t="str">
        <x:v>TSS-035</x:v>
      </x:c>
      <x:c r="D41" s="66" t="str">
        <x:v>TSS-0035</x:v>
      </x:c>
      <x:c r="E41" s="66" t="str">
        <x:v>Retained in v0.2</x:v>
      </x:c>
    </x:row>
    <x:row r="42" ht="36" customHeight="1">
      <x:c r="A42" s="66" t="str">
        <x:v>Global_VTS_Inventory_v0.1.xlsx</x:v>
      </x:c>
      <x:c r="B42" s="66" t="str">
        <x:v>TSS</x:v>
      </x:c>
      <x:c r="C42" s="66" t="str">
        <x:v>TSS-036</x:v>
      </x:c>
      <x:c r="D42" s="66" t="str">
        <x:v>TSS-0036</x:v>
      </x:c>
      <x:c r="E42" s="66" t="str">
        <x:v>Retained in v0.2</x:v>
      </x:c>
    </x:row>
    <x:row r="43" ht="36" customHeight="1">
      <x:c r="A43" s="66" t="str">
        <x:v>Global_VTS_Inventory_v0.1.xlsx</x:v>
      </x:c>
      <x:c r="B43" s="66" t="str">
        <x:v>TSS</x:v>
      </x:c>
      <x:c r="C43" s="66" t="str">
        <x:v>TSS-037</x:v>
      </x:c>
      <x:c r="D43" s="66" t="str">
        <x:v>TSS-0037</x:v>
      </x:c>
      <x:c r="E43" s="66" t="str">
        <x:v>Retained in v0.2</x:v>
      </x:c>
    </x:row>
    <x:row r="44" ht="36" customHeight="1">
      <x:c r="A44" s="66" t="str">
        <x:v>Global_VTS_Inventory_v0.1.xlsx</x:v>
      </x:c>
      <x:c r="B44" s="66" t="str">
        <x:v>TSS</x:v>
      </x:c>
      <x:c r="C44" s="66" t="str">
        <x:v>TSS-038</x:v>
      </x:c>
      <x:c r="D44" s="66" t="str">
        <x:v>TSS-0038</x:v>
      </x:c>
      <x:c r="E44" s="66" t="str">
        <x:v>Retained in v0.2</x:v>
      </x:c>
    </x:row>
    <x:row r="45" ht="36" customHeight="1">
      <x:c r="A45" s="66" t="str">
        <x:v>Global_VTS_Inventory_v0.1.xlsx</x:v>
      </x:c>
      <x:c r="B45" s="66" t="str">
        <x:v>TSS</x:v>
      </x:c>
      <x:c r="C45" s="66" t="str">
        <x:v>TSS-039</x:v>
      </x:c>
      <x:c r="D45" s="66" t="str">
        <x:v>TSS-0039</x:v>
      </x:c>
      <x:c r="E45" s="66" t="str">
        <x:v>Retained in v0.2</x:v>
      </x:c>
    </x:row>
    <x:row r="46" ht="36" customHeight="1">
      <x:c r="A46" s="66" t="str">
        <x:v>Global_VTS_Inventory_v0.1.xlsx</x:v>
      </x:c>
      <x:c r="B46" s="66" t="str">
        <x:v>TSS</x:v>
      </x:c>
      <x:c r="C46" s="66" t="str">
        <x:v>TSS-040</x:v>
      </x:c>
      <x:c r="D46" s="66" t="str">
        <x:v>TSS-0040</x:v>
      </x:c>
      <x:c r="E46" s="66" t="str">
        <x:v>Retained in v0.2</x:v>
      </x:c>
    </x:row>
    <x:row r="47" ht="36" customHeight="1">
      <x:c r="A47" s="66" t="str">
        <x:v>Global_VTS_Inventory_v0.1.xlsx</x:v>
      </x:c>
      <x:c r="B47" s="66" t="str">
        <x:v>TSS</x:v>
      </x:c>
      <x:c r="C47" s="66" t="str">
        <x:v>TSS-041</x:v>
      </x:c>
      <x:c r="D47" s="66" t="str">
        <x:v>TSS-0041</x:v>
      </x:c>
      <x:c r="E47" s="66" t="str">
        <x:v>Retained in v0.2</x:v>
      </x:c>
    </x:row>
    <x:row r="48" ht="36" customHeight="1">
      <x:c r="A48" s="66" t="str">
        <x:v>Global_VTS_Inventory_v0.1.xlsx</x:v>
      </x:c>
      <x:c r="B48" s="66" t="str">
        <x:v>TSS</x:v>
      </x:c>
      <x:c r="C48" s="66" t="str">
        <x:v>TSS-042</x:v>
      </x:c>
      <x:c r="D48" s="66" t="str">
        <x:v>TSS-0042</x:v>
      </x:c>
      <x:c r="E48" s="66" t="str">
        <x:v>Retained in v0.2</x:v>
      </x:c>
    </x:row>
    <x:row r="49" ht="36" customHeight="1">
      <x:c r="A49" s="66" t="str">
        <x:v>Global_VTS_Inventory_v0.1.xlsx</x:v>
      </x:c>
      <x:c r="B49" s="66" t="str">
        <x:v>TSS</x:v>
      </x:c>
      <x:c r="C49" s="66" t="str">
        <x:v>TSS-043</x:v>
      </x:c>
      <x:c r="D49" s="66" t="str">
        <x:v>TSS-0043</x:v>
      </x:c>
      <x:c r="E49" s="66" t="str">
        <x:v>Retained in v0.2</x:v>
      </x:c>
    </x:row>
    <x:row r="50" ht="36" customHeight="1">
      <x:c r="A50" s="66" t="str">
        <x:v>Global_VTS_Inventory_v0.1.xlsx</x:v>
      </x:c>
      <x:c r="B50" s="66" t="str">
        <x:v>TSS</x:v>
      </x:c>
      <x:c r="C50" s="66" t="str">
        <x:v>TSS-044</x:v>
      </x:c>
      <x:c r="D50" s="66" t="str">
        <x:v>TSS-0044</x:v>
      </x:c>
      <x:c r="E50" s="66" t="str">
        <x:v>Retained in v0.2</x:v>
      </x:c>
    </x:row>
    <x:row r="51" ht="36" customHeight="1">
      <x:c r="A51" s="66" t="str">
        <x:v>Global_VTS_Inventory_v0.1.xlsx</x:v>
      </x:c>
      <x:c r="B51" s="66" t="str">
        <x:v>TSS</x:v>
      </x:c>
      <x:c r="C51" s="66" t="str">
        <x:v>TSS-045</x:v>
      </x:c>
      <x:c r="D51" s="66" t="str">
        <x:v>TSS-0045</x:v>
      </x:c>
      <x:c r="E51" s="66" t="str">
        <x:v>Retained in v0.2</x:v>
      </x:c>
    </x:row>
    <x:row r="52" ht="36" customHeight="1">
      <x:c r="A52" s="66" t="str">
        <x:v>Global_VTS_Inventory_v0.1.xlsx</x:v>
      </x:c>
      <x:c r="B52" s="66" t="str">
        <x:v>TSS</x:v>
      </x:c>
      <x:c r="C52" s="66" t="str">
        <x:v>TSS-046</x:v>
      </x:c>
      <x:c r="D52" s="66" t="str">
        <x:v>TSS-0046</x:v>
      </x:c>
      <x:c r="E52" s="66" t="str">
        <x:v>Retained in v0.2</x:v>
      </x:c>
    </x:row>
    <x:row r="53" ht="36" customHeight="1">
      <x:c r="A53" s="66" t="str">
        <x:v>Global_VTS_Inventory_v0.1.xlsx</x:v>
      </x:c>
      <x:c r="B53" s="66" t="str">
        <x:v>TSS</x:v>
      </x:c>
      <x:c r="C53" s="66" t="str">
        <x:v>TSS-047</x:v>
      </x:c>
      <x:c r="D53" s="66" t="str">
        <x:v>TSS-0047</x:v>
      </x:c>
      <x:c r="E53" s="66" t="str">
        <x:v>Retained in v0.2</x:v>
      </x:c>
    </x:row>
    <x:row r="54" ht="36" customHeight="1">
      <x:c r="A54" s="66" t="str">
        <x:v>Global_VTS_Inventory_v0.1.xlsx</x:v>
      </x:c>
      <x:c r="B54" s="66" t="str">
        <x:v>TSS</x:v>
      </x:c>
      <x:c r="C54" s="66" t="str">
        <x:v>TSS-048</x:v>
      </x:c>
      <x:c r="D54" s="66" t="str">
        <x:v>TSS-0048</x:v>
      </x:c>
      <x:c r="E54" s="66" t="str">
        <x:v>Retained in v0.2</x:v>
      </x:c>
    </x:row>
    <x:row r="55" ht="36" customHeight="1">
      <x:c r="A55" s="66" t="str">
        <x:v>Global_VTS_Inventory_v0.1.xlsx</x:v>
      </x:c>
      <x:c r="B55" s="66" t="str">
        <x:v>TSS</x:v>
      </x:c>
      <x:c r="C55" s="66" t="str">
        <x:v>TSS-049</x:v>
      </x:c>
      <x:c r="D55" s="66" t="str">
        <x:v>TSS-0049</x:v>
      </x:c>
      <x:c r="E55" s="66" t="str">
        <x:v>Retained in v0.2</x:v>
      </x:c>
    </x:row>
    <x:row r="56" ht="36" customHeight="1">
      <x:c r="A56" s="66" t="str">
        <x:v>Global_VTS_Inventory_v0.1.xlsx</x:v>
      </x:c>
      <x:c r="B56" s="66" t="str">
        <x:v>TSS</x:v>
      </x:c>
      <x:c r="C56" s="66" t="str">
        <x:v>TSS-050</x:v>
      </x:c>
      <x:c r="D56" s="66" t="str">
        <x:v>TSS-0050</x:v>
      </x:c>
      <x:c r="E56" s="66" t="str">
        <x:v>Retained in v0.2</x:v>
      </x:c>
    </x:row>
    <x:row r="57" ht="36" customHeight="1">
      <x:c r="A57" s="66" t="str">
        <x:v>Global_VTS_Inventory_v0.1.xlsx</x:v>
      </x:c>
      <x:c r="B57" s="66" t="str">
        <x:v>TSS</x:v>
      </x:c>
      <x:c r="C57" s="66" t="str">
        <x:v>TSS-051</x:v>
      </x:c>
      <x:c r="D57" s="66" t="str">
        <x:v>TSS-0051</x:v>
      </x:c>
      <x:c r="E57" s="66" t="str">
        <x:v>Retained in v0.2</x:v>
      </x:c>
    </x:row>
    <x:row r="58" ht="36" customHeight="1">
      <x:c r="A58" s="66" t="str">
        <x:v>Global_VTS_Inventory_v0.1.xlsx</x:v>
      </x:c>
      <x:c r="B58" s="66" t="str">
        <x:v>TSS</x:v>
      </x:c>
      <x:c r="C58" s="66" t="str">
        <x:v>TSS-052</x:v>
      </x:c>
      <x:c r="D58" s="66" t="str">
        <x:v>TSS-0052</x:v>
      </x:c>
      <x:c r="E58" s="66" t="str">
        <x:v>Retained in v0.2</x:v>
      </x:c>
    </x:row>
    <x:row r="59" ht="36" customHeight="1">
      <x:c r="A59" s="66" t="str">
        <x:v>Global_VTS_Inventory_v0.1.xlsx</x:v>
      </x:c>
      <x:c r="B59" s="66" t="str">
        <x:v>TSS</x:v>
      </x:c>
      <x:c r="C59" s="66" t="str">
        <x:v>TSS-053</x:v>
      </x:c>
      <x:c r="D59" s="66" t="str">
        <x:v>TSS-0053</x:v>
      </x:c>
      <x:c r="E59" s="66" t="str">
        <x:v>Retained in v0.2</x:v>
      </x:c>
    </x:row>
    <x:row r="60" ht="36" customHeight="1">
      <x:c r="A60" s="66" t="str">
        <x:v>Global_VTS_Inventory_v0.1.xlsx</x:v>
      </x:c>
      <x:c r="B60" s="66" t="str">
        <x:v>TSS</x:v>
      </x:c>
      <x:c r="C60" s="66" t="str">
        <x:v>TSS-054</x:v>
      </x:c>
      <x:c r="D60" s="66" t="str">
        <x:v>TSS-0054</x:v>
      </x:c>
      <x:c r="E60" s="66" t="str">
        <x:v>Retained in v0.2</x:v>
      </x:c>
    </x:row>
    <x:row r="61" ht="36" customHeight="1">
      <x:c r="A61" s="66" t="str">
        <x:v>Global_VTS_Inventory_v0.1.xlsx</x:v>
      </x:c>
      <x:c r="B61" s="66" t="str">
        <x:v>TSS</x:v>
      </x:c>
      <x:c r="C61" s="66" t="str">
        <x:v>TSS-055</x:v>
      </x:c>
      <x:c r="D61" s="66" t="str">
        <x:v>TSS-0055</x:v>
      </x:c>
      <x:c r="E61" s="66" t="str">
        <x:v>Retained in v0.2</x:v>
      </x:c>
    </x:row>
    <x:row r="62" ht="36" customHeight="1">
      <x:c r="A62" s="66" t="str">
        <x:v>Global_VTS_Inventory_v0.1.xlsx</x:v>
      </x:c>
      <x:c r="B62" s="66" t="str">
        <x:v>TSS</x:v>
      </x:c>
      <x:c r="C62" s="66" t="str">
        <x:v>TSS-056</x:v>
      </x:c>
      <x:c r="D62" s="66" t="str">
        <x:v>TSS-0056</x:v>
      </x:c>
      <x:c r="E62" s="66" t="str">
        <x:v>Retained in v0.2</x:v>
      </x:c>
    </x:row>
    <x:row r="63" ht="36" customHeight="1">
      <x:c r="A63" s="66" t="str">
        <x:v>Global_VTS_Inventory_v0.1.xlsx</x:v>
      </x:c>
      <x:c r="B63" s="66" t="str">
        <x:v>TSS</x:v>
      </x:c>
      <x:c r="C63" s="66" t="str">
        <x:v>TSS-057</x:v>
      </x:c>
      <x:c r="D63" s="66" t="str">
        <x:v>TSS-0057</x:v>
      </x:c>
      <x:c r="E63" s="66" t="str">
        <x:v>Retained in v0.2</x:v>
      </x:c>
    </x:row>
    <x:row r="64" ht="36" customHeight="1">
      <x:c r="A64" s="66" t="str">
        <x:v>Global_VTS_Inventory_v0.1.xlsx</x:v>
      </x:c>
      <x:c r="B64" s="66" t="str">
        <x:v>TSS</x:v>
      </x:c>
      <x:c r="C64" s="66" t="str">
        <x:v>TSS-058</x:v>
      </x:c>
      <x:c r="D64" s="66" t="str">
        <x:v>TSS-0058</x:v>
      </x:c>
      <x:c r="E64" s="66" t="str">
        <x:v>Retained in v0.2</x:v>
      </x:c>
    </x:row>
    <x:row r="65" ht="36" customHeight="1">
      <x:c r="A65" s="66" t="str">
        <x:v>Global_VTS_Inventory_v0.1.xlsx</x:v>
      </x:c>
      <x:c r="B65" s="66" t="str">
        <x:v>TSS</x:v>
      </x:c>
      <x:c r="C65" s="66" t="str">
        <x:v>TSS-059</x:v>
      </x:c>
      <x:c r="D65" s="66" t="str">
        <x:v>TSS-0059</x:v>
      </x:c>
      <x:c r="E65" s="66" t="str">
        <x:v>Retained in v0.2</x:v>
      </x:c>
    </x:row>
    <x:row r="66" ht="36" customHeight="1">
      <x:c r="A66" s="66" t="str">
        <x:v>Global_VTS_Inventory_v0.1.xlsx</x:v>
      </x:c>
      <x:c r="B66" s="66" t="str">
        <x:v>TSS</x:v>
      </x:c>
      <x:c r="C66" s="66" t="str">
        <x:v>TSS-060</x:v>
      </x:c>
      <x:c r="D66" s="66" t="str">
        <x:v>TSS-0060</x:v>
      </x:c>
      <x:c r="E66" s="66" t="str">
        <x:v>Retained in v0.2</x:v>
      </x:c>
    </x:row>
    <x:row r="67" ht="36" customHeight="1">
      <x:c r="A67" s="66" t="str">
        <x:v>Global_VTS_Inventory_v0.1.xlsx</x:v>
      </x:c>
      <x:c r="B67" s="66" t="str">
        <x:v>TSS</x:v>
      </x:c>
      <x:c r="C67" s="66" t="str">
        <x:v>TSS-061</x:v>
      </x:c>
      <x:c r="D67" s="66" t="str">
        <x:v>TSS-0061</x:v>
      </x:c>
      <x:c r="E67" s="66" t="str">
        <x:v>Retained in v0.2</x:v>
      </x:c>
    </x:row>
    <x:row r="68" ht="36" customHeight="1">
      <x:c r="A68" s="66" t="str">
        <x:v>Global_VTS_Inventory_v0.1.xlsx</x:v>
      </x:c>
      <x:c r="B68" s="66" t="str">
        <x:v>TSS</x:v>
      </x:c>
      <x:c r="C68" s="66" t="str">
        <x:v>TSS-062</x:v>
      </x:c>
      <x:c r="D68" s="66" t="str">
        <x:v>TSS-0062</x:v>
      </x:c>
      <x:c r="E68" s="66" t="str">
        <x:v>Retained in v0.2</x:v>
      </x:c>
    </x:row>
    <x:row r="69" ht="36" customHeight="1">
      <x:c r="A69" s="66" t="str">
        <x:v>Global_VTS_Inventory_v0.1.xlsx</x:v>
      </x:c>
      <x:c r="B69" s="66" t="str">
        <x:v>TSS</x:v>
      </x:c>
      <x:c r="C69" s="66" t="str">
        <x:v>TSS-063</x:v>
      </x:c>
      <x:c r="D69" s="66" t="str">
        <x:v>TSS-0063</x:v>
      </x:c>
      <x:c r="E69" s="66" t="str">
        <x:v>Retained in v0.2</x:v>
      </x:c>
    </x:row>
    <x:row r="70" ht="36" customHeight="1">
      <x:c r="A70" s="66" t="str">
        <x:v>Global_VTS_Inventory_v0.1.xlsx</x:v>
      </x:c>
      <x:c r="B70" s="66" t="str">
        <x:v>TSS</x:v>
      </x:c>
      <x:c r="C70" s="66" t="str">
        <x:v>TSS-064</x:v>
      </x:c>
      <x:c r="D70" s="66" t="str">
        <x:v>TSS-0064</x:v>
      </x:c>
      <x:c r="E70" s="66" t="str">
        <x:v>Retained in v0.2</x:v>
      </x:c>
    </x:row>
    <x:row r="71" ht="36" customHeight="1">
      <x:c r="A71" s="66" t="str">
        <x:v>Global_VTS_Inventory_v0.1.xlsx</x:v>
      </x:c>
      <x:c r="B71" s="66" t="str">
        <x:v>TSS</x:v>
      </x:c>
      <x:c r="C71" s="66" t="str">
        <x:v>TSS-065</x:v>
      </x:c>
      <x:c r="D71" s="66" t="str">
        <x:v>TSS-0065</x:v>
      </x:c>
      <x:c r="E71" s="66" t="str">
        <x:v>Retained in v0.2</x:v>
      </x:c>
    </x:row>
    <x:row r="72" ht="36" customHeight="1">
      <x:c r="A72" s="66" t="str">
        <x:v>Global_VTS_Inventory_v0.1.xlsx</x:v>
      </x:c>
      <x:c r="B72" s="66" t="str">
        <x:v>TSS</x:v>
      </x:c>
      <x:c r="C72" s="66" t="str">
        <x:v>TSS-066</x:v>
      </x:c>
      <x:c r="D72" s="66" t="str">
        <x:v>TSS-0066</x:v>
      </x:c>
      <x:c r="E72" s="66" t="str">
        <x:v>Retained in v0.2</x:v>
      </x:c>
    </x:row>
    <x:row r="73" ht="36" customHeight="1">
      <x:c r="A73" s="66" t="str">
        <x:v>Global_VTS_Inventory_v0.1.xlsx</x:v>
      </x:c>
      <x:c r="B73" s="66" t="str">
        <x:v>TSS</x:v>
      </x:c>
      <x:c r="C73" s="66" t="str">
        <x:v>TSS-067</x:v>
      </x:c>
      <x:c r="D73" s="66" t="str">
        <x:v>TSS-0067</x:v>
      </x:c>
      <x:c r="E73" s="66" t="str">
        <x:v>Retained in v0.2</x:v>
      </x:c>
    </x:row>
    <x:row r="74" ht="36" customHeight="1">
      <x:c r="A74" s="66" t="str">
        <x:v>Global_VTS_Inventory_v0.1.xlsx</x:v>
      </x:c>
      <x:c r="B74" s="66" t="str">
        <x:v>TSS</x:v>
      </x:c>
      <x:c r="C74" s="66" t="str">
        <x:v>TSS-068</x:v>
      </x:c>
      <x:c r="D74" s="66" t="str">
        <x:v>TSS-0068</x:v>
      </x:c>
      <x:c r="E74" s="66" t="str">
        <x:v>Retained in v0.2</x:v>
      </x:c>
    </x:row>
    <x:row r="75" ht="36" customHeight="1">
      <x:c r="A75" s="66" t="str">
        <x:v>Global_VTS_Inventory_v0.1.xlsx</x:v>
      </x:c>
      <x:c r="B75" s="66" t="str">
        <x:v>TSS</x:v>
      </x:c>
      <x:c r="C75" s="66" t="str">
        <x:v>TSS-069</x:v>
      </x:c>
      <x:c r="D75" s="66" t="str">
        <x:v>TSS-0069</x:v>
      </x:c>
      <x:c r="E75" s="66" t="str">
        <x:v>Retained in v0.2</x:v>
      </x:c>
    </x:row>
    <x:row r="76" ht="36" customHeight="1">
      <x:c r="A76" s="66" t="str">
        <x:v>Global_VTS_Inventory_v0.1.xlsx</x:v>
      </x:c>
      <x:c r="B76" s="66" t="str">
        <x:v>TSS</x:v>
      </x:c>
      <x:c r="C76" s="66" t="str">
        <x:v>TSS-070</x:v>
      </x:c>
      <x:c r="D76" s="66" t="str">
        <x:v>TSS-0070</x:v>
      </x:c>
      <x:c r="E76" s="66" t="str">
        <x:v>Retained in v0.2</x:v>
      </x:c>
    </x:row>
    <x:row r="77" ht="36" customHeight="1">
      <x:c r="A77" s="66" t="str">
        <x:v>Global_VTS_Inventory_v0.1.xlsx</x:v>
      </x:c>
      <x:c r="B77" s="66" t="str">
        <x:v>TSS</x:v>
      </x:c>
      <x:c r="C77" s="66" t="str">
        <x:v>TSS-071</x:v>
      </x:c>
      <x:c r="D77" s="66" t="str">
        <x:v>TSS-0071</x:v>
      </x:c>
      <x:c r="E77" s="66" t="str">
        <x:v>Retained in v0.2</x:v>
      </x:c>
    </x:row>
    <x:row r="78" ht="36" customHeight="1">
      <x:c r="A78" s="66" t="str">
        <x:v>Global_VTS_Inventory_v0.1.xlsx</x:v>
      </x:c>
      <x:c r="B78" s="66" t="str">
        <x:v>TSS</x:v>
      </x:c>
      <x:c r="C78" s="66" t="str">
        <x:v>TSS-072</x:v>
      </x:c>
      <x:c r="D78" s="66" t="str">
        <x:v>TSS-0072</x:v>
      </x:c>
      <x:c r="E78" s="66" t="str">
        <x:v>Retained in v0.2</x:v>
      </x:c>
    </x:row>
    <x:row r="79" ht="36" customHeight="1">
      <x:c r="A79" s="66" t="str">
        <x:v>Global_VTS_Inventory_v0.1.xlsx</x:v>
      </x:c>
      <x:c r="B79" s="66" t="str">
        <x:v>TSS</x:v>
      </x:c>
      <x:c r="C79" s="66" t="str">
        <x:v>TSS-073</x:v>
      </x:c>
      <x:c r="D79" s="66" t="str">
        <x:v>TSS-0073</x:v>
      </x:c>
      <x:c r="E79" s="66" t="str">
        <x:v>Retained in v0.2</x:v>
      </x:c>
    </x:row>
    <x:row r="80" ht="36" customHeight="1">
      <x:c r="A80" s="66" t="str">
        <x:v>Global_VTS_Inventory_v0.1.xlsx</x:v>
      </x:c>
      <x:c r="B80" s="66" t="str">
        <x:v>TSS</x:v>
      </x:c>
      <x:c r="C80" s="66" t="str">
        <x:v>TSS-074</x:v>
      </x:c>
      <x:c r="D80" s="66" t="str">
        <x:v>TSS-0074</x:v>
      </x:c>
      <x:c r="E80" s="66" t="str">
        <x:v>Retained in v0.2</x:v>
      </x:c>
    </x:row>
    <x:row r="81" ht="36" customHeight="1">
      <x:c r="A81" s="66" t="str">
        <x:v>Global_VTS_Inventory_v0.1.xlsx</x:v>
      </x:c>
      <x:c r="B81" s="66" t="str">
        <x:v>TSS</x:v>
      </x:c>
      <x:c r="C81" s="66" t="str">
        <x:v>TSS-075</x:v>
      </x:c>
      <x:c r="D81" s="66" t="str">
        <x:v>TSS-0075</x:v>
      </x:c>
      <x:c r="E81" s="66" t="str">
        <x:v>Retained in v0.2</x:v>
      </x:c>
    </x:row>
    <x:row r="82" ht="36" customHeight="1">
      <x:c r="A82" s="66" t="str">
        <x:v>Global_VTS_Inventory_v0.1.xlsx</x:v>
      </x:c>
      <x:c r="B82" s="66" t="str">
        <x:v>TSS</x:v>
      </x:c>
      <x:c r="C82" s="66" t="str">
        <x:v>TSS-076</x:v>
      </x:c>
      <x:c r="D82" s="66" t="str">
        <x:v>TSS-0076</x:v>
      </x:c>
      <x:c r="E82" s="66" t="str">
        <x:v>Retained in v0.2</x:v>
      </x:c>
    </x:row>
    <x:row r="83" ht="36" customHeight="1">
      <x:c r="A83" s="66" t="str">
        <x:v>Global_VTS_Inventory_v0.1.xlsx</x:v>
      </x:c>
      <x:c r="B83" s="66" t="str">
        <x:v>TSS</x:v>
      </x:c>
      <x:c r="C83" s="66" t="str">
        <x:v>TSS-077</x:v>
      </x:c>
      <x:c r="D83" s="66" t="str">
        <x:v>TSS-0077</x:v>
      </x:c>
      <x:c r="E83" s="66" t="str">
        <x:v>Retained in v0.2</x:v>
      </x:c>
    </x:row>
    <x:row r="84" ht="36" customHeight="1">
      <x:c r="A84" s="66" t="str">
        <x:v>Global_VTS_Inventory_v0.1.xlsx</x:v>
      </x:c>
      <x:c r="B84" s="66" t="str">
        <x:v>TSS</x:v>
      </x:c>
      <x:c r="C84" s="66" t="str">
        <x:v>TSS-078</x:v>
      </x:c>
      <x:c r="D84" s="66" t="str">
        <x:v>TSS-0078</x:v>
      </x:c>
      <x:c r="E84" s="66" t="str">
        <x:v>Retained in v0.2</x:v>
      </x:c>
    </x:row>
    <x:row r="85" ht="36" customHeight="1">
      <x:c r="A85" s="66" t="str">
        <x:v>Global_VTS_Inventory_v0.1.xlsx</x:v>
      </x:c>
      <x:c r="B85" s="66" t="str">
        <x:v>TSS</x:v>
      </x:c>
      <x:c r="C85" s="66" t="str">
        <x:v>TSS-079</x:v>
      </x:c>
      <x:c r="D85" s="66" t="str">
        <x:v>TSS-0079</x:v>
      </x:c>
      <x:c r="E85" s="66" t="str">
        <x:v>Retained in v0.2</x:v>
      </x:c>
    </x:row>
    <x:row r="86" ht="36" customHeight="1">
      <x:c r="A86" s="66" t="str">
        <x:v>Global_VTS_Inventory_v0.1.xlsx</x:v>
      </x:c>
      <x:c r="B86" s="66" t="str">
        <x:v>TSS</x:v>
      </x:c>
      <x:c r="C86" s="66" t="str">
        <x:v>TSS-080</x:v>
      </x:c>
      <x:c r="D86" s="66" t="str">
        <x:v>TSS-0080</x:v>
      </x:c>
      <x:c r="E86" s="66" t="str">
        <x:v>Retained in v0.2</x:v>
      </x:c>
    </x:row>
    <x:row r="87" ht="36" customHeight="1">
      <x:c r="A87" s="66" t="str">
        <x:v>Global_VTS_Inventory_v0.1.xlsx</x:v>
      </x:c>
      <x:c r="B87" s="66" t="str">
        <x:v>TSS</x:v>
      </x:c>
      <x:c r="C87" s="66" t="str">
        <x:v>TSS-081</x:v>
      </x:c>
      <x:c r="D87" s="66" t="str">
        <x:v>TSS-0081</x:v>
      </x:c>
      <x:c r="E87" s="66" t="str">
        <x:v>Retained in v0.2</x:v>
      </x:c>
    </x:row>
    <x:row r="88" ht="36" customHeight="1">
      <x:c r="A88" s="66" t="str">
        <x:v>Global_VTS_Inventory_v0.1.xlsx</x:v>
      </x:c>
      <x:c r="B88" s="66" t="str">
        <x:v>TSS</x:v>
      </x:c>
      <x:c r="C88" s="66" t="str">
        <x:v>TSS-082</x:v>
      </x:c>
      <x:c r="D88" s="66" t="str">
        <x:v>TSS-0082</x:v>
      </x:c>
      <x:c r="E88" s="66" t="str">
        <x:v>Retained in v0.2</x:v>
      </x:c>
    </x:row>
    <x:row r="89" ht="36" customHeight="1">
      <x:c r="A89" s="66" t="str">
        <x:v>Global_VTS_Inventory_v0.1.xlsx</x:v>
      </x:c>
      <x:c r="B89" s="66" t="str">
        <x:v>TSS</x:v>
      </x:c>
      <x:c r="C89" s="66" t="str">
        <x:v>TSS-083</x:v>
      </x:c>
      <x:c r="D89" s="66" t="str">
        <x:v>TSS-0083</x:v>
      </x:c>
      <x:c r="E89" s="66" t="str">
        <x:v>Retained in v0.2</x:v>
      </x:c>
    </x:row>
    <x:row r="90" ht="36" customHeight="1">
      <x:c r="A90" s="66" t="str">
        <x:v>Global_VTS_Inventory_v0.1.xlsx</x:v>
      </x:c>
      <x:c r="B90" s="66" t="str">
        <x:v>TSS</x:v>
      </x:c>
      <x:c r="C90" s="66" t="str">
        <x:v>TSS-084</x:v>
      </x:c>
      <x:c r="D90" s="66" t="str">
        <x:v>TSS-0084</x:v>
      </x:c>
      <x:c r="E90" s="66" t="str">
        <x:v>Retained in v0.2</x:v>
      </x:c>
    </x:row>
    <x:row r="91" ht="36" customHeight="1">
      <x:c r="A91" s="66" t="str">
        <x:v>Global_VTS_Inventory_v0.1.xlsx</x:v>
      </x:c>
      <x:c r="B91" s="66" t="str">
        <x:v>TSS</x:v>
      </x:c>
      <x:c r="C91" s="66" t="str">
        <x:v>TSS-085</x:v>
      </x:c>
      <x:c r="D91" s="66" t="str">
        <x:v>TSS-0085</x:v>
      </x:c>
      <x:c r="E91" s="66" t="str">
        <x:v>Retained in v0.2</x:v>
      </x:c>
    </x:row>
    <x:row r="92" ht="36" customHeight="1">
      <x:c r="A92" s="66" t="str">
        <x:v>Global_VTS_Inventory_v0.1.xlsx</x:v>
      </x:c>
      <x:c r="B92" s="66" t="str">
        <x:v>TSS</x:v>
      </x:c>
      <x:c r="C92" s="66" t="str">
        <x:v>TSS-086</x:v>
      </x:c>
      <x:c r="D92" s="66" t="str">
        <x:v>TSS-0086</x:v>
      </x:c>
      <x:c r="E92" s="66" t="str">
        <x:v>Retained in v0.2</x:v>
      </x:c>
    </x:row>
    <x:row r="93" ht="36" customHeight="1">
      <x:c r="A93" s="66" t="str">
        <x:v>Global_VTS_Inventory_v0.1.xlsx</x:v>
      </x:c>
      <x:c r="B93" s="66" t="str">
        <x:v>TSS</x:v>
      </x:c>
      <x:c r="C93" s="66" t="str">
        <x:v>TSS-087</x:v>
      </x:c>
      <x:c r="D93" s="66" t="str">
        <x:v>TSS-0087</x:v>
      </x:c>
      <x:c r="E93" s="66" t="str">
        <x:v>Retained in v0.2</x:v>
      </x:c>
    </x:row>
    <x:row r="94" ht="36" customHeight="1">
      <x:c r="A94" s="66" t="str">
        <x:v>Global_VTS_Inventory_v0.1.xlsx</x:v>
      </x:c>
      <x:c r="B94" s="66" t="str">
        <x:v>TSS</x:v>
      </x:c>
      <x:c r="C94" s="66" t="str">
        <x:v>TSS-088</x:v>
      </x:c>
      <x:c r="D94" s="66" t="str">
        <x:v>TSS-0088</x:v>
      </x:c>
      <x:c r="E94" s="66" t="str">
        <x:v>Retained in v0.2</x:v>
      </x:c>
    </x:row>
    <x:row r="95" ht="36" customHeight="1">
      <x:c r="A95" s="66" t="str">
        <x:v>Global_VTS_Inventory_v0.1.xlsx</x:v>
      </x:c>
      <x:c r="B95" s="66" t="str">
        <x:v>TSS</x:v>
      </x:c>
      <x:c r="C95" s="66" t="str">
        <x:v>TSS-089</x:v>
      </x:c>
      <x:c r="D95" s="66" t="str">
        <x:v>TSS-0089</x:v>
      </x:c>
      <x:c r="E95" s="66" t="str">
        <x:v>Retained in v0.2</x:v>
      </x:c>
    </x:row>
    <x:row r="96" ht="36" customHeight="1">
      <x:c r="A96" s="66" t="str">
        <x:v>Global_VTS_Inventory_v0.1.xlsx</x:v>
      </x:c>
      <x:c r="B96" s="66" t="str">
        <x:v>TSS</x:v>
      </x:c>
      <x:c r="C96" s="66" t="str">
        <x:v>TSS-090</x:v>
      </x:c>
      <x:c r="D96" s="66" t="str">
        <x:v>TSS-0090</x:v>
      </x:c>
      <x:c r="E96" s="66" t="str">
        <x:v>Retained in v0.2</x:v>
      </x:c>
    </x:row>
    <x:row r="97" ht="36" customHeight="1">
      <x:c r="A97" s="66" t="str">
        <x:v>Global_VTS_Inventory_v0.1.xlsx</x:v>
      </x:c>
      <x:c r="B97" s="66" t="str">
        <x:v>TSS</x:v>
      </x:c>
      <x:c r="C97" s="66" t="str">
        <x:v>TSS-091</x:v>
      </x:c>
      <x:c r="D97" s="66" t="str">
        <x:v>TSS-0091</x:v>
      </x:c>
      <x:c r="E97" s="66" t="str">
        <x:v>Retained in v0.2</x:v>
      </x:c>
    </x:row>
    <x:row r="98" ht="36" customHeight="1">
      <x:c r="A98" s="66" t="str">
        <x:v>Global_VTS_Inventory_v0.1.xlsx</x:v>
      </x:c>
      <x:c r="B98" s="66" t="str">
        <x:v>TSS</x:v>
      </x:c>
      <x:c r="C98" s="66" t="str">
        <x:v>TSS-092</x:v>
      </x:c>
      <x:c r="D98" s="66" t="str">
        <x:v>TSS-0092</x:v>
      </x:c>
      <x:c r="E98" s="66" t="str">
        <x:v>Retained in v0.2</x:v>
      </x:c>
    </x:row>
    <x:row r="99" ht="36" customHeight="1">
      <x:c r="A99" s="66" t="str">
        <x:v>Global_VTS_Inventory_v0.1.xlsx</x:v>
      </x:c>
      <x:c r="B99" s="66" t="str">
        <x:v>TSS</x:v>
      </x:c>
      <x:c r="C99" s="66" t="str">
        <x:v>TSS-093</x:v>
      </x:c>
      <x:c r="D99" s="66" t="str">
        <x:v>TSS-0093</x:v>
      </x:c>
      <x:c r="E99" s="66" t="str">
        <x:v>Retained in v0.2</x:v>
      </x:c>
    </x:row>
    <x:row r="100" ht="36" customHeight="1">
      <x:c r="A100" s="66" t="str">
        <x:v>Global_VTS_Inventory_v0.1.xlsx</x:v>
      </x:c>
      <x:c r="B100" s="66" t="str">
        <x:v>TSS</x:v>
      </x:c>
      <x:c r="C100" s="66" t="str">
        <x:v>TSS-094</x:v>
      </x:c>
      <x:c r="D100" s="66" t="str">
        <x:v>TSS-0094</x:v>
      </x:c>
      <x:c r="E100" s="66" t="str">
        <x:v>Retained in v0.2</x:v>
      </x:c>
    </x:row>
    <x:row r="101" ht="36" customHeight="1">
      <x:c r="A101" s="66" t="str">
        <x:v>Global_VTS_Inventory_v0.1.xlsx</x:v>
      </x:c>
      <x:c r="B101" s="66" t="str">
        <x:v>TSS</x:v>
      </x:c>
      <x:c r="C101" s="66" t="str">
        <x:v>TSS-095</x:v>
      </x:c>
      <x:c r="D101" s="66" t="str">
        <x:v>TSS-0095</x:v>
      </x:c>
      <x:c r="E101" s="66" t="str">
        <x:v>Retained in v0.2</x:v>
      </x:c>
    </x:row>
    <x:row r="102" ht="36" customHeight="1">
      <x:c r="A102" s="66" t="str">
        <x:v>Global_VTS_Inventory_v0.1.xlsx</x:v>
      </x:c>
      <x:c r="B102" s="66" t="str">
        <x:v>TSS</x:v>
      </x:c>
      <x:c r="C102" s="66" t="str">
        <x:v>TSS-096</x:v>
      </x:c>
      <x:c r="D102" s="66" t="str">
        <x:v>TSS-0096</x:v>
      </x:c>
      <x:c r="E102" s="66" t="str">
        <x:v>Retained in v0.2</x:v>
      </x:c>
    </x:row>
    <x:row r="103" ht="36" customHeight="1">
      <x:c r="A103" s="66" t="str">
        <x:v>Global_VTS_Inventory_v0.1.xlsx</x:v>
      </x:c>
      <x:c r="B103" s="66" t="str">
        <x:v>TSS</x:v>
      </x:c>
      <x:c r="C103" s="66" t="str">
        <x:v>TSS-097</x:v>
      </x:c>
      <x:c r="D103" s="66" t="str">
        <x:v>TSS-0097</x:v>
      </x:c>
      <x:c r="E103" s="66" t="str">
        <x:v>Retained in v0.2</x:v>
      </x:c>
    </x:row>
    <x:row r="104" ht="36" customHeight="1">
      <x:c r="A104" s="66" t="str">
        <x:v>Global_VTS_Inventory_v0.1.xlsx</x:v>
      </x:c>
      <x:c r="B104" s="66" t="str">
        <x:v>TSS</x:v>
      </x:c>
      <x:c r="C104" s="66" t="str">
        <x:v>TSS-098</x:v>
      </x:c>
      <x:c r="D104" s="66" t="str">
        <x:v>TSS-0098</x:v>
      </x:c>
      <x:c r="E104" s="66" t="str">
        <x:v>Retained in v0.2</x:v>
      </x:c>
    </x:row>
    <x:row r="105" ht="36" customHeight="1">
      <x:c r="A105" s="66" t="str">
        <x:v>Global_VTS_Inventory_v0.1.xlsx</x:v>
      </x:c>
      <x:c r="B105" s="66" t="str">
        <x:v>TSS</x:v>
      </x:c>
      <x:c r="C105" s="66" t="str">
        <x:v>TSS-099</x:v>
      </x:c>
      <x:c r="D105" s="66" t="str">
        <x:v>TSS-0099</x:v>
      </x:c>
      <x:c r="E105" s="66" t="str">
        <x:v>Retained in v0.2</x:v>
      </x:c>
    </x:row>
    <x:row r="106" ht="36" customHeight="1">
      <x:c r="A106" s="66" t="str">
        <x:v>Global_VTS_Inventory_v0.1.xlsx</x:v>
      </x:c>
      <x:c r="B106" s="66" t="str">
        <x:v>TSS</x:v>
      </x:c>
      <x:c r="C106" s="66" t="str">
        <x:v>TSS-100</x:v>
      </x:c>
      <x:c r="D106" s="66" t="str">
        <x:v>TSS-0100</x:v>
      </x:c>
      <x:c r="E106" s="66" t="str">
        <x:v>Retained in v0.2</x:v>
      </x:c>
    </x:row>
    <x:row r="107" ht="36" customHeight="1">
      <x:c r="A107" s="66" t="str">
        <x:v>Global_VTS_Inventory_v0.1.xlsx</x:v>
      </x:c>
      <x:c r="B107" s="66" t="str">
        <x:v>TSS</x:v>
      </x:c>
      <x:c r="C107" s="66" t="str">
        <x:v>TSS-101</x:v>
      </x:c>
      <x:c r="D107" s="66" t="str">
        <x:v>TSS-0101</x:v>
      </x:c>
      <x:c r="E107" s="66" t="str">
        <x:v>Retained in v0.2</x:v>
      </x:c>
    </x:row>
    <x:row r="108" ht="36" customHeight="1">
      <x:c r="A108" s="66" t="str">
        <x:v>Global_VTS_Inventory_v0.1.xlsx</x:v>
      </x:c>
      <x:c r="B108" s="66" t="str">
        <x:v>TSS</x:v>
      </x:c>
      <x:c r="C108" s="66" t="str">
        <x:v>TSS-102</x:v>
      </x:c>
      <x:c r="D108" s="66" t="str">
        <x:v>TSS-0102</x:v>
      </x:c>
      <x:c r="E108" s="66" t="str">
        <x:v>Retained in v0.2</x:v>
      </x:c>
    </x:row>
    <x:row r="109" ht="36" customHeight="1">
      <x:c r="A109" s="66" t="str">
        <x:v>Global_VTS_Inventory_v0.1.xlsx</x:v>
      </x:c>
      <x:c r="B109" s="66" t="str">
        <x:v>TSS</x:v>
      </x:c>
      <x:c r="C109" s="66" t="str">
        <x:v>TSS-103</x:v>
      </x:c>
      <x:c r="D109" s="66" t="str">
        <x:v>TSS-0103</x:v>
      </x:c>
      <x:c r="E109" s="66" t="str">
        <x:v>Retained in v0.2</x:v>
      </x:c>
    </x:row>
    <x:row r="110" ht="36" customHeight="1">
      <x:c r="A110" s="66" t="str">
        <x:v>Global_VTS_Inventory_v0.1.xlsx</x:v>
      </x:c>
      <x:c r="B110" s="66" t="str">
        <x:v>TSS</x:v>
      </x:c>
      <x:c r="C110" s="66" t="str">
        <x:v>TSS-104</x:v>
      </x:c>
      <x:c r="D110" s="66" t="str">
        <x:v>TSS-0104</x:v>
      </x:c>
      <x:c r="E110" s="66" t="str">
        <x:v>Retained in v0.2</x:v>
      </x:c>
    </x:row>
    <x:row r="111" ht="36" customHeight="1">
      <x:c r="A111" s="66" t="str">
        <x:v>Global_VTS_Inventory_v0.1.xlsx</x:v>
      </x:c>
      <x:c r="B111" s="66" t="str">
        <x:v>TSS</x:v>
      </x:c>
      <x:c r="C111" s="66" t="str">
        <x:v>TSS-105</x:v>
      </x:c>
      <x:c r="D111" s="66" t="str">
        <x:v>TSS-0105</x:v>
      </x:c>
      <x:c r="E111" s="66" t="str">
        <x:v>Retained in v0.2</x:v>
      </x:c>
    </x:row>
    <x:row r="112" ht="36" customHeight="1">
      <x:c r="A112" s="66" t="str">
        <x:v>Global_VTS_Inventory_v0.1.xlsx</x:v>
      </x:c>
      <x:c r="B112" s="66" t="str">
        <x:v>TSS</x:v>
      </x:c>
      <x:c r="C112" s="66" t="str">
        <x:v>TSS-106</x:v>
      </x:c>
      <x:c r="D112" s="66" t="str">
        <x:v>TSS-0106</x:v>
      </x:c>
      <x:c r="E112" s="66" t="str">
        <x:v>Retained in v0.2</x:v>
      </x:c>
    </x:row>
    <x:row r="113" ht="36" customHeight="1">
      <x:c r="A113" s="66" t="str">
        <x:v>Global_VTS_Inventory_v0.1.xlsx</x:v>
      </x:c>
      <x:c r="B113" s="66" t="str">
        <x:v>TSS</x:v>
      </x:c>
      <x:c r="C113" s="66" t="str">
        <x:v>TSS-107</x:v>
      </x:c>
      <x:c r="D113" s="66" t="str">
        <x:v>TSS-0107</x:v>
      </x:c>
      <x:c r="E113" s="66" t="str">
        <x:v>Retained in v0.2</x:v>
      </x:c>
    </x:row>
    <x:row r="114" ht="36" customHeight="1">
      <x:c r="A114" s="66" t="str">
        <x:v>Global_VTS_Inventory_v0.1.xlsx</x:v>
      </x:c>
      <x:c r="B114" s="66" t="str">
        <x:v>TSS</x:v>
      </x:c>
      <x:c r="C114" s="66" t="str">
        <x:v>TSS-108</x:v>
      </x:c>
      <x:c r="D114" s="66" t="str">
        <x:v>TSS-0108</x:v>
      </x:c>
      <x:c r="E114" s="66" t="str">
        <x:v>Retained in v0.2</x:v>
      </x:c>
    </x:row>
    <x:row r="115" ht="36" customHeight="1">
      <x:c r="A115" s="66" t="str">
        <x:v>Global_VTS_Inventory_v0.1.xlsx</x:v>
      </x:c>
      <x:c r="B115" s="66" t="str">
        <x:v>TSS</x:v>
      </x:c>
      <x:c r="C115" s="66" t="str">
        <x:v>TSS-109</x:v>
      </x:c>
      <x:c r="D115" s="66" t="str">
        <x:v>TSS-0109</x:v>
      </x:c>
      <x:c r="E115" s="66" t="str">
        <x:v>Retained in v0.2</x:v>
      </x:c>
    </x:row>
    <x:row r="116" ht="36" customHeight="1">
      <x:c r="A116" s="66" t="str">
        <x:v>Global_VTS_Inventory_v0.1.xlsx</x:v>
      </x:c>
      <x:c r="B116" s="66" t="str">
        <x:v>TSS</x:v>
      </x:c>
      <x:c r="C116" s="66" t="str">
        <x:v>TSS-110</x:v>
      </x:c>
      <x:c r="D116" s="66" t="str">
        <x:v>TSS-0110</x:v>
      </x:c>
      <x:c r="E116" s="66" t="str">
        <x:v>Retained in v0.2</x:v>
      </x:c>
    </x:row>
    <x:row r="117" ht="36" customHeight="1">
      <x:c r="A117" s="66" t="str">
        <x:v>Global_VTS_Inventory_v0.1.xlsx</x:v>
      </x:c>
      <x:c r="B117" s="66" t="str">
        <x:v>TSS</x:v>
      </x:c>
      <x:c r="C117" s="66" t="str">
        <x:v>TSS-111</x:v>
      </x:c>
      <x:c r="D117" s="66" t="str">
        <x:v>TSS-0111</x:v>
      </x:c>
      <x:c r="E117" s="66" t="str">
        <x:v>Retained in v0.2</x:v>
      </x:c>
    </x:row>
    <x:row r="118" ht="36" customHeight="1">
      <x:c r="A118" s="66" t="str">
        <x:v>Global_VTS_Inventory_v0.1.xlsx</x:v>
      </x:c>
      <x:c r="B118" s="66" t="str">
        <x:v>TSS</x:v>
      </x:c>
      <x:c r="C118" s="66" t="str">
        <x:v>TSS-112</x:v>
      </x:c>
      <x:c r="D118" s="66" t="str">
        <x:v>TSS-0112</x:v>
      </x:c>
      <x:c r="E118" s="66" t="str">
        <x:v>Retained in v0.2</x:v>
      </x:c>
    </x:row>
    <x:row r="119" ht="36" customHeight="1">
      <x:c r="A119" s="66" t="str">
        <x:v>Global_VTS_Inventory_v0.1.xlsx</x:v>
      </x:c>
      <x:c r="B119" s="66" t="str">
        <x:v>TSS</x:v>
      </x:c>
      <x:c r="C119" s="66" t="str">
        <x:v>TSS-113</x:v>
      </x:c>
      <x:c r="D119" s="66" t="str">
        <x:v>TSS-0113</x:v>
      </x:c>
      <x:c r="E119" s="66" t="str">
        <x:v>Retained in v0.2</x:v>
      </x:c>
    </x:row>
    <x:row r="120" ht="36" customHeight="1">
      <x:c r="A120" s="66" t="str">
        <x:v>Global_VTS_Inventory_v0.1.xlsx</x:v>
      </x:c>
      <x:c r="B120" s="66" t="str">
        <x:v>TSS</x:v>
      </x:c>
      <x:c r="C120" s="66" t="str">
        <x:v>TSS-114</x:v>
      </x:c>
      <x:c r="D120" s="66" t="str">
        <x:v>TSS-0114</x:v>
      </x:c>
      <x:c r="E120" s="66" t="str">
        <x:v>Retained in v0.2</x:v>
      </x:c>
    </x:row>
    <x:row r="121" ht="36" customHeight="1">
      <x:c r="A121" s="66" t="str">
        <x:v>Global_VTS_Inventory_v0.1.xlsx</x:v>
      </x:c>
      <x:c r="B121" s="66" t="str">
        <x:v>TSS</x:v>
      </x:c>
      <x:c r="C121" s="66" t="str">
        <x:v>TSS-115</x:v>
      </x:c>
      <x:c r="D121" s="66" t="str">
        <x:v>TSS-0115</x:v>
      </x:c>
      <x:c r="E121" s="66" t="str">
        <x:v>Retained in v0.2</x:v>
      </x:c>
    </x:row>
    <x:row r="122" ht="36" customHeight="1">
      <x:c r="A122" s="66" t="str">
        <x:v>Global_VTS_Inventory_v0.1.xlsx</x:v>
      </x:c>
      <x:c r="B122" s="66" t="str">
        <x:v>TSS</x:v>
      </x:c>
      <x:c r="C122" s="66" t="str">
        <x:v>TSS-116</x:v>
      </x:c>
      <x:c r="D122" s="66" t="str">
        <x:v>TSS-0116</x:v>
      </x:c>
      <x:c r="E122" s="66" t="str">
        <x:v>Retained in v0.2</x:v>
      </x:c>
    </x:row>
    <x:row r="123" ht="36" customHeight="1">
      <x:c r="A123" s="66" t="str">
        <x:v>Global_VTS_Inventory_v0.1.xlsx</x:v>
      </x:c>
      <x:c r="B123" s="66" t="str">
        <x:v>TSS</x:v>
      </x:c>
      <x:c r="C123" s="66" t="str">
        <x:v>TSS-117</x:v>
      </x:c>
      <x:c r="D123" s="66" t="str">
        <x:v>TSS-0117</x:v>
      </x:c>
      <x:c r="E123" s="66" t="str">
        <x:v>Retained in v0.2</x:v>
      </x:c>
    </x:row>
    <x:row r="124" ht="36" customHeight="1">
      <x:c r="A124" s="66" t="str">
        <x:v>Global_VTS_Inventory_v0.1.xlsx</x:v>
      </x:c>
      <x:c r="B124" s="66" t="str">
        <x:v>TSS</x:v>
      </x:c>
      <x:c r="C124" s="66" t="str">
        <x:v>TSS-118</x:v>
      </x:c>
      <x:c r="D124" s="66" t="str">
        <x:v>TSS-0118</x:v>
      </x:c>
      <x:c r="E124" s="66" t="str">
        <x:v>Retained in v0.2</x:v>
      </x:c>
    </x:row>
    <x:row r="125" ht="36" customHeight="1">
      <x:c r="A125" s="66" t="str">
        <x:v>Global_VTS_Inventory_v0.1.xlsx</x:v>
      </x:c>
      <x:c r="B125" s="66" t="str">
        <x:v>TSS</x:v>
      </x:c>
      <x:c r="C125" s="66" t="str">
        <x:v>TSS-119</x:v>
      </x:c>
      <x:c r="D125" s="66" t="str">
        <x:v>TSS-0119</x:v>
      </x:c>
      <x:c r="E125" s="66" t="str">
        <x:v>Retained in v0.2</x:v>
      </x:c>
    </x:row>
    <x:row r="126" ht="36" customHeight="1">
      <x:c r="A126" s="66" t="str">
        <x:v>Global_VTS_Inventory_v0.1.xlsx</x:v>
      </x:c>
      <x:c r="B126" s="66" t="str">
        <x:v>TSS</x:v>
      </x:c>
      <x:c r="C126" s="66" t="str">
        <x:v>TSS-120</x:v>
      </x:c>
      <x:c r="D126" s="66" t="str">
        <x:v>TSS-0120</x:v>
      </x:c>
      <x:c r="E126" s="66" t="str">
        <x:v>Retained in v0.2</x:v>
      </x:c>
    </x:row>
    <x:row r="127" ht="36" customHeight="1">
      <x:c r="A127" s="66" t="str">
        <x:v>Global_VTS_Inventory_v0.1.xlsx</x:v>
      </x:c>
      <x:c r="B127" s="66" t="str">
        <x:v>TSS</x:v>
      </x:c>
      <x:c r="C127" s="66" t="str">
        <x:v>TSS-121</x:v>
      </x:c>
      <x:c r="D127" s="66" t="str">
        <x:v>TSS-0121</x:v>
      </x:c>
      <x:c r="E127" s="66" t="str">
        <x:v>Retained in v0.2</x:v>
      </x:c>
    </x:row>
    <x:row r="128" ht="36" customHeight="1">
      <x:c r="A128" s="66" t="str">
        <x:v>Global_VTS_Inventory_v0.1.xlsx</x:v>
      </x:c>
      <x:c r="B128" s="66" t="str">
        <x:v>TSS</x:v>
      </x:c>
      <x:c r="C128" s="66" t="str">
        <x:v>TSS-122</x:v>
      </x:c>
      <x:c r="D128" s="66" t="str">
        <x:v>TSS-0122</x:v>
      </x:c>
      <x:c r="E128" s="66" t="str">
        <x:v>Retained in v0.2</x:v>
      </x:c>
    </x:row>
    <x:row r="129" ht="36" customHeight="1">
      <x:c r="A129" s="66" t="str">
        <x:v>Global_VTS_Inventory_v0.1.xlsx</x:v>
      </x:c>
      <x:c r="B129" s="66" t="str">
        <x:v>TSS</x:v>
      </x:c>
      <x:c r="C129" s="66" t="str">
        <x:v>TSS-123</x:v>
      </x:c>
      <x:c r="D129" s="66" t="str">
        <x:v>TSS-0123</x:v>
      </x:c>
      <x:c r="E129" s="66" t="str">
        <x:v>Retained in v0.2</x:v>
      </x:c>
    </x:row>
    <x:row r="130" ht="36" customHeight="1">
      <x:c r="A130" s="66" t="str">
        <x:v>Global_VTS_Inventory_v0.1.xlsx</x:v>
      </x:c>
      <x:c r="B130" s="66" t="str">
        <x:v>TSS</x:v>
      </x:c>
      <x:c r="C130" s="66" t="str">
        <x:v>TSS-124</x:v>
      </x:c>
      <x:c r="D130" s="66" t="str">
        <x:v>TSS-0124</x:v>
      </x:c>
      <x:c r="E130" s="66" t="str">
        <x:v>Retained in v0.2</x:v>
      </x:c>
    </x:row>
    <x:row r="131" ht="36" customHeight="1">
      <x:c r="A131" s="66" t="str">
        <x:v>Global_VTS_Inventory_v0.1.xlsx</x:v>
      </x:c>
      <x:c r="B131" s="66" t="str">
        <x:v>TSS</x:v>
      </x:c>
      <x:c r="C131" s="66" t="str">
        <x:v>TSS-125</x:v>
      </x:c>
      <x:c r="D131" s="66" t="str">
        <x:v>TSS-0125</x:v>
      </x:c>
      <x:c r="E131" s="66" t="str">
        <x:v>Retained in v0.2</x:v>
      </x:c>
    </x:row>
    <x:row r="132" ht="36" customHeight="1">
      <x:c r="A132" s="66" t="str">
        <x:v>Global_VTS_Inventory_v0.1.xlsx</x:v>
      </x:c>
      <x:c r="B132" s="66" t="str">
        <x:v>TSS</x:v>
      </x:c>
      <x:c r="C132" s="66" t="str">
        <x:v>TSS-126</x:v>
      </x:c>
      <x:c r="D132" s="66" t="str">
        <x:v>TSS-0126</x:v>
      </x:c>
      <x:c r="E132" s="66" t="str">
        <x:v>Retained in v0.2</x:v>
      </x:c>
    </x:row>
    <x:row r="133" ht="36" customHeight="1">
      <x:c r="A133" s="66" t="str">
        <x:v>Global_VTS_Inventory_v0.1.xlsx</x:v>
      </x:c>
      <x:c r="B133" s="66" t="str">
        <x:v>TSS</x:v>
      </x:c>
      <x:c r="C133" s="66" t="str">
        <x:v>TSS-127</x:v>
      </x:c>
      <x:c r="D133" s="66" t="str">
        <x:v>TSS-0127</x:v>
      </x:c>
      <x:c r="E133" s="66" t="str">
        <x:v>Retained in v0.2</x:v>
      </x:c>
    </x:row>
    <x:row r="134" ht="36" customHeight="1">
      <x:c r="A134" s="66" t="str">
        <x:v>Global_VTS_Inventory_v0.1.xlsx</x:v>
      </x:c>
      <x:c r="B134" s="66" t="str">
        <x:v>TSS</x:v>
      </x:c>
      <x:c r="C134" s="66" t="str">
        <x:v>TSS-128</x:v>
      </x:c>
      <x:c r="D134" s="66" t="str">
        <x:v>TSS-0128</x:v>
      </x:c>
      <x:c r="E134" s="66" t="str">
        <x:v>Retained in v0.2</x:v>
      </x:c>
    </x:row>
    <x:row r="135" ht="36" customHeight="1">
      <x:c r="A135" s="66" t="str">
        <x:v>Global_VTS_Inventory_v0.1.xlsx</x:v>
      </x:c>
      <x:c r="B135" s="66" t="str">
        <x:v>TSS</x:v>
      </x:c>
      <x:c r="C135" s="66" t="str">
        <x:v>TSS-129</x:v>
      </x:c>
      <x:c r="D135" s="66" t="str">
        <x:v>TSS-0129</x:v>
      </x:c>
      <x:c r="E135" s="66" t="str">
        <x:v>Retained in v0.2</x:v>
      </x:c>
    </x:row>
    <x:row r="136" ht="36" customHeight="1">
      <x:c r="A136" s="66" t="str">
        <x:v>Global_VTS_Inventory_v0.1.xlsx</x:v>
      </x:c>
      <x:c r="B136" s="66" t="str">
        <x:v>TSS</x:v>
      </x:c>
      <x:c r="C136" s="66" t="str">
        <x:v>TSS-130</x:v>
      </x:c>
      <x:c r="D136" s="66" t="str">
        <x:v>TSS-0130</x:v>
      </x:c>
      <x:c r="E136" s="66" t="str">
        <x:v>Retained in v0.2</x:v>
      </x:c>
    </x:row>
    <x:row r="137" ht="36" customHeight="1">
      <x:c r="A137" s="66" t="str">
        <x:v>Global_VTS_Inventory_v0.1.xlsx</x:v>
      </x:c>
      <x:c r="B137" s="66" t="str">
        <x:v>TSS</x:v>
      </x:c>
      <x:c r="C137" s="66" t="str">
        <x:v>TSS-131</x:v>
      </x:c>
      <x:c r="D137" s="66" t="str">
        <x:v>TSS-0131</x:v>
      </x:c>
      <x:c r="E137" s="66" t="str">
        <x:v>Retained in v0.2</x:v>
      </x:c>
    </x:row>
    <x:row r="138" ht="36" customHeight="1">
      <x:c r="A138" s="66" t="str">
        <x:v>Global_VTS_Inventory_v0.1.xlsx</x:v>
      </x:c>
      <x:c r="B138" s="66" t="str">
        <x:v>TSS</x:v>
      </x:c>
      <x:c r="C138" s="66" t="str">
        <x:v>TSS-132</x:v>
      </x:c>
      <x:c r="D138" s="66" t="str">
        <x:v>TSS-0132</x:v>
      </x:c>
      <x:c r="E138" s="66" t="str">
        <x:v>Retained in v0.2</x:v>
      </x:c>
    </x:row>
    <x:row r="139" ht="36" customHeight="1">
      <x:c r="A139" s="66" t="str">
        <x:v>Global_VTS_Inventory_v0.1.xlsx</x:v>
      </x:c>
      <x:c r="B139" s="66" t="str">
        <x:v>TSS</x:v>
      </x:c>
      <x:c r="C139" s="66" t="str">
        <x:v>TSS-133</x:v>
      </x:c>
      <x:c r="D139" s="66" t="str">
        <x:v>TSS-0133</x:v>
      </x:c>
      <x:c r="E139" s="66" t="str">
        <x:v>Retained in v0.2</x:v>
      </x:c>
    </x:row>
    <x:row r="140" ht="36" customHeight="1">
      <x:c r="A140" s="66" t="str">
        <x:v>Global_VTS_Inventory_v0.1.xlsx</x:v>
      </x:c>
      <x:c r="B140" s="66" t="str">
        <x:v>TSS</x:v>
      </x:c>
      <x:c r="C140" s="66" t="str">
        <x:v>TSS-134</x:v>
      </x:c>
      <x:c r="D140" s="66" t="str">
        <x:v>TSS-0134</x:v>
      </x:c>
      <x:c r="E140" s="66" t="str">
        <x:v>Retained in v0.2</x:v>
      </x:c>
    </x:row>
    <x:row r="141" ht="36" customHeight="1">
      <x:c r="A141" s="66" t="str">
        <x:v>Global_VTS_Inventory_v0.1.xlsx</x:v>
      </x:c>
      <x:c r="B141" s="66" t="str">
        <x:v>TSS</x:v>
      </x:c>
      <x:c r="C141" s="66" t="str">
        <x:v>TSS-135</x:v>
      </x:c>
      <x:c r="D141" s="66" t="str">
        <x:v>TSS-0135</x:v>
      </x:c>
      <x:c r="E141" s="66" t="str">
        <x:v>Retained in v0.2</x:v>
      </x:c>
    </x:row>
    <x:row r="142" ht="36" customHeight="1">
      <x:c r="A142" s="66" t="str">
        <x:v>Global_VTS_Inventory_v0.1.xlsx</x:v>
      </x:c>
      <x:c r="B142" s="66" t="str">
        <x:v>TSS</x:v>
      </x:c>
      <x:c r="C142" s="66" t="str">
        <x:v>TSS-136</x:v>
      </x:c>
      <x:c r="D142" s="66" t="str">
        <x:v>TSS-0136</x:v>
      </x:c>
      <x:c r="E142" s="66" t="str">
        <x:v>Retained in v0.2</x:v>
      </x:c>
    </x:row>
    <x:row r="143" ht="36" customHeight="1">
      <x:c r="A143" s="66" t="str">
        <x:v>Global_VTS_Inventory_v0.1.xlsx</x:v>
      </x:c>
      <x:c r="B143" s="66" t="str">
        <x:v>TSS</x:v>
      </x:c>
      <x:c r="C143" s="66" t="str">
        <x:v>TSS-137</x:v>
      </x:c>
      <x:c r="D143" s="66" t="str">
        <x:v>TSS-0137</x:v>
      </x:c>
      <x:c r="E143" s="66" t="str">
        <x:v>Retained in v0.2</x:v>
      </x:c>
    </x:row>
    <x:row r="144" ht="36" customHeight="1">
      <x:c r="A144" s="66" t="str">
        <x:v>Global_VTS_Inventory_v0.1.xlsx</x:v>
      </x:c>
      <x:c r="B144" s="66" t="str">
        <x:v>TSS</x:v>
      </x:c>
      <x:c r="C144" s="66" t="str">
        <x:v>TSS-138</x:v>
      </x:c>
      <x:c r="D144" s="66" t="str">
        <x:v>TSS-0138</x:v>
      </x:c>
      <x:c r="E144" s="66" t="str">
        <x:v>Retained in v0.2</x:v>
      </x:c>
    </x:row>
    <x:row r="145" ht="36" customHeight="1">
      <x:c r="A145" s="66" t="str">
        <x:v>Global_VTS_Inventory_v0.1.xlsx</x:v>
      </x:c>
      <x:c r="B145" s="66" t="str">
        <x:v>TSS</x:v>
      </x:c>
      <x:c r="C145" s="66" t="str">
        <x:v>TSS-139</x:v>
      </x:c>
      <x:c r="D145" s="66" t="str">
        <x:v>TSS-0139</x:v>
      </x:c>
      <x:c r="E145" s="66" t="str">
        <x:v>Retained in v0.2</x:v>
      </x:c>
    </x:row>
    <x:row r="146" ht="36" customHeight="1">
      <x:c r="A146" s="66" t="str">
        <x:v>Global_VTS_Inventory_v0.1.xlsx</x:v>
      </x:c>
      <x:c r="B146" s="66" t="str">
        <x:v>TSS</x:v>
      </x:c>
      <x:c r="C146" s="66" t="str">
        <x:v>TSS-140</x:v>
      </x:c>
      <x:c r="D146" s="66" t="str">
        <x:v>TSS-0140</x:v>
      </x:c>
      <x:c r="E146" s="66" t="str">
        <x:v>Retained in v0.2</x:v>
      </x:c>
    </x:row>
    <x:row r="147" ht="36" customHeight="1">
      <x:c r="A147" s="66" t="str">
        <x:v>Global_VTS_Inventory_v0.1.xlsx</x:v>
      </x:c>
      <x:c r="B147" s="66" t="str">
        <x:v>TSS</x:v>
      </x:c>
      <x:c r="C147" s="66" t="str">
        <x:v>TSS-141</x:v>
      </x:c>
      <x:c r="D147" s="66" t="str">
        <x:v>TSS-0141</x:v>
      </x:c>
      <x:c r="E147" s="66" t="str">
        <x:v>Retained in v0.2</x:v>
      </x:c>
    </x:row>
    <x:row r="148" ht="36" customHeight="1">
      <x:c r="A148" s="66" t="str">
        <x:v>Global_VTS_Inventory_v0.1.xlsx</x:v>
      </x:c>
      <x:c r="B148" s="66" t="str">
        <x:v>TSS</x:v>
      </x:c>
      <x:c r="C148" s="66" t="str">
        <x:v>TSS-142</x:v>
      </x:c>
      <x:c r="D148" s="66" t="str">
        <x:v>TSS-0142</x:v>
      </x:c>
      <x:c r="E148" s="66" t="str">
        <x:v>Retained in v0.2</x:v>
      </x:c>
    </x:row>
    <x:row r="149" ht="36" customHeight="1">
      <x:c r="A149" s="66" t="str">
        <x:v>Global_VTS_Inventory_v0.1.xlsx</x:v>
      </x:c>
      <x:c r="B149" s="66" t="str">
        <x:v>TSS</x:v>
      </x:c>
      <x:c r="C149" s="66" t="str">
        <x:v>TSS-143</x:v>
      </x:c>
      <x:c r="D149" s="66" t="str">
        <x:v>TSS-0143</x:v>
      </x:c>
      <x:c r="E149" s="66" t="str">
        <x:v>Retained in v0.2</x:v>
      </x:c>
    </x:row>
    <x:row r="150" ht="36" customHeight="1">
      <x:c r="A150" s="66" t="str">
        <x:v>Global_VTS_Inventory_v0.1.xlsx</x:v>
      </x:c>
      <x:c r="B150" s="66" t="str">
        <x:v>TSS</x:v>
      </x:c>
      <x:c r="C150" s="66" t="str">
        <x:v>TSS-144</x:v>
      </x:c>
      <x:c r="D150" s="66" t="str">
        <x:v>TSS-0144</x:v>
      </x:c>
      <x:c r="E150" s="66" t="str">
        <x:v>Retained in v0.2</x:v>
      </x:c>
    </x:row>
    <x:row r="151" ht="36" customHeight="1">
      <x:c r="A151" s="66" t="str">
        <x:v>Global_VTS_Inventory_v0.1.xlsx</x:v>
      </x:c>
      <x:c r="B151" s="66" t="str">
        <x:v>TSS</x:v>
      </x:c>
      <x:c r="C151" s="66" t="str">
        <x:v>TSS-145</x:v>
      </x:c>
      <x:c r="D151" s="66" t="str">
        <x:v>TSS-0145</x:v>
      </x:c>
      <x:c r="E151" s="66" t="str">
        <x:v>Retained in v0.2</x:v>
      </x:c>
    </x:row>
    <x:row r="152" ht="36" customHeight="1">
      <x:c r="A152" s="66" t="str">
        <x:v>Global_VTS_Inventory_v0.1.xlsx</x:v>
      </x:c>
      <x:c r="B152" s="66" t="str">
        <x:v>TSS</x:v>
      </x:c>
      <x:c r="C152" s="66" t="str">
        <x:v>TSS-146</x:v>
      </x:c>
      <x:c r="D152" s="66" t="str">
        <x:v>TSS-0146</x:v>
      </x:c>
      <x:c r="E152" s="66" t="str">
        <x:v>Retained in v0.2</x:v>
      </x:c>
    </x:row>
    <x:row r="153" ht="36" customHeight="1">
      <x:c r="A153" s="66" t="str">
        <x:v>Global_VTS_Inventory_v0.1.xlsx</x:v>
      </x:c>
      <x:c r="B153" s="66" t="str">
        <x:v>TSS</x:v>
      </x:c>
      <x:c r="C153" s="66" t="str">
        <x:v>TSS-147</x:v>
      </x:c>
      <x:c r="D153" s="66" t="str">
        <x:v>TSS-0147</x:v>
      </x:c>
      <x:c r="E153" s="66" t="str">
        <x:v>Retained in v0.2</x:v>
      </x:c>
    </x:row>
    <x:row r="154" ht="36" customHeight="1">
      <x:c r="A154" s="66" t="str">
        <x:v>Global_VTS_Inventory_v0.1.xlsx</x:v>
      </x:c>
      <x:c r="B154" s="66" t="str">
        <x:v>TSS</x:v>
      </x:c>
      <x:c r="C154" s="66" t="str">
        <x:v>TSS-148</x:v>
      </x:c>
      <x:c r="D154" s="66" t="str">
        <x:v>TSS-0148</x:v>
      </x:c>
      <x:c r="E154" s="66" t="str">
        <x:v>Retained in v0.2</x:v>
      </x:c>
    </x:row>
    <x:row r="155" ht="36" customHeight="1">
      <x:c r="A155" s="66" t="str">
        <x:v>Global_VTS_Inventory_v0.1.xlsx</x:v>
      </x:c>
      <x:c r="B155" s="66" t="str">
        <x:v>TSS</x:v>
      </x:c>
      <x:c r="C155" s="66" t="str">
        <x:v>TSS-149</x:v>
      </x:c>
      <x:c r="D155" s="66" t="str">
        <x:v>TSS-0149</x:v>
      </x:c>
      <x:c r="E155" s="66" t="str">
        <x:v>Retained in v0.2</x:v>
      </x:c>
    </x:row>
    <x:row r="156" ht="36" customHeight="1">
      <x:c r="A156" s="66" t="str">
        <x:v>Global_VTS_Inventory_v0.1.xlsx</x:v>
      </x:c>
      <x:c r="B156" s="66" t="str">
        <x:v>TSS</x:v>
      </x:c>
      <x:c r="C156" s="66" t="str">
        <x:v>TSS-150</x:v>
      </x:c>
      <x:c r="D156" s="66" t="str">
        <x:v>TSS-0150</x:v>
      </x:c>
      <x:c r="E156" s="66" t="str">
        <x:v>Retained in v0.2</x:v>
      </x:c>
    </x:row>
    <x:row r="157" ht="36" customHeight="1">
      <x:c r="A157" s="66" t="str">
        <x:v>Global_VTS_Inventory_v0.1.xlsx</x:v>
      </x:c>
      <x:c r="B157" s="66" t="str">
        <x:v>TSS</x:v>
      </x:c>
      <x:c r="C157" s="66" t="str">
        <x:v>TSS-151</x:v>
      </x:c>
      <x:c r="D157" s="66" t="str">
        <x:v>TSS-0151</x:v>
      </x:c>
      <x:c r="E157" s="66" t="str">
        <x:v>Retained in v0.2</x:v>
      </x:c>
    </x:row>
    <x:row r="158" ht="36" customHeight="1">
      <x:c r="A158" s="66" t="str">
        <x:v>Global_VTS_Inventory_v0.1.xlsx</x:v>
      </x:c>
      <x:c r="B158" s="66" t="str">
        <x:v>TSS</x:v>
      </x:c>
      <x:c r="C158" s="66" t="str">
        <x:v>TSS-152</x:v>
      </x:c>
      <x:c r="D158" s="66" t="str">
        <x:v>TSS-0152</x:v>
      </x:c>
      <x:c r="E158" s="66" t="str">
        <x:v>Retained in v0.2</x:v>
      </x:c>
    </x:row>
    <x:row r="159" ht="36" customHeight="1">
      <x:c r="A159" s="66" t="str">
        <x:v>Global_VTS_Inventory_v0.1.xlsx</x:v>
      </x:c>
      <x:c r="B159" s="66" t="str">
        <x:v>TSS</x:v>
      </x:c>
      <x:c r="C159" s="66" t="str">
        <x:v>TSS-153</x:v>
      </x:c>
      <x:c r="D159" s="66" t="str">
        <x:v>TSS-0153</x:v>
      </x:c>
      <x:c r="E159" s="66" t="str">
        <x:v>Retained in v0.2</x:v>
      </x:c>
    </x:row>
    <x:row r="160" ht="36" customHeight="1">
      <x:c r="A160" s="66" t="str">
        <x:v>Global_VTS_Inventory_v0.1.xlsx</x:v>
      </x:c>
      <x:c r="B160" s="66" t="str">
        <x:v>TSS</x:v>
      </x:c>
      <x:c r="C160" s="66" t="str">
        <x:v>TSS-154</x:v>
      </x:c>
      <x:c r="D160" s="66" t="str">
        <x:v>TSS-0154</x:v>
      </x:c>
      <x:c r="E160" s="66" t="str">
        <x:v>Retained in v0.2</x:v>
      </x:c>
    </x:row>
    <x:row r="161" ht="36" customHeight="1">
      <x:c r="A161" s="66" t="str">
        <x:v>Global_VTS_Inventory_v0.1.xlsx</x:v>
      </x:c>
      <x:c r="B161" s="66" t="str">
        <x:v>TSS</x:v>
      </x:c>
      <x:c r="C161" s="66" t="str">
        <x:v>TSS-155</x:v>
      </x:c>
      <x:c r="D161" s="66" t="str">
        <x:v>TSS-0155</x:v>
      </x:c>
      <x:c r="E161" s="66" t="str">
        <x:v>Retained in v0.2</x:v>
      </x:c>
    </x:row>
    <x:row r="162" ht="36" customHeight="1">
      <x:c r="A162" s="66" t="str">
        <x:v>Global_VTS_Inventory_v0.1.xlsx</x:v>
      </x:c>
      <x:c r="B162" s="66" t="str">
        <x:v>TSS</x:v>
      </x:c>
      <x:c r="C162" s="66" t="str">
        <x:v>TSS-156</x:v>
      </x:c>
      <x:c r="D162" s="66" t="str">
        <x:v>TSS-0156</x:v>
      </x:c>
      <x:c r="E162" s="66" t="str">
        <x:v>Retained in v0.2</x:v>
      </x:c>
    </x:row>
    <x:row r="163" ht="36" customHeight="1">
      <x:c r="A163" s="66" t="str">
        <x:v>Global_VTS_Inventory_v0.1.xlsx</x:v>
      </x:c>
      <x:c r="B163" s="66" t="str">
        <x:v>TSS</x:v>
      </x:c>
      <x:c r="C163" s="66" t="str">
        <x:v>TSS-157</x:v>
      </x:c>
      <x:c r="D163" s="66" t="str">
        <x:v>TSS-0157</x:v>
      </x:c>
      <x:c r="E163" s="66" t="str">
        <x:v>Retained in v0.2</x:v>
      </x:c>
    </x:row>
    <x:row r="164" ht="36" customHeight="1">
      <x:c r="A164" s="66" t="str">
        <x:v>Global_VTS_Inventory_v0.1.xlsx</x:v>
      </x:c>
      <x:c r="B164" s="66" t="str">
        <x:v>TSS</x:v>
      </x:c>
      <x:c r="C164" s="66" t="str">
        <x:v>TSS-158</x:v>
      </x:c>
      <x:c r="D164" s="66" t="str">
        <x:v>TSS-0158</x:v>
      </x:c>
      <x:c r="E164" s="66" t="str">
        <x:v>Retained in v0.2</x:v>
      </x:c>
    </x:row>
    <x:row r="165" ht="36" customHeight="1">
      <x:c r="A165" s="66" t="str">
        <x:v>Global_VTS_Inventory_v0.1.xlsx</x:v>
      </x:c>
      <x:c r="B165" s="66" t="str">
        <x:v>TSS</x:v>
      </x:c>
      <x:c r="C165" s="66" t="str">
        <x:v>TSS-159</x:v>
      </x:c>
      <x:c r="D165" s="66" t="str">
        <x:v>TSS-0159</x:v>
      </x:c>
      <x:c r="E165" s="66" t="str">
        <x:v>Retained in v0.2</x:v>
      </x:c>
    </x:row>
    <x:row r="166" ht="36" customHeight="1">
      <x:c r="A166" s="66" t="str">
        <x:v>Global_VTS_Inventory_v0.1.xlsx</x:v>
      </x:c>
      <x:c r="B166" s="66" t="str">
        <x:v>TSS</x:v>
      </x:c>
      <x:c r="C166" s="66" t="str">
        <x:v>TSS-160</x:v>
      </x:c>
      <x:c r="D166" s="66" t="str">
        <x:v>TSS-0160</x:v>
      </x:c>
      <x:c r="E166" s="66" t="str">
        <x:v>Retained in v0.2</x:v>
      </x:c>
    </x:row>
    <x:row r="167" ht="36" customHeight="1">
      <x:c r="A167" s="66" t="str">
        <x:v>Global_VTS_Inventory_v0.1.xlsx</x:v>
      </x:c>
      <x:c r="B167" s="66" t="str">
        <x:v>TSS</x:v>
      </x:c>
      <x:c r="C167" s="66" t="str">
        <x:v>TSS-161</x:v>
      </x:c>
      <x:c r="D167" s="66" t="str">
        <x:v>TSS-0161</x:v>
      </x:c>
      <x:c r="E167" s="66" t="str">
        <x:v>Retained in v0.2</x:v>
      </x:c>
    </x:row>
    <x:row r="168" ht="36" customHeight="1">
      <x:c r="A168" s="66" t="str">
        <x:v>Global_VTS_Inventory_v0.1.xlsx</x:v>
      </x:c>
      <x:c r="B168" s="66" t="str">
        <x:v>TSS</x:v>
      </x:c>
      <x:c r="C168" s="66" t="str">
        <x:v>TSS-162</x:v>
      </x:c>
      <x:c r="D168" s="66" t="str">
        <x:v>TSS-0162</x:v>
      </x:c>
      <x:c r="E168" s="66" t="str">
        <x:v>Retained in v0.2</x:v>
      </x:c>
    </x:row>
    <x:row r="169" ht="36" customHeight="1">
      <x:c r="A169" s="66" t="str">
        <x:v>Global_VTS_Inventory_v0.1.xlsx</x:v>
      </x:c>
      <x:c r="B169" s="66" t="str">
        <x:v>TSS</x:v>
      </x:c>
      <x:c r="C169" s="66" t="str">
        <x:v>TSS-163</x:v>
      </x:c>
      <x:c r="D169" s="66" t="str">
        <x:v>TSS-0163</x:v>
      </x:c>
      <x:c r="E169" s="66" t="str">
        <x:v>Retained in v0.2</x:v>
      </x:c>
    </x:row>
    <x:row r="170" ht="36" customHeight="1">
      <x:c r="A170" s="66" t="str">
        <x:v>Global_VTS_Inventory_v0.1.xlsx</x:v>
      </x:c>
      <x:c r="B170" s="66" t="str">
        <x:v>TSS</x:v>
      </x:c>
      <x:c r="C170" s="66" t="str">
        <x:v>TSS-164</x:v>
      </x:c>
      <x:c r="D170" s="66" t="str">
        <x:v>TSS-0164</x:v>
      </x:c>
      <x:c r="E170" s="66" t="str">
        <x:v>Retained in v0.2</x:v>
      </x:c>
    </x:row>
    <x:row r="171" ht="36" customHeight="1">
      <x:c r="A171" s="66" t="str">
        <x:v>Global_VTS_Inventory_v0.1.xlsx</x:v>
      </x:c>
      <x:c r="B171" s="66" t="str">
        <x:v>TSS</x:v>
      </x:c>
      <x:c r="C171" s="66" t="str">
        <x:v>TSS-165</x:v>
      </x:c>
      <x:c r="D171" s="66" t="str">
        <x:v>TSS-0165</x:v>
      </x:c>
      <x:c r="E171" s="66" t="str">
        <x:v>Retained in v0.2</x:v>
      </x:c>
    </x:row>
    <x:row r="172" ht="36" customHeight="1">
      <x:c r="A172" s="66" t="str">
        <x:v>Global_VTS_Inventory_v0.1.xlsx</x:v>
      </x:c>
      <x:c r="B172" s="66" t="str">
        <x:v>TSS</x:v>
      </x:c>
      <x:c r="C172" s="66" t="str">
        <x:v>TSS-166</x:v>
      </x:c>
      <x:c r="D172" s="66" t="str">
        <x:v>TSS-0166</x:v>
      </x:c>
      <x:c r="E172" s="66" t="str">
        <x:v>Retained in v0.2</x:v>
      </x:c>
    </x:row>
    <x:row r="173" ht="36" customHeight="1">
      <x:c r="A173" s="66" t="str">
        <x:v>Global_VTS_Inventory_v0.1.xlsx</x:v>
      </x:c>
      <x:c r="B173" s="66" t="str">
        <x:v>TSS</x:v>
      </x:c>
      <x:c r="C173" s="66" t="str">
        <x:v>TSS-167</x:v>
      </x:c>
      <x:c r="D173" s="66" t="str">
        <x:v>TSS-0167</x:v>
      </x:c>
      <x:c r="E173" s="66" t="str">
        <x:v>Retained in v0.2</x:v>
      </x:c>
    </x:row>
    <x:row r="174" ht="36" customHeight="1">
      <x:c r="A174" s="66" t="str">
        <x:v>Global_VTS_Inventory_v0.1.xlsx</x:v>
      </x:c>
      <x:c r="B174" s="66" t="str">
        <x:v>TSS</x:v>
      </x:c>
      <x:c r="C174" s="66" t="str">
        <x:v>TSS-168</x:v>
      </x:c>
      <x:c r="D174" s="66" t="str">
        <x:v>TSS-0168</x:v>
      </x:c>
      <x:c r="E174" s="66" t="str">
        <x:v>Retained in v0.2</x:v>
      </x:c>
    </x:row>
    <x:row r="175" ht="36" customHeight="1">
      <x:c r="A175" s="66" t="str">
        <x:v>Global_VTS_Inventory_v0.1.xlsx</x:v>
      </x:c>
      <x:c r="B175" s="66" t="str">
        <x:v>TSS</x:v>
      </x:c>
      <x:c r="C175" s="66" t="str">
        <x:v>TSS-169</x:v>
      </x:c>
      <x:c r="D175" s="66" t="str">
        <x:v>TSS-0169</x:v>
      </x:c>
      <x:c r="E175" s="66" t="str">
        <x:v>Retained in v0.2</x:v>
      </x:c>
    </x:row>
    <x:row r="176" ht="36" customHeight="1">
      <x:c r="A176" s="66" t="str">
        <x:v>Global_VTS_Inventory_v0.1.xlsx</x:v>
      </x:c>
      <x:c r="B176" s="66" t="str">
        <x:v>TSS</x:v>
      </x:c>
      <x:c r="C176" s="66" t="str">
        <x:v>TSS-170</x:v>
      </x:c>
      <x:c r="D176" s="66" t="str">
        <x:v>TSS-0170</x:v>
      </x:c>
      <x:c r="E176" s="66" t="str">
        <x:v>Retained in v0.2</x:v>
      </x:c>
    </x:row>
    <x:row r="177" ht="36" customHeight="1">
      <x:c r="A177" s="66" t="str">
        <x:v>Global_VTS_Inventory_v0.1.xlsx</x:v>
      </x:c>
      <x:c r="B177" s="66" t="str">
        <x:v>VTS service</x:v>
      </x:c>
      <x:c r="C177" s="66" t="str">
        <x:v>VTS-001</x:v>
      </x:c>
      <x:c r="D177" s="66" t="str">
        <x:v>VTS-001</x:v>
      </x:c>
      <x:c r="E177" s="66" t="str">
        <x:v>Retained in v0.2</x:v>
      </x:c>
    </x:row>
    <x:row r="178" ht="36" customHeight="1">
      <x:c r="A178" s="66" t="str">
        <x:v>Global_VTS_Inventory_v0.1.xlsx</x:v>
      </x:c>
      <x:c r="B178" s="66" t="str">
        <x:v>VTS service</x:v>
      </x:c>
      <x:c r="C178" s="66" t="str">
        <x:v>VTS-002</x:v>
      </x:c>
      <x:c r="D178" s="66" t="str">
        <x:v>VTS-002</x:v>
      </x:c>
      <x:c r="E178" s="66" t="str">
        <x:v>Retained in v0.2</x:v>
      </x:c>
    </x:row>
    <x:row r="179" ht="36" customHeight="1">
      <x:c r="A179" s="66" t="str">
        <x:v>Global_VTS_Inventory_v0.1.xlsx</x:v>
      </x:c>
      <x:c r="B179" s="66" t="str">
        <x:v>VTS service</x:v>
      </x:c>
      <x:c r="C179" s="66" t="str">
        <x:v>VTS-003</x:v>
      </x:c>
      <x:c r="D179" s="66" t="str">
        <x:v>VTS-003</x:v>
      </x:c>
      <x:c r="E179" s="66" t="str">
        <x:v>Retained in v0.2</x:v>
      </x:c>
    </x:row>
    <x:row r="180" ht="36" customHeight="1">
      <x:c r="A180" s="66" t="str">
        <x:v>Global_VTS_Inventory_v0.1.xlsx</x:v>
      </x:c>
      <x:c r="B180" s="66" t="str">
        <x:v>VTS service</x:v>
      </x:c>
      <x:c r="C180" s="66" t="str">
        <x:v>VTS-004</x:v>
      </x:c>
      <x:c r="D180" s="66" t="str">
        <x:v>VTS-004</x:v>
      </x:c>
      <x:c r="E180" s="66" t="str">
        <x:v>Retained in v0.2</x:v>
      </x:c>
    </x:row>
    <x:row r="181" ht="36" customHeight="1">
      <x:c r="A181" s="66" t="str">
        <x:v>Global_VTS_Inventory_v0.1.xlsx</x:v>
      </x:c>
      <x:c r="B181" s="66" t="str">
        <x:v>VTS service</x:v>
      </x:c>
      <x:c r="C181" s="66" t="str">
        <x:v>VTS-005</x:v>
      </x:c>
      <x:c r="D181" s="66" t="str">
        <x:v>VTS-005</x:v>
      </x:c>
      <x:c r="E181" s="66" t="str">
        <x:v>Retained in v0.2</x:v>
      </x:c>
    </x:row>
    <x:row r="182" ht="36" customHeight="1">
      <x:c r="A182" s="66" t="str">
        <x:v>Global_VTS_Inventory_v0.1.xlsx</x:v>
      </x:c>
      <x:c r="B182" s="66" t="str">
        <x:v>VTS service</x:v>
      </x:c>
      <x:c r="C182" s="66" t="str">
        <x:v>VTS-006</x:v>
      </x:c>
      <x:c r="D182" s="66" t="str">
        <x:v>VTS-006</x:v>
      </x:c>
      <x:c r="E182" s="66" t="str">
        <x:v>Retained in v0.2</x:v>
      </x:c>
    </x:row>
    <x:row r="183" ht="36" customHeight="1">
      <x:c r="A183" s="66" t="str">
        <x:v>Global_VTS_Inventory_v0.1.xlsx</x:v>
      </x:c>
      <x:c r="B183" s="66" t="str">
        <x:v>VTS service</x:v>
      </x:c>
      <x:c r="C183" s="66" t="str">
        <x:v>VTS-007</x:v>
      </x:c>
      <x:c r="D183" s="66" t="str">
        <x:v>VTS-007</x:v>
      </x:c>
      <x:c r="E183" s="66" t="str">
        <x:v>Retained in v0.2</x:v>
      </x:c>
    </x:row>
    <x:row r="184" ht="36" customHeight="1">
      <x:c r="A184" s="66" t="str">
        <x:v>Global_VTS_Inventory_v0.1.xlsx</x:v>
      </x:c>
      <x:c r="B184" s="66" t="str">
        <x:v>VTS service</x:v>
      </x:c>
      <x:c r="C184" s="66" t="str">
        <x:v>VTS-008</x:v>
      </x:c>
      <x:c r="D184" s="66" t="str">
        <x:v>VTS-008</x:v>
      </x:c>
      <x:c r="E184" s="66" t="str">
        <x:v>Retained in v0.2</x:v>
      </x:c>
    </x:row>
    <x:row r="185" ht="36" customHeight="1">
      <x:c r="A185" s="66" t="str">
        <x:v>Global_VTS_Inventory_v0.1.xlsx</x:v>
      </x:c>
      <x:c r="B185" s="66" t="str">
        <x:v>VTS service</x:v>
      </x:c>
      <x:c r="C185" s="66" t="str">
        <x:v>VTS-009</x:v>
      </x:c>
      <x:c r="D185" s="66" t="str">
        <x:v>VTS-009</x:v>
      </x:c>
      <x:c r="E185" s="66" t="str">
        <x:v>Retained in v0.2</x:v>
      </x:c>
    </x:row>
    <x:row r="186" ht="36" customHeight="1">
      <x:c r="A186" s="66" t="str">
        <x:v>Global_VTS_Inventory_v0.1.xlsx</x:v>
      </x:c>
      <x:c r="B186" s="66" t="str">
        <x:v>VTS service</x:v>
      </x:c>
      <x:c r="C186" s="66" t="str">
        <x:v>VTS-010</x:v>
      </x:c>
      <x:c r="D186" s="66" t="str">
        <x:v>VTS-010</x:v>
      </x:c>
      <x:c r="E186" s="66" t="str">
        <x:v>Retained in v0.2</x:v>
      </x:c>
    </x:row>
    <x:row r="187" ht="36" customHeight="1">
      <x:c r="A187" s="66" t="str">
        <x:v>Global_VTS_Inventory_v0.1.xlsx</x:v>
      </x:c>
      <x:c r="B187" s="66" t="str">
        <x:v>VTS service</x:v>
      </x:c>
      <x:c r="C187" s="66" t="str">
        <x:v>VTS-011</x:v>
      </x:c>
      <x:c r="D187" s="66" t="str">
        <x:v>VTS-011</x:v>
      </x:c>
      <x:c r="E187" s="66" t="str">
        <x:v>Retained in v0.2</x:v>
      </x:c>
    </x:row>
    <x:row r="188" ht="36" customHeight="1">
      <x:c r="A188" s="66" t="str">
        <x:v>Global_VTS_Inventory_v0.1.xlsx</x:v>
      </x:c>
      <x:c r="B188" s="66" t="str">
        <x:v>VTS service</x:v>
      </x:c>
      <x:c r="C188" s="66" t="str">
        <x:v>VTS-012</x:v>
      </x:c>
      <x:c r="D188" s="66" t="str">
        <x:v>VTS-012</x:v>
      </x:c>
      <x:c r="E188" s="66" t="str">
        <x:v>Retained in v0.2</x:v>
      </x:c>
    </x:row>
    <x:row r="189" ht="36" customHeight="1">
      <x:c r="A189" s="66" t="str">
        <x:v>Global_VTS_Inventory_v0.1.xlsx</x:v>
      </x:c>
      <x:c r="B189" s="66" t="str">
        <x:v>VTS service</x:v>
      </x:c>
      <x:c r="C189" s="66" t="str">
        <x:v>VTS-013</x:v>
      </x:c>
      <x:c r="D189" s="66" t="str">
        <x:v>VTS-013</x:v>
      </x:c>
      <x:c r="E189" s="66" t="str">
        <x:v>Retained in v0.2</x:v>
      </x:c>
    </x:row>
    <x:row r="190" ht="36" customHeight="1">
      <x:c r="A190" s="66" t="str">
        <x:v>Global_VTS_Inventory_v0.1.xlsx</x:v>
      </x:c>
      <x:c r="B190" s="66" t="str">
        <x:v>VTS service</x:v>
      </x:c>
      <x:c r="C190" s="66" t="str">
        <x:v>VTS-014</x:v>
      </x:c>
      <x:c r="D190" s="66" t="str">
        <x:v>VTS-014</x:v>
      </x:c>
      <x:c r="E190" s="66" t="str">
        <x:v>Retained in v0.2</x:v>
      </x:c>
    </x:row>
    <x:row r="191" ht="36" customHeight="1">
      <x:c r="A191" s="66" t="str">
        <x:v>Global_VTS_Inventory_v0.1.xlsx</x:v>
      </x:c>
      <x:c r="B191" s="66" t="str">
        <x:v>Reporting scheme</x:v>
      </x:c>
      <x:c r="C191" s="66" t="str">
        <x:v>RPT-001</x:v>
      </x:c>
      <x:c r="D191" s="66" t="str">
        <x:v>SRS-001</x:v>
      </x:c>
      <x:c r="E191" s="66" t="str">
        <x:v>Retained in v0.2</x:v>
      </x:c>
    </x:row>
    <x:row r="192" ht="36" customHeight="1">
      <x:c r="A192" s="66" t="str">
        <x:v>Global_VTS_Inventory_v0.1.xlsx</x:v>
      </x:c>
      <x:c r="B192" s="66" t="str">
        <x:v>Reporting scheme</x:v>
      </x:c>
      <x:c r="C192" s="66" t="str">
        <x:v>RPT-002</x:v>
      </x:c>
      <x:c r="D192" s="66" t="str">
        <x:v>SRS-002</x:v>
      </x:c>
      <x:c r="E192" s="66" t="str">
        <x:v>Retained in v0.2</x:v>
      </x:c>
    </x:row>
    <x:row r="193" ht="36" customHeight="1">
      <x:c r="A193" s="66" t="str">
        <x:v>Global_VTS_Inventory_v0.1.xlsx</x:v>
      </x:c>
      <x:c r="B193" s="66" t="str">
        <x:v>Reporting scheme</x:v>
      </x:c>
      <x:c r="C193" s="66" t="str">
        <x:v>RPT-003</x:v>
      </x:c>
      <x:c r="D193" s="66" t="str">
        <x:v>SRS-003</x:v>
      </x:c>
      <x:c r="E193" s="66" t="str">
        <x:v>Retained in v0.2</x:v>
      </x:c>
    </x:row>
    <x:row r="194" ht="36" customHeight="1">
      <x:c r="A194" s="66" t="str">
        <x:v>Global_VTS_Inventory_v0.1.xlsx</x:v>
      </x:c>
      <x:c r="B194" s="66" t="str">
        <x:v>Reporting scheme</x:v>
      </x:c>
      <x:c r="C194" s="66" t="str">
        <x:v>RPT-004</x:v>
      </x:c>
      <x:c r="D194" s="66" t="str">
        <x:v>SRS-004</x:v>
      </x:c>
      <x:c r="E194" s="66" t="str">
        <x:v>Retained in v0.2</x:v>
      </x:c>
    </x:row>
    <x:row r="195" ht="36" customHeight="1">
      <x:c r="A195" s="66" t="str">
        <x:v>Global_VTS_Inventory_v0.1.xlsx</x:v>
      </x:c>
      <x:c r="B195" s="66" t="str">
        <x:v>Reporting scheme</x:v>
      </x:c>
      <x:c r="C195" s="66" t="str">
        <x:v>RPT-005</x:v>
      </x:c>
      <x:c r="D195" s="66" t="str">
        <x:v>SRS-005</x:v>
      </x:c>
      <x:c r="E195" s="66" t="str">
        <x:v>Retained in v0.2</x:v>
      </x:c>
    </x:row>
    <x:row r="196" ht="36" customHeight="1">
      <x:c r="A196" s="66" t="str">
        <x:v>Global_VTS_Inventory_v0.1.xlsx</x:v>
      </x:c>
      <x:c r="B196" s="66" t="str">
        <x:v>Reporting scheme</x:v>
      </x:c>
      <x:c r="C196" s="66" t="str">
        <x:v>RPT-006</x:v>
      </x:c>
      <x:c r="D196" s="66" t="str">
        <x:v>SRS-006</x:v>
      </x:c>
      <x:c r="E196" s="66" t="str">
        <x:v>Retained in v0.2</x:v>
      </x:c>
    </x:row>
    <x:row r="197" ht="36" customHeight="1">
      <x:c r="A197" s="66" t="str">
        <x:v>Global_VTS_Inventory_v0.1.xlsx</x:v>
      </x:c>
      <x:c r="B197" s="66" t="str">
        <x:v>Reporting scheme</x:v>
      </x:c>
      <x:c r="C197" s="66" t="str">
        <x:v>RPT-007</x:v>
      </x:c>
      <x:c r="D197" s="66" t="str">
        <x:v>SRS-007</x:v>
      </x:c>
      <x:c r="E197" s="66" t="str">
        <x:v>Retained in v0.2</x:v>
      </x:c>
    </x:row>
    <x:row r="198" ht="36" customHeight="1">
      <x:c r="A198" s="66" t="str">
        <x:v>Global_VTS_Inventory_v0.1.xlsx</x:v>
      </x:c>
      <x:c r="B198" s="66" t="str">
        <x:v>Reporting scheme</x:v>
      </x:c>
      <x:c r="C198" s="66" t="str">
        <x:v>RPT-008</x:v>
      </x:c>
      <x:c r="D198" s="66" t="str">
        <x:v>SRS-008</x:v>
      </x:c>
      <x:c r="E198" s="66" t="str">
        <x:v>Retained in v0.2</x:v>
      </x:c>
    </x:row>
    <x:row r="199" ht="36" customHeight="1">
      <x:c r="A199" s="66" t="str">
        <x:v>Global_VTS_Inventory_v0.1.xlsx</x:v>
      </x:c>
      <x:c r="B199" s="66" t="str">
        <x:v>Source</x:v>
      </x:c>
      <x:c r="C199" s="66" t="str">
        <x:v>S01</x:v>
      </x:c>
      <x:c r="D199" s="66" t="str">
        <x:v>SRC-002</x:v>
      </x:c>
      <x:c r="E199" s="66" t="str">
        <x:v>Retained in v0.2</x:v>
      </x:c>
    </x:row>
    <x:row r="200" ht="36" customHeight="1">
      <x:c r="A200" s="66" t="str">
        <x:v>Global_VTS_Inventory_v0.1.xlsx</x:v>
      </x:c>
      <x:c r="B200" s="66" t="str">
        <x:v>Source</x:v>
      </x:c>
      <x:c r="C200" s="66" t="str">
        <x:v>S02</x:v>
      </x:c>
      <x:c r="D200" s="66" t="str">
        <x:v>SRC-001</x:v>
      </x:c>
      <x:c r="E200" s="66" t="str">
        <x:v>Retained in v0.2</x:v>
      </x:c>
    </x:row>
    <x:row r="201" ht="36" customHeight="1">
      <x:c r="A201" s="66" t="str">
        <x:v>Global_VTS_Inventory_v0.1.xlsx</x:v>
      </x:c>
      <x:c r="B201" s="66" t="str">
        <x:v>Source</x:v>
      </x:c>
      <x:c r="C201" s="66" t="str">
        <x:v>S03</x:v>
      </x:c>
      <x:c r="D201" s="66" t="str">
        <x:v>SRC-003</x:v>
      </x:c>
      <x:c r="E201" s="66" t="str">
        <x:v>Retained in v0.2</x:v>
      </x:c>
    </x:row>
    <x:row r="202" ht="36" customHeight="1">
      <x:c r="A202" s="66" t="str">
        <x:v>Global_VTS_Inventory_v0.1.xlsx</x:v>
      </x:c>
      <x:c r="B202" s="66" t="str">
        <x:v>Source</x:v>
      </x:c>
      <x:c r="C202" s="66" t="str">
        <x:v>S04</x:v>
      </x:c>
      <x:c r="D202" s="66" t="str">
        <x:v>SRC-005</x:v>
      </x:c>
      <x:c r="E202" s="66" t="str">
        <x:v>Retained in v0.2</x:v>
      </x:c>
    </x:row>
    <x:row r="203" ht="36" customHeight="1">
      <x:c r="A203" s="66" t="str">
        <x:v>Global_VTS_Inventory_v0.1.xlsx</x:v>
      </x:c>
      <x:c r="B203" s="66" t="str">
        <x:v>Source</x:v>
      </x:c>
      <x:c r="C203" s="66" t="str">
        <x:v>S05</x:v>
      </x:c>
      <x:c r="D203" s="66" t="str">
        <x:v>SRC-008</x:v>
      </x:c>
      <x:c r="E203" s="66" t="str">
        <x:v>Retained in v0.2</x:v>
      </x:c>
    </x:row>
    <x:row r="204" ht="36" customHeight="1">
      <x:c r="A204" s="66" t="str">
        <x:v>Global_VTS_Inventory_v0.1.xlsx</x:v>
      </x:c>
      <x:c r="B204" s="66" t="str">
        <x:v>Source</x:v>
      </x:c>
      <x:c r="C204" s="66" t="str">
        <x:v>S06</x:v>
      </x:c>
      <x:c r="D204" s="66" t="str">
        <x:v>SRC-016</x:v>
      </x:c>
      <x:c r="E204" s="66" t="str">
        <x:v>Retained in v0.2</x:v>
      </x:c>
    </x:row>
    <x:row r="205" ht="36" customHeight="1">
      <x:c r="A205" s="66" t="str">
        <x:v>Global_VTS_Inventory_v0.1.xlsx</x:v>
      </x:c>
      <x:c r="B205" s="66" t="str">
        <x:v>Source</x:v>
      </x:c>
      <x:c r="C205" s="66" t="str">
        <x:v>S07</x:v>
      </x:c>
      <x:c r="D205" s="66" t="str">
        <x:v>SRC-010</x:v>
      </x:c>
      <x:c r="E205" s="66" t="str">
        <x:v>Retained in v0.2</x:v>
      </x:c>
    </x:row>
    <x:row r="206" ht="36" customHeight="1">
      <x:c r="A206" s="66" t="str">
        <x:v>Global_VTS_Inventory_v0.1.xlsx</x:v>
      </x:c>
      <x:c r="B206" s="66" t="str">
        <x:v>Source</x:v>
      </x:c>
      <x:c r="C206" s="66" t="str">
        <x:v>S08</x:v>
      </x:c>
      <x:c r="D206" s="66" t="str">
        <x:v>SRC-006</x:v>
      </x:c>
      <x:c r="E206" s="66" t="str">
        <x:v>Retained in v0.2</x:v>
      </x:c>
    </x:row>
    <x:row r="207" ht="36" customHeight="1">
      <x:c r="A207" s="66" t="str">
        <x:v>Global_VTS_Inventory_v0.1.xlsx</x:v>
      </x:c>
      <x:c r="B207" s="66" t="str">
        <x:v>Source</x:v>
      </x:c>
      <x:c r="C207" s="66" t="str">
        <x:v>S09</x:v>
      </x:c>
      <x:c r="D207" s="66" t="str">
        <x:v>SRC-007</x:v>
      </x:c>
      <x:c r="E207" s="66" t="str">
        <x:v>Retained in v0.2</x:v>
      </x:c>
    </x:row>
    <x:row r="208" ht="36" customHeight="1">
      <x:c r="A208" s="66" t="str">
        <x:v>Global_VTS_Inventory_v0.1.xlsx</x:v>
      </x:c>
      <x:c r="B208" s="66" t="str">
        <x:v>Source</x:v>
      </x:c>
      <x:c r="C208" s="66" t="str">
        <x:v>S10</x:v>
      </x:c>
      <x:c r="D208" s="66" t="str">
        <x:v>SRC-018</x:v>
      </x:c>
      <x:c r="E208" s="66" t="str">
        <x:v>Retained in v0.2</x:v>
      </x:c>
    </x:row>
    <x:row r="209" ht="36" customHeight="1">
      <x:c r="A209" s="66" t="str">
        <x:v>Global_VTS_Inventory_v0.1.xlsx</x:v>
      </x:c>
      <x:c r="B209" s="66" t="str">
        <x:v>Source</x:v>
      </x:c>
      <x:c r="C209" s="66" t="str">
        <x:v>S11</x:v>
      </x:c>
      <x:c r="D209" s="66" t="str">
        <x:v>SRC-017</x:v>
      </x:c>
      <x:c r="E209" s="66" t="str">
        <x:v>Retained in v0.2</x:v>
      </x:c>
    </x:row>
    <x:row r="210" ht="36" customHeight="1">
      <x:c r="A210" s="66" t="str">
        <x:v>Global_VTS_Inventory_v0.1.xlsx</x:v>
      </x:c>
      <x:c r="B210" s="66" t="str">
        <x:v>Source</x:v>
      </x:c>
      <x:c r="C210" s="66" t="str">
        <x:v>S12</x:v>
      </x:c>
      <x:c r="D210" s="66" t="str">
        <x:v>SRC-022</x:v>
      </x:c>
      <x:c r="E210" s="66" t="str">
        <x:v>Preserved; source locator not reverified</x:v>
      </x:c>
    </x:row>
    <x:row r="211" ht="36" customHeight="1">
      <x:c r="A211" s="66" t="str">
        <x:v>Global_VTS_Inventory_v0.1.xlsx</x:v>
      </x:c>
      <x:c r="B211" s="66" t="str">
        <x:v>Source</x:v>
      </x:c>
      <x:c r="C211" s="66" t="str">
        <x:v>S13</x:v>
      </x:c>
      <x:c r="D211" s="66" t="str">
        <x:v>SRC-023</x:v>
      </x:c>
      <x:c r="E211" s="66" t="str">
        <x:v>Preserved; source locator not reverified</x:v>
      </x:c>
    </x:row>
    <x:row r="212">
      <x:c r="A212" s="68"/>
      <x:c r="B212" s="68"/>
      <x:c r="C212" s="68"/>
      <x:c r="D212" s="68"/>
      <x:c r="E212" s="68"/>
    </x:row>
  </x:sheetData>
  <x:mergeCells>
    <x:mergeCell ref="A1:E2"/>
    <x:mergeCell ref="A3:E4"/>
  </x:mergeCells>
  <x:pageMargins left="0.7" right="0.7" top="0.75" bottom="0.75" header="0.3" footer="0.3"/>
  <x:tableParts count="1">
    <x:tablePart xmlns:r="http://schemas.openxmlformats.org/officeDocument/2006/relationships" r:id="R0c77149ced48492f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44" hidden="0" customWidth="1"/>
    <x:col min="7" max="7" width="19" hidden="0" customWidth="1"/>
    <x:col min="8" max="8" width="36" hidden="0" customWidth="1"/>
    <x:col min="9" max="9" width="21" hidden="0" customWidth="1"/>
    <x:col min="10" max="10" width="46" hidden="0" customWidth="1"/>
    <x:col min="11" max="11" width="48" hidden="0" customWidth="1"/>
  </x:cols>
  <x:sheetData>
    <x:row r="1">
      <x:c r="A1" s="76" t="str">
        <x:v>GLOBAL VTS | LEGACY LINK AUDIT</x:v>
      </x:c>
      <x:c r="B1" s="76"/>
      <x:c r="C1" s="76"/>
      <x:c r="D1" s="76"/>
      <x:c r="E1" s="76"/>
      <x:c r="F1" s="76"/>
      <x:c r="G1" s="76"/>
      <x:c r="H1" s="76"/>
      <x:c r="I1" s="68"/>
      <x:c r="J1" s="68"/>
      <x:c r="K1" s="68"/>
    </x:row>
    <x:row r="2">
      <x:c r="A2" s="76"/>
      <x:c r="B2" s="76"/>
      <x:c r="C2" s="76"/>
      <x:c r="D2" s="76"/>
      <x:c r="E2" s="76"/>
      <x:c r="F2" s="76"/>
      <x:c r="G2" s="76"/>
      <x:c r="H2" s="76"/>
      <x:c r="I2" s="68"/>
      <x:c r="J2" s="68"/>
      <x:c r="K2" s="68"/>
    </x:row>
    <x:row r="3">
      <x:c r="A3" s="79" t="str">
        <x:v>v0.2 | All 65 earlier relationships retained with a reconciliation outcome. Archived links are not confirmed coverage.</x:v>
      </x:c>
      <x:c r="B3" s="79"/>
      <x:c r="C3" s="79"/>
      <x:c r="D3" s="79"/>
      <x:c r="E3" s="79"/>
      <x:c r="F3" s="79"/>
      <x:c r="G3" s="79"/>
      <x:c r="H3" s="79"/>
      <x:c r="I3" s="68"/>
      <x:c r="J3" s="68"/>
      <x:c r="K3" s="68"/>
    </x:row>
    <x:row r="4">
      <x:c r="A4" s="79"/>
      <x:c r="B4" s="79"/>
      <x:c r="C4" s="79"/>
      <x:c r="D4" s="79"/>
      <x:c r="E4" s="79"/>
      <x:c r="F4" s="79"/>
      <x:c r="G4" s="79"/>
      <x:c r="H4" s="79"/>
      <x:c r="I4" s="68"/>
      <x:c r="J4" s="68"/>
      <x:c r="K4" s="68"/>
    </x:row>
    <x:row r="5">
      <x:c r="A5" s="68"/>
      <x:c r="B5" s="68"/>
      <x:c r="C5" s="68"/>
      <x:c r="D5" s="68"/>
      <x:c r="E5" s="68"/>
      <x:c r="F5" s="68"/>
      <x:c r="G5" s="68"/>
      <x:c r="H5" s="68"/>
      <x:c r="I5" s="68"/>
      <x:c r="J5" s="68"/>
      <x:c r="K5" s="68"/>
    </x:row>
    <x:row r="6" ht="34" customHeight="1">
      <x:c r="A6" s="65" t="str">
        <x:v>Legacy link ID</x:v>
      </x:c>
      <x:c r="B6" s="65" t="str">
        <x:v>Original from</x:v>
      </x:c>
      <x:c r="C6" s="65" t="str">
        <x:v>Original to</x:v>
      </x:c>
      <x:c r="D6" s="65" t="str">
        <x:v>Canonical from</x:v>
      </x:c>
      <x:c r="E6" s="65" t="str">
        <x:v>Canonical to</x:v>
      </x:c>
      <x:c r="F6" s="65" t="str">
        <x:v>Disposition</x:v>
      </x:c>
      <x:c r="G6" s="65" t="str">
        <x:v>Current link ID</x:v>
      </x:c>
      <x:c r="H6" s="65" t="str">
        <x:v>Current evidence status</x:v>
      </x:c>
      <x:c r="I6" s="65" t="str">
        <x:v>Legacy source IDs</x:v>
      </x:c>
      <x:c r="J6" s="65" t="str">
        <x:v>Legacy source URLs</x:v>
      </x:c>
      <x:c r="K6" s="65" t="str">
        <x:v>Reconciliation note</x:v>
      </x:c>
    </x:row>
    <x:row r="7" ht="106.5" customHeight="1">
      <x:c r="A7" s="66" t="str">
        <x:v>REL-001</x:v>
      </x:c>
      <x:c r="B7" s="66" t="str">
        <x:v>VTS-001</x:v>
      </x:c>
      <x:c r="C7" s="66" t="str">
        <x:v>RPT-001</x:v>
      </x:c>
      <x:c r="D7" s="66" t="str">
        <x:v>VTS-001</x:v>
      </x:c>
      <x:c r="E7" s="66" t="str">
        <x:v>SRS-001</x:v>
      </x:c>
      <x:c r="F7" s="66" t="str">
        <x:v>Retained with reviewed evidence status</x:v>
      </x:c>
      <x:c r="G7" s="66" t="str">
        <x:v>LNK-0001</x:v>
      </x:c>
      <x:c r="H7" s="66" t="str">
        <x:v>Authority-supported identity</x:v>
      </x:c>
      <x:c r="I7" s="66" t="str">
        <x:v>S04</x:v>
      </x:c>
      <x:c r="J7" s="67" t="str">
        <x:v>https://www.gov.uk/government/publications/mgn-364-mf-amendment-2-navigation-safety-traffic-separation-schemes-application-of-rule-10-and-navigation-in-the-dover-strait/mgn-364-mf-amendment-2-navigation-safety-traffic-separation-schemes-application-of-rule-10-and-navigation-in-the-dover-strait</x:v>
      </x:c>
      <x:c r="K7" s="66" t="str">
        <x:v>This relationship does not establish the boundaries of any TSS.</x:v>
      </x:c>
    </x:row>
    <x:row r="8" ht="79.5" customHeight="1">
      <x:c r="A8" s="66" t="str">
        <x:v>REL-002</x:v>
      </x:c>
      <x:c r="B8" s="66" t="str">
        <x:v>VTS-002</x:v>
      </x:c>
      <x:c r="C8" s="66" t="str">
        <x:v>RPT-002</x:v>
      </x:c>
      <x:c r="D8" s="66" t="str">
        <x:v>VTS-002</x:v>
      </x:c>
      <x:c r="E8" s="66" t="str">
        <x:v>SRS-002</x:v>
      </x:c>
      <x:c r="F8" s="66" t="str">
        <x:v>Retained with reviewed evidence status</x:v>
      </x:c>
      <x:c r="G8" s="66" t="str">
        <x:v>LNK-0002</x:v>
      </x:c>
      <x:c r="H8" s="66" t="str">
        <x:v>Authority-supported identity</x:v>
      </x:c>
      <x:c r="I8" s="66" t="str">
        <x:v>S05; S06</x:v>
      </x:c>
      <x:c r="J8" s="67" t="str">
        <x:v>https://www.forsvaret.dk/da/organisation/soevaernet/civile-opgaver/beltrep/
https://www.brs.dk/da/om-os/organisation/sikre-farvande/obligatoriske-skibsmeldesystemer-msrs-og-skibstrafiktjenester-vts/</x:v>
      </x:c>
      <x:c r="K8" s="66" t="str">
        <x:v>This relationship does not establish the boundaries of any TSS.</x:v>
      </x:c>
    </x:row>
    <x:row r="9" ht="93" customHeight="1">
      <x:c r="A9" s="66" t="str">
        <x:v>REL-003</x:v>
      </x:c>
      <x:c r="B9" s="66" t="str">
        <x:v>VTS-003</x:v>
      </x:c>
      <x:c r="C9" s="66" t="str">
        <x:v>RPT-003</x:v>
      </x:c>
      <x:c r="D9" s="66" t="str">
        <x:v>VTS-003</x:v>
      </x:c>
      <x:c r="E9" s="66" t="str">
        <x:v>SRS-003</x:v>
      </x:c>
      <x:c r="F9" s="66" t="str">
        <x:v>Retained with reviewed evidence status</x:v>
      </x:c>
      <x:c r="G9" s="66" t="str">
        <x:v>LNK-0003</x:v>
      </x:c>
      <x:c r="H9" s="66" t="str">
        <x:v>Authority-supported identity</x:v>
      </x:c>
      <x:c r="I9" s="66" t="str">
        <x:v>S06; S07</x:v>
      </x:c>
      <x:c r="J9" s="67" t="str">
        <x:v>https://www.brs.dk/da/om-os/organisation/sikre-farvande/obligatoriske-skibsmeldesystemer-msrs-og-skibstrafiktjenester-vts/
https://www.transportstyrelsen.se/sv/sjofart/sjotrafik-och-hamnar/sjotrafikrapporteringssystem-srs/</x:v>
      </x:c>
      <x:c r="K9" s="66" t="str">
        <x:v>This relationship does not establish the boundaries of any TSS.</x:v>
      </x:c>
    </x:row>
    <x:row r="10" ht="79.5" customHeight="1">
      <x:c r="A10" s="66" t="str">
        <x:v>REL-004</x:v>
      </x:c>
      <x:c r="B10" s="66" t="str">
        <x:v>VTS-004</x:v>
      </x:c>
      <x:c r="C10" s="66" t="str">
        <x:v>RPT-004</x:v>
      </x:c>
      <x:c r="D10" s="66" t="str">
        <x:v>VTS-004</x:v>
      </x:c>
      <x:c r="E10" s="66" t="str">
        <x:v>SRS-004</x:v>
      </x:c>
      <x:c r="F10" s="66" t="str">
        <x:v>Retained with reviewed evidence status</x:v>
      </x:c>
      <x:c r="G10" s="66" t="str">
        <x:v>LNK-0004</x:v>
      </x:c>
      <x:c r="H10" s="66" t="str">
        <x:v>Authority-supported identity</x:v>
      </x:c>
      <x:c r="I10" s="66" t="str">
        <x:v>S08; S09</x:v>
      </x:c>
      <x:c r="J10" s="67" t="str">
        <x:v>https://www.mpa.gov.sg/port-marine-ops/operations/vessel-traffic-information-system
https://www.mpa.gov.sg/port-marine-ops/operations/vessel-traffic-information-system/operational-areas</x:v>
      </x:c>
      <x:c r="K10" s="66" t="str">
        <x:v>This relationship does not establish the boundaries of any TSS.</x:v>
      </x:c>
    </x:row>
    <x:row r="11" ht="79.5" customHeight="1">
      <x:c r="A11" s="66" t="str">
        <x:v>REL-005</x:v>
      </x:c>
      <x:c r="B11" s="66" t="str">
        <x:v>VTS-005</x:v>
      </x:c>
      <x:c r="C11" s="66" t="str">
        <x:v>RPT-004</x:v>
      </x:c>
      <x:c r="D11" s="66" t="str">
        <x:v>VTS-005</x:v>
      </x:c>
      <x:c r="E11" s="66" t="str">
        <x:v>SRS-004</x:v>
      </x:c>
      <x:c r="F11" s="66" t="str">
        <x:v>Retained with reviewed evidence status</x:v>
      </x:c>
      <x:c r="G11" s="66" t="str">
        <x:v>LNK-0005</x:v>
      </x:c>
      <x:c r="H11" s="66" t="str">
        <x:v>Authority-supported identity</x:v>
      </x:c>
      <x:c r="I11" s="66" t="str">
        <x:v>S08; S09</x:v>
      </x:c>
      <x:c r="J11" s="67" t="str">
        <x:v>https://www.mpa.gov.sg/port-marine-ops/operations/vessel-traffic-information-system
https://www.mpa.gov.sg/port-marine-ops/operations/vessel-traffic-information-system/operational-areas</x:v>
      </x:c>
      <x:c r="K11" s="66" t="str">
        <x:v>This relationship does not establish the boundaries of any TSS.</x:v>
      </x:c>
    </x:row>
    <x:row r="12" ht="79.5" customHeight="1">
      <x:c r="A12" s="66" t="str">
        <x:v>REL-006</x:v>
      </x:c>
      <x:c r="B12" s="66" t="str">
        <x:v>VTS-006</x:v>
      </x:c>
      <x:c r="C12" s="66" t="str">
        <x:v>RPT-004</x:v>
      </x:c>
      <x:c r="D12" s="66" t="str">
        <x:v>VTS-006</x:v>
      </x:c>
      <x:c r="E12" s="66" t="str">
        <x:v>SRS-004</x:v>
      </x:c>
      <x:c r="F12" s="66" t="str">
        <x:v>Retained with reviewed evidence status</x:v>
      </x:c>
      <x:c r="G12" s="66" t="str">
        <x:v>LNK-0006</x:v>
      </x:c>
      <x:c r="H12" s="66" t="str">
        <x:v>Authority-supported identity</x:v>
      </x:c>
      <x:c r="I12" s="66" t="str">
        <x:v>S08; S09</x:v>
      </x:c>
      <x:c r="J12" s="67" t="str">
        <x:v>https://www.mpa.gov.sg/port-marine-ops/operations/vessel-traffic-information-system
https://www.mpa.gov.sg/port-marine-ops/operations/vessel-traffic-information-system/operational-areas</x:v>
      </x:c>
      <x:c r="K12" s="66" t="str">
        <x:v>This relationship does not establish the boundaries of any TSS.</x:v>
      </x:c>
    </x:row>
    <x:row r="13" ht="60" customHeight="1">
      <x:c r="A13" s="66" t="str">
        <x:v>REL-007</x:v>
      </x:c>
      <x:c r="B13" s="66" t="str">
        <x:v>VTS-007</x:v>
      </x:c>
      <x:c r="C13" s="66" t="str">
        <x:v>RPT-005</x:v>
      </x:c>
      <x:c r="D13" s="66" t="str">
        <x:v>VTS-007</x:v>
      </x:c>
      <x:c r="E13" s="66" t="str">
        <x:v>SRS-005</x:v>
      </x:c>
      <x:c r="F13" s="66" t="str">
        <x:v>Retained with reviewed evidence status</x:v>
      </x:c>
      <x:c r="G13" s="66" t="str">
        <x:v>LNK-0007</x:v>
      </x:c>
      <x:c r="H13" s="66" t="str">
        <x:v>Authority-supported identity</x:v>
      </x:c>
      <x:c r="I13" s="66" t="str">
        <x:v>S10</x:v>
      </x:c>
      <x:c r="J13" s="67" t="str">
        <x:v>https://www.msq.qld.gov.au/shipping/reefvts</x:v>
      </x:c>
      <x:c r="K13" s="66" t="str">
        <x:v>This relationship does not establish the boundaries of any TSS.</x:v>
      </x:c>
    </x:row>
    <x:row r="14" ht="60" customHeight="1">
      <x:c r="A14" s="66" t="str">
        <x:v>REL-008</x:v>
      </x:c>
      <x:c r="B14" s="66" t="str">
        <x:v>VTS-011</x:v>
      </x:c>
      <x:c r="C14" s="66" t="str">
        <x:v>RPT-008</x:v>
      </x:c>
      <x:c r="D14" s="66" t="str">
        <x:v>VTS-011</x:v>
      </x:c>
      <x:c r="E14" s="66" t="str">
        <x:v>SRS-008</x:v>
      </x:c>
      <x:c r="F14" s="66" t="str">
        <x:v>Retained with reviewed evidence status</x:v>
      </x:c>
      <x:c r="G14" s="66" t="str">
        <x:v>LNK-0040</x:v>
      </x:c>
      <x:c r="H14" s="66" t="str">
        <x:v>Authority-supported identity</x:v>
      </x:c>
      <x:c r="I14" s="66" t="str">
        <x:v>S11</x:v>
      </x:c>
      <x:c r="J14" s="67" t="str">
        <x:v>https://www.navcen.uscg.gov/vessel-traffic-services-locations</x:v>
      </x:c>
      <x:c r="K14" s="66" t="str">
        <x:v>This relationship does not establish the boundaries of any TSS.</x:v>
      </x:c>
    </x:row>
    <x:row r="15" ht="106.5" customHeight="1">
      <x:c r="A15" s="66" t="str">
        <x:v>REL-009</x:v>
      </x:c>
      <x:c r="B15" s="66" t="str">
        <x:v>TSS-005</x:v>
      </x:c>
      <x:c r="C15" s="66" t="str">
        <x:v>VTS-001</x:v>
      </x:c>
      <x:c r="D15" s="66" t="str">
        <x:v>TSS-0005</x:v>
      </x:c>
      <x:c r="E15" s="66" t="str">
        <x:v>VTS-001</x:v>
      </x:c>
      <x:c r="F15" s="66" t="str">
        <x:v>Retained with reviewed evidence status</x:v>
      </x:c>
      <x:c r="G15" s="66" t="str">
        <x:v>LNK-0008</x:v>
      </x:c>
      <x:c r="H15" s="66" t="str">
        <x:v>Authority-supported association</x:v>
      </x:c>
      <x:c r="I15" s="66" t="str">
        <x:v>S04</x:v>
      </x:c>
      <x:c r="J15" s="67" t="str">
        <x:v>https://www.gov.uk/government/publications/mgn-364-mf-amendment-2-navigation-safety-traffic-separation-schemes-application-of-rule-10-and-navigation-in-the-dover-strait/mgn-364-mf-amendment-2-navigation-safety-traffic-separation-schemes-application-of-rule-10-and-navigation-in-the-dover-strait</x:v>
      </x:c>
      <x:c r="K15" s="66" t="str">
        <x:v>Dover TSS association identified in MCA guidance.</x:v>
      </x:c>
    </x:row>
    <x:row r="16" ht="79.5" customHeight="1">
      <x:c r="A16" s="66" t="str">
        <x:v>REL-010</x:v>
      </x:c>
      <x:c r="B16" s="66" t="str">
        <x:v>TSS-038</x:v>
      </x:c>
      <x:c r="C16" s="66" t="str">
        <x:v>VTS-002</x:v>
      </x:c>
      <x:c r="D16" s="66" t="str">
        <x:v>TSS-0038</x:v>
      </x:c>
      <x:c r="E16" s="66" t="str">
        <x:v>VTS-002</x:v>
      </x:c>
      <x:c r="F16" s="66" t="str">
        <x:v>Retained with reviewed evidence status</x:v>
      </x:c>
      <x:c r="G16" s="66" t="str">
        <x:v>LNK-0026</x:v>
      </x:c>
      <x:c r="H16" s="66" t="str">
        <x:v>Authority-supported identity</x:v>
      </x:c>
      <x:c r="I16" s="66" t="str">
        <x:v>S05; S06</x:v>
      </x:c>
      <x:c r="J16" s="67" t="str">
        <x:v>https://www.forsvaret.dk/da/organisation/soevaernet/civile-opgaver/beltrep/
https://www.brs.dk/da/om-os/organisation/sikre-farvande/obligatoriske-skibsmeldesystemer-msrs-og-skibstrafiktjenester-vts/</x:v>
      </x:c>
      <x:c r="K16" s="66" t="str">
        <x:v>Search lead only. No full or partial TSS coverage has been concluded.</x:v>
      </x:c>
    </x:row>
    <x:row r="17" ht="79.5" customHeight="1">
      <x:c r="A17" s="66" t="str">
        <x:v>REL-011</x:v>
      </x:c>
      <x:c r="B17" s="66" t="str">
        <x:v>TSS-039</x:v>
      </x:c>
      <x:c r="C17" s="66" t="str">
        <x:v>VTS-002</x:v>
      </x:c>
      <x:c r="D17" s="66" t="str">
        <x:v>TSS-0039</x:v>
      </x:c>
      <x:c r="E17" s="66" t="str">
        <x:v>VTS-002</x:v>
      </x:c>
      <x:c r="F17" s="66" t="str">
        <x:v>Retained with reviewed evidence status</x:v>
      </x:c>
      <x:c r="G17" s="66" t="str">
        <x:v>LNK-0027</x:v>
      </x:c>
      <x:c r="H17" s="66" t="str">
        <x:v>Authority-supported identity</x:v>
      </x:c>
      <x:c r="I17" s="66" t="str">
        <x:v>S05; S06</x:v>
      </x:c>
      <x:c r="J17" s="67" t="str">
        <x:v>https://www.forsvaret.dk/da/organisation/soevaernet/civile-opgaver/beltrep/
https://www.brs.dk/da/om-os/organisation/sikre-farvande/obligatoriske-skibsmeldesystemer-msrs-og-skibstrafiktjenester-vts/</x:v>
      </x:c>
      <x:c r="K17" s="66" t="str">
        <x:v>Search lead only. No full or partial TSS coverage has been concluded.</x:v>
      </x:c>
    </x:row>
    <x:row r="18" ht="93" customHeight="1">
      <x:c r="A18" s="66" t="str">
        <x:v>REL-012</x:v>
      </x:c>
      <x:c r="B18" s="66" t="str">
        <x:v>TSS-040</x:v>
      </x:c>
      <x:c r="C18" s="66" t="str">
        <x:v>VTS-003</x:v>
      </x:c>
      <x:c r="D18" s="66" t="str">
        <x:v>TSS-0040</x:v>
      </x:c>
      <x:c r="E18" s="66" t="str">
        <x:v>VTS-003</x:v>
      </x:c>
      <x:c r="F18" s="66" t="str">
        <x:v>Retained with reviewed evidence status</x:v>
      </x:c>
      <x:c r="G18" s="66" t="str">
        <x:v>LNK-0028</x:v>
      </x:c>
      <x:c r="H18" s="66" t="str">
        <x:v>Authority-supported identity</x:v>
      </x:c>
      <x:c r="I18" s="66" t="str">
        <x:v>S06; S07</x:v>
      </x:c>
      <x:c r="J18" s="67" t="str">
        <x:v>https://www.brs.dk/da/om-os/organisation/sikre-farvande/obligatoriske-skibsmeldesystemer-msrs-og-skibstrafiktjenester-vts/
https://www.transportstyrelsen.se/sv/sjofart/sjotrafik-och-hamnar/sjotrafikrapporteringssystem-srs/</x:v>
      </x:c>
      <x:c r="K18" s="66" t="str">
        <x:v>Search lead only. No full or partial TSS coverage has been concluded.</x:v>
      </x:c>
    </x:row>
    <x:row r="19" ht="93" customHeight="1">
      <x:c r="A19" s="66" t="str">
        <x:v>REL-013</x:v>
      </x:c>
      <x:c r="B19" s="66" t="str">
        <x:v>TSS-041</x:v>
      </x:c>
      <x:c r="C19" s="66" t="str">
        <x:v>VTS-003</x:v>
      </x:c>
      <x:c r="D19" s="66" t="str">
        <x:v>TSS-0041</x:v>
      </x:c>
      <x:c r="E19" s="66" t="str">
        <x:v>VTS-003</x:v>
      </x:c>
      <x:c r="F19" s="66" t="str">
        <x:v>Retained with reviewed evidence status</x:v>
      </x:c>
      <x:c r="G19" s="66" t="str">
        <x:v>LNK-0029</x:v>
      </x:c>
      <x:c r="H19" s="66" t="str">
        <x:v>Authority-supported identity</x:v>
      </x:c>
      <x:c r="I19" s="66" t="str">
        <x:v>S06; S07</x:v>
      </x:c>
      <x:c r="J19" s="67" t="str">
        <x:v>https://www.brs.dk/da/om-os/organisation/sikre-farvande/obligatoriske-skibsmeldesystemer-msrs-og-skibstrafiktjenester-vts/
https://www.transportstyrelsen.se/sv/sjofart/sjotrafik-och-hamnar/sjotrafikrapporteringssystem-srs/</x:v>
      </x:c>
      <x:c r="K19" s="66" t="str">
        <x:v>Search lead only. No full or partial TSS coverage has been concluded.</x:v>
      </x:c>
    </x:row>
    <x:row r="20" ht="66" customHeight="1">
      <x:c r="A20" s="66" t="str">
        <x:v>REL-014</x:v>
      </x:c>
      <x:c r="B20" s="66" t="str">
        <x:v>TSS-107</x:v>
      </x:c>
      <x:c r="C20" s="66" t="str">
        <x:v>VTS-004</x:v>
      </x:c>
      <x:c r="D20" s="66" t="str">
        <x:v>TSS-0107</x:v>
      </x:c>
      <x:c r="E20" s="66" t="str">
        <x:v>VTS-004</x:v>
      </x:c>
      <x:c r="F20" s="66" t="str">
        <x:v>Archived: component allocation unverified</x:v>
      </x:c>
      <x:c r="G20" s="66" t="str"/>
      <x:c r="H20" s="66" t="str">
        <x:v>Not an active component-to-service link</x:v>
      </x:c>
      <x:c r="I20" s="66" t="str">
        <x:v>S09</x:v>
      </x:c>
      <x:c r="J20" s="67" t="str">
        <x:v>https://www.mpa.gov.sg/port-marine-ops/operations/vessel-traffic-information-system/operational-areas</x:v>
      </x:c>
      <x:c r="K20" s="66" t="str">
        <x:v>Original assigned each of eight TSS segments to all three STRAITREP authorities. Only parent-system and sector/service links are retained pending boundary allocation.</x:v>
      </x:c>
    </x:row>
    <x:row r="21" ht="66" customHeight="1">
      <x:c r="A21" s="66" t="str">
        <x:v>REL-015</x:v>
      </x:c>
      <x:c r="B21" s="66" t="str">
        <x:v>TSS-108</x:v>
      </x:c>
      <x:c r="C21" s="66" t="str">
        <x:v>VTS-004</x:v>
      </x:c>
      <x:c r="D21" s="66" t="str">
        <x:v>TSS-0108</x:v>
      </x:c>
      <x:c r="E21" s="66" t="str">
        <x:v>VTS-004</x:v>
      </x:c>
      <x:c r="F21" s="66" t="str">
        <x:v>Archived: component allocation unverified</x:v>
      </x:c>
      <x:c r="G21" s="66" t="str"/>
      <x:c r="H21" s="66" t="str">
        <x:v>Not an active component-to-service link</x:v>
      </x:c>
      <x:c r="I21" s="66" t="str">
        <x:v>S09</x:v>
      </x:c>
      <x:c r="J21" s="67" t="str">
        <x:v>https://www.mpa.gov.sg/port-marine-ops/operations/vessel-traffic-information-system/operational-areas</x:v>
      </x:c>
      <x:c r="K21" s="66" t="str">
        <x:v>Original assigned each of eight TSS segments to all three STRAITREP authorities. Only parent-system and sector/service links are retained pending boundary allocation.</x:v>
      </x:c>
    </x:row>
    <x:row r="22" ht="66" customHeight="1">
      <x:c r="A22" s="66" t="str">
        <x:v>REL-016</x:v>
      </x:c>
      <x:c r="B22" s="66" t="str">
        <x:v>TSS-109</x:v>
      </x:c>
      <x:c r="C22" s="66" t="str">
        <x:v>VTS-004</x:v>
      </x:c>
      <x:c r="D22" s="66" t="str">
        <x:v>TSS-0109</x:v>
      </x:c>
      <x:c r="E22" s="66" t="str">
        <x:v>VTS-004</x:v>
      </x:c>
      <x:c r="F22" s="66" t="str">
        <x:v>Archived: component allocation unverified</x:v>
      </x:c>
      <x:c r="G22" s="66" t="str"/>
      <x:c r="H22" s="66" t="str">
        <x:v>Not an active component-to-service link</x:v>
      </x:c>
      <x:c r="I22" s="66" t="str">
        <x:v>S09</x:v>
      </x:c>
      <x:c r="J22" s="67" t="str">
        <x:v>https://www.mpa.gov.sg/port-marine-ops/operations/vessel-traffic-information-system/operational-areas</x:v>
      </x:c>
      <x:c r="K22" s="66" t="str">
        <x:v>Original assigned each of eight TSS segments to all three STRAITREP authorities. Only parent-system and sector/service links are retained pending boundary allocation.</x:v>
      </x:c>
    </x:row>
    <x:row r="23" ht="66" customHeight="1">
      <x:c r="A23" s="66" t="str">
        <x:v>REL-017</x:v>
      </x:c>
      <x:c r="B23" s="66" t="str">
        <x:v>TSS-110</x:v>
      </x:c>
      <x:c r="C23" s="66" t="str">
        <x:v>VTS-004</x:v>
      </x:c>
      <x:c r="D23" s="66" t="str">
        <x:v>TSS-0110</x:v>
      </x:c>
      <x:c r="E23" s="66" t="str">
        <x:v>VTS-004</x:v>
      </x:c>
      <x:c r="F23" s="66" t="str">
        <x:v>Archived: component allocation unverified</x:v>
      </x:c>
      <x:c r="G23" s="66" t="str"/>
      <x:c r="H23" s="66" t="str">
        <x:v>Not an active component-to-service link</x:v>
      </x:c>
      <x:c r="I23" s="66" t="str">
        <x:v>S09</x:v>
      </x:c>
      <x:c r="J23" s="67" t="str">
        <x:v>https://www.mpa.gov.sg/port-marine-ops/operations/vessel-traffic-information-system/operational-areas</x:v>
      </x:c>
      <x:c r="K23" s="66" t="str">
        <x:v>Original assigned each of eight TSS segments to all three STRAITREP authorities. Only parent-system and sector/service links are retained pending boundary allocation.</x:v>
      </x:c>
    </x:row>
    <x:row r="24" ht="66" customHeight="1">
      <x:c r="A24" s="66" t="str">
        <x:v>REL-018</x:v>
      </x:c>
      <x:c r="B24" s="66" t="str">
        <x:v>TSS-111</x:v>
      </x:c>
      <x:c r="C24" s="66" t="str">
        <x:v>VTS-004</x:v>
      </x:c>
      <x:c r="D24" s="66" t="str">
        <x:v>TSS-0111</x:v>
      </x:c>
      <x:c r="E24" s="66" t="str">
        <x:v>VTS-004</x:v>
      </x:c>
      <x:c r="F24" s="66" t="str">
        <x:v>Archived: component allocation unverified</x:v>
      </x:c>
      <x:c r="G24" s="66" t="str"/>
      <x:c r="H24" s="66" t="str">
        <x:v>Not an active component-to-service link</x:v>
      </x:c>
      <x:c r="I24" s="66" t="str">
        <x:v>S09</x:v>
      </x:c>
      <x:c r="J24" s="67" t="str">
        <x:v>https://www.mpa.gov.sg/port-marine-ops/operations/vessel-traffic-information-system/operational-areas</x:v>
      </x:c>
      <x:c r="K24" s="66" t="str">
        <x:v>Original assigned each of eight TSS segments to all three STRAITREP authorities. Only parent-system and sector/service links are retained pending boundary allocation.</x:v>
      </x:c>
    </x:row>
    <x:row r="25" ht="66" customHeight="1">
      <x:c r="A25" s="66" t="str">
        <x:v>REL-019</x:v>
      </x:c>
      <x:c r="B25" s="66" t="str">
        <x:v>TSS-112</x:v>
      </x:c>
      <x:c r="C25" s="66" t="str">
        <x:v>VTS-004</x:v>
      </x:c>
      <x:c r="D25" s="66" t="str">
        <x:v>TSS-0112</x:v>
      </x:c>
      <x:c r="E25" s="66" t="str">
        <x:v>VTS-004</x:v>
      </x:c>
      <x:c r="F25" s="66" t="str">
        <x:v>Archived: component allocation unverified</x:v>
      </x:c>
      <x:c r="G25" s="66" t="str"/>
      <x:c r="H25" s="66" t="str">
        <x:v>Not an active component-to-service link</x:v>
      </x:c>
      <x:c r="I25" s="66" t="str">
        <x:v>S09</x:v>
      </x:c>
      <x:c r="J25" s="67" t="str">
        <x:v>https://www.mpa.gov.sg/port-marine-ops/operations/vessel-traffic-information-system/operational-areas</x:v>
      </x:c>
      <x:c r="K25" s="66" t="str">
        <x:v>Original assigned each of eight TSS segments to all three STRAITREP authorities. Only parent-system and sector/service links are retained pending boundary allocation.</x:v>
      </x:c>
    </x:row>
    <x:row r="26" ht="66" customHeight="1">
      <x:c r="A26" s="66" t="str">
        <x:v>REL-020</x:v>
      </x:c>
      <x:c r="B26" s="66" t="str">
        <x:v>TSS-113</x:v>
      </x:c>
      <x:c r="C26" s="66" t="str">
        <x:v>VTS-004</x:v>
      </x:c>
      <x:c r="D26" s="66" t="str">
        <x:v>TSS-0113</x:v>
      </x:c>
      <x:c r="E26" s="66" t="str">
        <x:v>VTS-004</x:v>
      </x:c>
      <x:c r="F26" s="66" t="str">
        <x:v>Archived: component allocation unverified</x:v>
      </x:c>
      <x:c r="G26" s="66" t="str"/>
      <x:c r="H26" s="66" t="str">
        <x:v>Not an active component-to-service link</x:v>
      </x:c>
      <x:c r="I26" s="66" t="str">
        <x:v>S09</x:v>
      </x:c>
      <x:c r="J26" s="67" t="str">
        <x:v>https://www.mpa.gov.sg/port-marine-ops/operations/vessel-traffic-information-system/operational-areas</x:v>
      </x:c>
      <x:c r="K26" s="66" t="str">
        <x:v>Original assigned each of eight TSS segments to all three STRAITREP authorities. Only parent-system and sector/service links are retained pending boundary allocation.</x:v>
      </x:c>
    </x:row>
    <x:row r="27" ht="66" customHeight="1">
      <x:c r="A27" s="66" t="str">
        <x:v>REL-021</x:v>
      </x:c>
      <x:c r="B27" s="66" t="str">
        <x:v>TSS-114</x:v>
      </x:c>
      <x:c r="C27" s="66" t="str">
        <x:v>VTS-004</x:v>
      </x:c>
      <x:c r="D27" s="66" t="str">
        <x:v>TSS-0114</x:v>
      </x:c>
      <x:c r="E27" s="66" t="str">
        <x:v>VTS-004</x:v>
      </x:c>
      <x:c r="F27" s="66" t="str">
        <x:v>Archived: component allocation unverified</x:v>
      </x:c>
      <x:c r="G27" s="66" t="str"/>
      <x:c r="H27" s="66" t="str">
        <x:v>Not an active component-to-service link</x:v>
      </x:c>
      <x:c r="I27" s="66" t="str">
        <x:v>S09</x:v>
      </x:c>
      <x:c r="J27" s="67" t="str">
        <x:v>https://www.mpa.gov.sg/port-marine-ops/operations/vessel-traffic-information-system/operational-areas</x:v>
      </x:c>
      <x:c r="K27" s="66" t="str">
        <x:v>Original assigned each of eight TSS segments to all three STRAITREP authorities. Only parent-system and sector/service links are retained pending boundary allocation.</x:v>
      </x:c>
    </x:row>
    <x:row r="28" ht="66" customHeight="1">
      <x:c r="A28" s="66" t="str">
        <x:v>REL-022</x:v>
      </x:c>
      <x:c r="B28" s="66" t="str">
        <x:v>TSS-107</x:v>
      </x:c>
      <x:c r="C28" s="66" t="str">
        <x:v>VTS-005</x:v>
      </x:c>
      <x:c r="D28" s="66" t="str">
        <x:v>TSS-0107</x:v>
      </x:c>
      <x:c r="E28" s="66" t="str">
        <x:v>VTS-005</x:v>
      </x:c>
      <x:c r="F28" s="66" t="str">
        <x:v>Archived: component allocation unverified</x:v>
      </x:c>
      <x:c r="G28" s="66" t="str"/>
      <x:c r="H28" s="66" t="str">
        <x:v>Not an active component-to-service link</x:v>
      </x:c>
      <x:c r="I28" s="66" t="str">
        <x:v>S09</x:v>
      </x:c>
      <x:c r="J28" s="67" t="str">
        <x:v>https://www.mpa.gov.sg/port-marine-ops/operations/vessel-traffic-information-system/operational-areas</x:v>
      </x:c>
      <x:c r="K28" s="66" t="str">
        <x:v>Original assigned each of eight TSS segments to all three STRAITREP authorities. Only parent-system and sector/service links are retained pending boundary allocation.</x:v>
      </x:c>
    </x:row>
    <x:row r="29" ht="66" customHeight="1">
      <x:c r="A29" s="66" t="str">
        <x:v>REL-023</x:v>
      </x:c>
      <x:c r="B29" s="66" t="str">
        <x:v>TSS-108</x:v>
      </x:c>
      <x:c r="C29" s="66" t="str">
        <x:v>VTS-005</x:v>
      </x:c>
      <x:c r="D29" s="66" t="str">
        <x:v>TSS-0108</x:v>
      </x:c>
      <x:c r="E29" s="66" t="str">
        <x:v>VTS-005</x:v>
      </x:c>
      <x:c r="F29" s="66" t="str">
        <x:v>Archived: component allocation unverified</x:v>
      </x:c>
      <x:c r="G29" s="66" t="str"/>
      <x:c r="H29" s="66" t="str">
        <x:v>Not an active component-to-service link</x:v>
      </x:c>
      <x:c r="I29" s="66" t="str">
        <x:v>S09</x:v>
      </x:c>
      <x:c r="J29" s="67" t="str">
        <x:v>https://www.mpa.gov.sg/port-marine-ops/operations/vessel-traffic-information-system/operational-areas</x:v>
      </x:c>
      <x:c r="K29" s="66" t="str">
        <x:v>Original assigned each of eight TSS segments to all three STRAITREP authorities. Only parent-system and sector/service links are retained pending boundary allocation.</x:v>
      </x:c>
    </x:row>
    <x:row r="30" ht="66" customHeight="1">
      <x:c r="A30" s="66" t="str">
        <x:v>REL-024</x:v>
      </x:c>
      <x:c r="B30" s="66" t="str">
        <x:v>TSS-109</x:v>
      </x:c>
      <x:c r="C30" s="66" t="str">
        <x:v>VTS-005</x:v>
      </x:c>
      <x:c r="D30" s="66" t="str">
        <x:v>TSS-0109</x:v>
      </x:c>
      <x:c r="E30" s="66" t="str">
        <x:v>VTS-005</x:v>
      </x:c>
      <x:c r="F30" s="66" t="str">
        <x:v>Archived: component allocation unverified</x:v>
      </x:c>
      <x:c r="G30" s="66" t="str"/>
      <x:c r="H30" s="66" t="str">
        <x:v>Not an active component-to-service link</x:v>
      </x:c>
      <x:c r="I30" s="66" t="str">
        <x:v>S09</x:v>
      </x:c>
      <x:c r="J30" s="67" t="str">
        <x:v>https://www.mpa.gov.sg/port-marine-ops/operations/vessel-traffic-information-system/operational-areas</x:v>
      </x:c>
      <x:c r="K30" s="66" t="str">
        <x:v>Original assigned each of eight TSS segments to all three STRAITREP authorities. Only parent-system and sector/service links are retained pending boundary allocation.</x:v>
      </x:c>
    </x:row>
    <x:row r="31" ht="66" customHeight="1">
      <x:c r="A31" s="66" t="str">
        <x:v>REL-025</x:v>
      </x:c>
      <x:c r="B31" s="66" t="str">
        <x:v>TSS-110</x:v>
      </x:c>
      <x:c r="C31" s="66" t="str">
        <x:v>VTS-005</x:v>
      </x:c>
      <x:c r="D31" s="66" t="str">
        <x:v>TSS-0110</x:v>
      </x:c>
      <x:c r="E31" s="66" t="str">
        <x:v>VTS-005</x:v>
      </x:c>
      <x:c r="F31" s="66" t="str">
        <x:v>Archived: component allocation unverified</x:v>
      </x:c>
      <x:c r="G31" s="66" t="str"/>
      <x:c r="H31" s="66" t="str">
        <x:v>Not an active component-to-service link</x:v>
      </x:c>
      <x:c r="I31" s="66" t="str">
        <x:v>S09</x:v>
      </x:c>
      <x:c r="J31" s="67" t="str">
        <x:v>https://www.mpa.gov.sg/port-marine-ops/operations/vessel-traffic-information-system/operational-areas</x:v>
      </x:c>
      <x:c r="K31" s="66" t="str">
        <x:v>Original assigned each of eight TSS segments to all three STRAITREP authorities. Only parent-system and sector/service links are retained pending boundary allocation.</x:v>
      </x:c>
    </x:row>
    <x:row r="32" ht="66" customHeight="1">
      <x:c r="A32" s="66" t="str">
        <x:v>REL-026</x:v>
      </x:c>
      <x:c r="B32" s="66" t="str">
        <x:v>TSS-111</x:v>
      </x:c>
      <x:c r="C32" s="66" t="str">
        <x:v>VTS-005</x:v>
      </x:c>
      <x:c r="D32" s="66" t="str">
        <x:v>TSS-0111</x:v>
      </x:c>
      <x:c r="E32" s="66" t="str">
        <x:v>VTS-005</x:v>
      </x:c>
      <x:c r="F32" s="66" t="str">
        <x:v>Archived: component allocation unverified</x:v>
      </x:c>
      <x:c r="G32" s="66" t="str"/>
      <x:c r="H32" s="66" t="str">
        <x:v>Not an active component-to-service link</x:v>
      </x:c>
      <x:c r="I32" s="66" t="str">
        <x:v>S09</x:v>
      </x:c>
      <x:c r="J32" s="67" t="str">
        <x:v>https://www.mpa.gov.sg/port-marine-ops/operations/vessel-traffic-information-system/operational-areas</x:v>
      </x:c>
      <x:c r="K32" s="66" t="str">
        <x:v>Original assigned each of eight TSS segments to all three STRAITREP authorities. Only parent-system and sector/service links are retained pending boundary allocation.</x:v>
      </x:c>
    </x:row>
    <x:row r="33" ht="66" customHeight="1">
      <x:c r="A33" s="66" t="str">
        <x:v>REL-027</x:v>
      </x:c>
      <x:c r="B33" s="66" t="str">
        <x:v>TSS-112</x:v>
      </x:c>
      <x:c r="C33" s="66" t="str">
        <x:v>VTS-005</x:v>
      </x:c>
      <x:c r="D33" s="66" t="str">
        <x:v>TSS-0112</x:v>
      </x:c>
      <x:c r="E33" s="66" t="str">
        <x:v>VTS-005</x:v>
      </x:c>
      <x:c r="F33" s="66" t="str">
        <x:v>Archived: component allocation unverified</x:v>
      </x:c>
      <x:c r="G33" s="66" t="str"/>
      <x:c r="H33" s="66" t="str">
        <x:v>Not an active component-to-service link</x:v>
      </x:c>
      <x:c r="I33" s="66" t="str">
        <x:v>S09</x:v>
      </x:c>
      <x:c r="J33" s="67" t="str">
        <x:v>https://www.mpa.gov.sg/port-marine-ops/operations/vessel-traffic-information-system/operational-areas</x:v>
      </x:c>
      <x:c r="K33" s="66" t="str">
        <x:v>Original assigned each of eight TSS segments to all three STRAITREP authorities. Only parent-system and sector/service links are retained pending boundary allocation.</x:v>
      </x:c>
    </x:row>
    <x:row r="34" ht="66" customHeight="1">
      <x:c r="A34" s="66" t="str">
        <x:v>REL-028</x:v>
      </x:c>
      <x:c r="B34" s="66" t="str">
        <x:v>TSS-113</x:v>
      </x:c>
      <x:c r="C34" s="66" t="str">
        <x:v>VTS-005</x:v>
      </x:c>
      <x:c r="D34" s="66" t="str">
        <x:v>TSS-0113</x:v>
      </x:c>
      <x:c r="E34" s="66" t="str">
        <x:v>VTS-005</x:v>
      </x:c>
      <x:c r="F34" s="66" t="str">
        <x:v>Archived: component allocation unverified</x:v>
      </x:c>
      <x:c r="G34" s="66" t="str"/>
      <x:c r="H34" s="66" t="str">
        <x:v>Not an active component-to-service link</x:v>
      </x:c>
      <x:c r="I34" s="66" t="str">
        <x:v>S09</x:v>
      </x:c>
      <x:c r="J34" s="67" t="str">
        <x:v>https://www.mpa.gov.sg/port-marine-ops/operations/vessel-traffic-information-system/operational-areas</x:v>
      </x:c>
      <x:c r="K34" s="66" t="str">
        <x:v>Original assigned each of eight TSS segments to all three STRAITREP authorities. Only parent-system and sector/service links are retained pending boundary allocation.</x:v>
      </x:c>
    </x:row>
    <x:row r="35" ht="66" customHeight="1">
      <x:c r="A35" s="66" t="str">
        <x:v>REL-029</x:v>
      </x:c>
      <x:c r="B35" s="66" t="str">
        <x:v>TSS-114</x:v>
      </x:c>
      <x:c r="C35" s="66" t="str">
        <x:v>VTS-005</x:v>
      </x:c>
      <x:c r="D35" s="66" t="str">
        <x:v>TSS-0114</x:v>
      </x:c>
      <x:c r="E35" s="66" t="str">
        <x:v>VTS-005</x:v>
      </x:c>
      <x:c r="F35" s="66" t="str">
        <x:v>Archived: component allocation unverified</x:v>
      </x:c>
      <x:c r="G35" s="66" t="str"/>
      <x:c r="H35" s="66" t="str">
        <x:v>Not an active component-to-service link</x:v>
      </x:c>
      <x:c r="I35" s="66" t="str">
        <x:v>S09</x:v>
      </x:c>
      <x:c r="J35" s="67" t="str">
        <x:v>https://www.mpa.gov.sg/port-marine-ops/operations/vessel-traffic-information-system/operational-areas</x:v>
      </x:c>
      <x:c r="K35" s="66" t="str">
        <x:v>Original assigned each of eight TSS segments to all three STRAITREP authorities. Only parent-system and sector/service links are retained pending boundary allocation.</x:v>
      </x:c>
    </x:row>
    <x:row r="36" ht="79.5" customHeight="1">
      <x:c r="A36" s="66" t="str">
        <x:v>REL-030</x:v>
      </x:c>
      <x:c r="B36" s="66" t="str">
        <x:v>TSS-107</x:v>
      </x:c>
      <x:c r="C36" s="66" t="str">
        <x:v>VTS-006</x:v>
      </x:c>
      <x:c r="D36" s="66" t="str">
        <x:v>TSS-0107</x:v>
      </x:c>
      <x:c r="E36" s="66" t="str">
        <x:v>VTS-006</x:v>
      </x:c>
      <x:c r="F36" s="66" t="str">
        <x:v>Archived: component allocation unverified</x:v>
      </x:c>
      <x:c r="G36" s="66" t="str"/>
      <x:c r="H36" s="66" t="str">
        <x:v>Not an active component-to-service link</x:v>
      </x:c>
      <x:c r="I36" s="66" t="str">
        <x:v>S08; S09</x:v>
      </x:c>
      <x:c r="J36" s="67" t="str">
        <x:v>https://www.mpa.gov.sg/port-marine-ops/operations/vessel-traffic-information-system
https://www.mpa.gov.sg/port-marine-ops/operations/vessel-traffic-information-system/operational-areas</x:v>
      </x:c>
      <x:c r="K36" s="66" t="str">
        <x:v>Original assigned each of eight TSS segments to all three STRAITREP authorities. Only parent-system and sector/service links are retained pending boundary allocation.</x:v>
      </x:c>
    </x:row>
    <x:row r="37" ht="79.5" customHeight="1">
      <x:c r="A37" s="66" t="str">
        <x:v>REL-031</x:v>
      </x:c>
      <x:c r="B37" s="66" t="str">
        <x:v>TSS-108</x:v>
      </x:c>
      <x:c r="C37" s="66" t="str">
        <x:v>VTS-006</x:v>
      </x:c>
      <x:c r="D37" s="66" t="str">
        <x:v>TSS-0108</x:v>
      </x:c>
      <x:c r="E37" s="66" t="str">
        <x:v>VTS-006</x:v>
      </x:c>
      <x:c r="F37" s="66" t="str">
        <x:v>Archived: component allocation unverified</x:v>
      </x:c>
      <x:c r="G37" s="66" t="str"/>
      <x:c r="H37" s="66" t="str">
        <x:v>Not an active component-to-service link</x:v>
      </x:c>
      <x:c r="I37" s="66" t="str">
        <x:v>S08; S09</x:v>
      </x:c>
      <x:c r="J37" s="67" t="str">
        <x:v>https://www.mpa.gov.sg/port-marine-ops/operations/vessel-traffic-information-system
https://www.mpa.gov.sg/port-marine-ops/operations/vessel-traffic-information-system/operational-areas</x:v>
      </x:c>
      <x:c r="K37" s="66" t="str">
        <x:v>Original assigned each of eight TSS segments to all three STRAITREP authorities. Only parent-system and sector/service links are retained pending boundary allocation.</x:v>
      </x:c>
    </x:row>
    <x:row r="38" ht="79.5" customHeight="1">
      <x:c r="A38" s="66" t="str">
        <x:v>REL-032</x:v>
      </x:c>
      <x:c r="B38" s="66" t="str">
        <x:v>TSS-109</x:v>
      </x:c>
      <x:c r="C38" s="66" t="str">
        <x:v>VTS-006</x:v>
      </x:c>
      <x:c r="D38" s="66" t="str">
        <x:v>TSS-0109</x:v>
      </x:c>
      <x:c r="E38" s="66" t="str">
        <x:v>VTS-006</x:v>
      </x:c>
      <x:c r="F38" s="66" t="str">
        <x:v>Archived: component allocation unverified</x:v>
      </x:c>
      <x:c r="G38" s="66" t="str"/>
      <x:c r="H38" s="66" t="str">
        <x:v>Not an active component-to-service link</x:v>
      </x:c>
      <x:c r="I38" s="66" t="str">
        <x:v>S08; S09</x:v>
      </x:c>
      <x:c r="J38" s="67" t="str">
        <x:v>https://www.mpa.gov.sg/port-marine-ops/operations/vessel-traffic-information-system
https://www.mpa.gov.sg/port-marine-ops/operations/vessel-traffic-information-system/operational-areas</x:v>
      </x:c>
      <x:c r="K38" s="66" t="str">
        <x:v>Original assigned each of eight TSS segments to all three STRAITREP authorities. Only parent-system and sector/service links are retained pending boundary allocation.</x:v>
      </x:c>
    </x:row>
    <x:row r="39" ht="79.5" customHeight="1">
      <x:c r="A39" s="66" t="str">
        <x:v>REL-033</x:v>
      </x:c>
      <x:c r="B39" s="66" t="str">
        <x:v>TSS-110</x:v>
      </x:c>
      <x:c r="C39" s="66" t="str">
        <x:v>VTS-006</x:v>
      </x:c>
      <x:c r="D39" s="66" t="str">
        <x:v>TSS-0110</x:v>
      </x:c>
      <x:c r="E39" s="66" t="str">
        <x:v>VTS-006</x:v>
      </x:c>
      <x:c r="F39" s="66" t="str">
        <x:v>Archived: component allocation unverified</x:v>
      </x:c>
      <x:c r="G39" s="66" t="str"/>
      <x:c r="H39" s="66" t="str">
        <x:v>Not an active component-to-service link</x:v>
      </x:c>
      <x:c r="I39" s="66" t="str">
        <x:v>S08; S09</x:v>
      </x:c>
      <x:c r="J39" s="67" t="str">
        <x:v>https://www.mpa.gov.sg/port-marine-ops/operations/vessel-traffic-information-system
https://www.mpa.gov.sg/port-marine-ops/operations/vessel-traffic-information-system/operational-areas</x:v>
      </x:c>
      <x:c r="K39" s="66" t="str">
        <x:v>Original assigned each of eight TSS segments to all three STRAITREP authorities. Only parent-system and sector/service links are retained pending boundary allocation.</x:v>
      </x:c>
    </x:row>
    <x:row r="40" ht="79.5" customHeight="1">
      <x:c r="A40" s="66" t="str">
        <x:v>REL-034</x:v>
      </x:c>
      <x:c r="B40" s="66" t="str">
        <x:v>TSS-111</x:v>
      </x:c>
      <x:c r="C40" s="66" t="str">
        <x:v>VTS-006</x:v>
      </x:c>
      <x:c r="D40" s="66" t="str">
        <x:v>TSS-0111</x:v>
      </x:c>
      <x:c r="E40" s="66" t="str">
        <x:v>VTS-006</x:v>
      </x:c>
      <x:c r="F40" s="66" t="str">
        <x:v>Archived: component allocation unverified</x:v>
      </x:c>
      <x:c r="G40" s="66" t="str"/>
      <x:c r="H40" s="66" t="str">
        <x:v>Not an active component-to-service link</x:v>
      </x:c>
      <x:c r="I40" s="66" t="str">
        <x:v>S08; S09</x:v>
      </x:c>
      <x:c r="J40" s="67" t="str">
        <x:v>https://www.mpa.gov.sg/port-marine-ops/operations/vessel-traffic-information-system
https://www.mpa.gov.sg/port-marine-ops/operations/vessel-traffic-information-system/operational-areas</x:v>
      </x:c>
      <x:c r="K40" s="66" t="str">
        <x:v>Original assigned each of eight TSS segments to all three STRAITREP authorities. Only parent-system and sector/service links are retained pending boundary allocation.</x:v>
      </x:c>
    </x:row>
    <x:row r="41" ht="79.5" customHeight="1">
      <x:c r="A41" s="66" t="str">
        <x:v>REL-035</x:v>
      </x:c>
      <x:c r="B41" s="66" t="str">
        <x:v>TSS-112</x:v>
      </x:c>
      <x:c r="C41" s="66" t="str">
        <x:v>VTS-006</x:v>
      </x:c>
      <x:c r="D41" s="66" t="str">
        <x:v>TSS-0112</x:v>
      </x:c>
      <x:c r="E41" s="66" t="str">
        <x:v>VTS-006</x:v>
      </x:c>
      <x:c r="F41" s="66" t="str">
        <x:v>Archived: component allocation unverified</x:v>
      </x:c>
      <x:c r="G41" s="66" t="str"/>
      <x:c r="H41" s="66" t="str">
        <x:v>Not an active component-to-service link</x:v>
      </x:c>
      <x:c r="I41" s="66" t="str">
        <x:v>S08; S09</x:v>
      </x:c>
      <x:c r="J41" s="67" t="str">
        <x:v>https://www.mpa.gov.sg/port-marine-ops/operations/vessel-traffic-information-system
https://www.mpa.gov.sg/port-marine-ops/operations/vessel-traffic-information-system/operational-areas</x:v>
      </x:c>
      <x:c r="K41" s="66" t="str">
        <x:v>Original assigned each of eight TSS segments to all three STRAITREP authorities. Only parent-system and sector/service links are retained pending boundary allocation.</x:v>
      </x:c>
    </x:row>
    <x:row r="42" ht="79.5" customHeight="1">
      <x:c r="A42" s="66" t="str">
        <x:v>REL-036</x:v>
      </x:c>
      <x:c r="B42" s="66" t="str">
        <x:v>TSS-113</x:v>
      </x:c>
      <x:c r="C42" s="66" t="str">
        <x:v>VTS-006</x:v>
      </x:c>
      <x:c r="D42" s="66" t="str">
        <x:v>TSS-0113</x:v>
      </x:c>
      <x:c r="E42" s="66" t="str">
        <x:v>VTS-006</x:v>
      </x:c>
      <x:c r="F42" s="66" t="str">
        <x:v>Archived: component allocation unverified</x:v>
      </x:c>
      <x:c r="G42" s="66" t="str"/>
      <x:c r="H42" s="66" t="str">
        <x:v>Not an active component-to-service link</x:v>
      </x:c>
      <x:c r="I42" s="66" t="str">
        <x:v>S08; S09</x:v>
      </x:c>
      <x:c r="J42" s="67" t="str">
        <x:v>https://www.mpa.gov.sg/port-marine-ops/operations/vessel-traffic-information-system
https://www.mpa.gov.sg/port-marine-ops/operations/vessel-traffic-information-system/operational-areas</x:v>
      </x:c>
      <x:c r="K42" s="66" t="str">
        <x:v>Original assigned each of eight TSS segments to all three STRAITREP authorities. Only parent-system and sector/service links are retained pending boundary allocation.</x:v>
      </x:c>
    </x:row>
    <x:row r="43" ht="79.5" customHeight="1">
      <x:c r="A43" s="66" t="str">
        <x:v>REL-037</x:v>
      </x:c>
      <x:c r="B43" s="66" t="str">
        <x:v>TSS-114</x:v>
      </x:c>
      <x:c r="C43" s="66" t="str">
        <x:v>VTS-006</x:v>
      </x:c>
      <x:c r="D43" s="66" t="str">
        <x:v>TSS-0114</x:v>
      </x:c>
      <x:c r="E43" s="66" t="str">
        <x:v>VTS-006</x:v>
      </x:c>
      <x:c r="F43" s="66" t="str">
        <x:v>Archived: component allocation unverified</x:v>
      </x:c>
      <x:c r="G43" s="66" t="str"/>
      <x:c r="H43" s="66" t="str">
        <x:v>Not an active component-to-service link</x:v>
      </x:c>
      <x:c r="I43" s="66" t="str">
        <x:v>S08; S09</x:v>
      </x:c>
      <x:c r="J43" s="67" t="str">
        <x:v>https://www.mpa.gov.sg/port-marine-ops/operations/vessel-traffic-information-system
https://www.mpa.gov.sg/port-marine-ops/operations/vessel-traffic-information-system/operational-areas</x:v>
      </x:c>
      <x:c r="K43" s="66" t="str">
        <x:v>Original assigned each of eight TSS segments to all three STRAITREP authorities. Only parent-system and sector/service links are retained pending boundary allocation.</x:v>
      </x:c>
    </x:row>
    <x:row r="44" ht="60" customHeight="1">
      <x:c r="A44" s="66" t="str">
        <x:v>REL-038</x:v>
      </x:c>
      <x:c r="B44" s="66" t="str">
        <x:v>TSS-129</x:v>
      </x:c>
      <x:c r="C44" s="66" t="str">
        <x:v>VTS-009</x:v>
      </x:c>
      <x:c r="D44" s="66" t="str">
        <x:v>TSS-0129</x:v>
      </x:c>
      <x:c r="E44" s="66" t="str">
        <x:v>VTS-009</x:v>
      </x:c>
      <x:c r="F44" s="66" t="str">
        <x:v>Retained with reviewed evidence status</x:v>
      </x:c>
      <x:c r="G44" s="66" t="str">
        <x:v>LNK-0032</x:v>
      </x:c>
      <x:c r="H44" s="66" t="str">
        <x:v>Proposed; boundary evidence pending</x:v>
      </x:c>
      <x:c r="I44" s="66" t="str">
        <x:v>S11</x:v>
      </x:c>
      <x:c r="J44" s="67" t="str">
        <x:v>https://www.navcen.uscg.gov/vessel-traffic-services-locations</x:v>
      </x:c>
      <x:c r="K44" s="66" t="str">
        <x:v>Search lead only. No full or partial TSS coverage has been concluded.</x:v>
      </x:c>
    </x:row>
    <x:row r="45" ht="60" customHeight="1">
      <x:c r="A45" s="66" t="str">
        <x:v>REL-039</x:v>
      </x:c>
      <x:c r="B45" s="66" t="str">
        <x:v>TSS-130</x:v>
      </x:c>
      <x:c r="C45" s="66" t="str">
        <x:v>VTS-010</x:v>
      </x:c>
      <x:c r="D45" s="66" t="str">
        <x:v>TSS-0130</x:v>
      </x:c>
      <x:c r="E45" s="66" t="str">
        <x:v>VTS-010</x:v>
      </x:c>
      <x:c r="F45" s="66" t="str">
        <x:v>Retained with reviewed evidence status</x:v>
      </x:c>
      <x:c r="G45" s="66" t="str">
        <x:v>LNK-0033</x:v>
      </x:c>
      <x:c r="H45" s="66" t="str">
        <x:v>Proposed; boundary evidence pending</x:v>
      </x:c>
      <x:c r="I45" s="66" t="str">
        <x:v>S11; S12</x:v>
      </x:c>
      <x:c r="J45" s="67" t="str">
        <x:v>https://www.navcen.uscg.gov/vessel-traffic-services-locations
https://www.pacificarea.uscg.mil/VTSPugetSound/</x:v>
      </x:c>
      <x:c r="K45" s="66" t="str">
        <x:v>Search lead only. No full or partial TSS coverage has been concluded.</x:v>
      </x:c>
    </x:row>
    <x:row r="46" ht="60" customHeight="1">
      <x:c r="A46" s="66" t="str">
        <x:v>REL-040</x:v>
      </x:c>
      <x:c r="B46" s="66" t="str">
        <x:v>TSS-131</x:v>
      </x:c>
      <x:c r="C46" s="66" t="str">
        <x:v>VTS-010</x:v>
      </x:c>
      <x:c r="D46" s="66" t="str">
        <x:v>TSS-0131</x:v>
      </x:c>
      <x:c r="E46" s="66" t="str">
        <x:v>VTS-010</x:v>
      </x:c>
      <x:c r="F46" s="66" t="str">
        <x:v>Retained with reviewed evidence status</x:v>
      </x:c>
      <x:c r="G46" s="66" t="str">
        <x:v>LNK-0034</x:v>
      </x:c>
      <x:c r="H46" s="66" t="str">
        <x:v>Proposed; boundary evidence pending</x:v>
      </x:c>
      <x:c r="I46" s="66" t="str">
        <x:v>S11; S12</x:v>
      </x:c>
      <x:c r="J46" s="67" t="str">
        <x:v>https://www.navcen.uscg.gov/vessel-traffic-services-locations
https://www.pacificarea.uscg.mil/VTSPugetSound/</x:v>
      </x:c>
      <x:c r="K46" s="66" t="str">
        <x:v>Search lead only. No full or partial TSS coverage has been concluded.</x:v>
      </x:c>
    </x:row>
    <x:row r="47" ht="60" customHeight="1">
      <x:c r="A47" s="66" t="str">
        <x:v>REL-041</x:v>
      </x:c>
      <x:c r="B47" s="66" t="str">
        <x:v>TSS-132</x:v>
      </x:c>
      <x:c r="C47" s="66" t="str">
        <x:v>VTS-011</x:v>
      </x:c>
      <x:c r="D47" s="66" t="str">
        <x:v>TSS-0132</x:v>
      </x:c>
      <x:c r="E47" s="66" t="str">
        <x:v>VTS-011</x:v>
      </x:c>
      <x:c r="F47" s="66" t="str">
        <x:v>Retained with reviewed evidence status</x:v>
      </x:c>
      <x:c r="G47" s="66" t="str">
        <x:v>LNK-0035</x:v>
      </x:c>
      <x:c r="H47" s="66" t="str">
        <x:v>Proposed; boundary evidence pending</x:v>
      </x:c>
      <x:c r="I47" s="66" t="str">
        <x:v>S11</x:v>
      </x:c>
      <x:c r="J47" s="67" t="str">
        <x:v>https://www.navcen.uscg.gov/vessel-traffic-services-locations</x:v>
      </x:c>
      <x:c r="K47" s="66" t="str">
        <x:v>Search lead only. No full or partial TSS coverage has been concluded.</x:v>
      </x:c>
    </x:row>
    <x:row r="48" ht="60" customHeight="1">
      <x:c r="A48" s="66" t="str">
        <x:v>REL-042</x:v>
      </x:c>
      <x:c r="B48" s="66" t="str">
        <x:v>TSS-133</x:v>
      </x:c>
      <x:c r="C48" s="66" t="str">
        <x:v>VTS-012</x:v>
      </x:c>
      <x:c r="D48" s="66" t="str">
        <x:v>TSS-0133</x:v>
      </x:c>
      <x:c r="E48" s="66" t="str">
        <x:v>VTS-012</x:v>
      </x:c>
      <x:c r="F48" s="66" t="str">
        <x:v>Retained with reviewed evidence status</x:v>
      </x:c>
      <x:c r="G48" s="66" t="str">
        <x:v>LNK-0036</x:v>
      </x:c>
      <x:c r="H48" s="66" t="str">
        <x:v>Proposed; boundary evidence pending</x:v>
      </x:c>
      <x:c r="I48" s="66" t="str">
        <x:v>S11</x:v>
      </x:c>
      <x:c r="J48" s="67" t="str">
        <x:v>https://www.navcen.uscg.gov/vessel-traffic-services-locations</x:v>
      </x:c>
      <x:c r="K48" s="66" t="str">
        <x:v>Search lead only. No full or partial TSS coverage has been concluded.</x:v>
      </x:c>
    </x:row>
    <x:row r="49" ht="60" customHeight="1">
      <x:c r="A49" s="66" t="str">
        <x:v>REL-043</x:v>
      </x:c>
      <x:c r="B49" s="66" t="str">
        <x:v>TSS-160</x:v>
      </x:c>
      <x:c r="C49" s="66" t="str">
        <x:v>VTS-013</x:v>
      </x:c>
      <x:c r="D49" s="66" t="str">
        <x:v>TSS-0160</x:v>
      </x:c>
      <x:c r="E49" s="66" t="str">
        <x:v>VTS-013</x:v>
      </x:c>
      <x:c r="F49" s="66" t="str">
        <x:v>Retained with reviewed evidence status</x:v>
      </x:c>
      <x:c r="G49" s="66" t="str">
        <x:v>LNK-0037</x:v>
      </x:c>
      <x:c r="H49" s="66" t="str">
        <x:v>Proposed; boundary evidence pending</x:v>
      </x:c>
      <x:c r="I49" s="66" t="str">
        <x:v>S11</x:v>
      </x:c>
      <x:c r="J49" s="67" t="str">
        <x:v>https://www.navcen.uscg.gov/vessel-traffic-services-locations</x:v>
      </x:c>
      <x:c r="K49" s="66" t="str">
        <x:v>Search lead only. No full or partial TSS coverage has been concluded.</x:v>
      </x:c>
    </x:row>
    <x:row r="50" ht="60" customHeight="1">
      <x:c r="A50" s="66" t="str">
        <x:v>REL-044</x:v>
      </x:c>
      <x:c r="B50" s="66" t="str">
        <x:v>TSS-165</x:v>
      </x:c>
      <x:c r="C50" s="66" t="str">
        <x:v>VTS-014</x:v>
      </x:c>
      <x:c r="D50" s="66" t="str">
        <x:v>TSS-0165</x:v>
      </x:c>
      <x:c r="E50" s="66" t="str">
        <x:v>VTS-014</x:v>
      </x:c>
      <x:c r="F50" s="66" t="str">
        <x:v>Retained with reviewed evidence status</x:v>
      </x:c>
      <x:c r="G50" s="66" t="str">
        <x:v>LNK-0038</x:v>
      </x:c>
      <x:c r="H50" s="66" t="str">
        <x:v>Proposed; boundary evidence pending</x:v>
      </x:c>
      <x:c r="I50" s="66" t="str">
        <x:v>S11</x:v>
      </x:c>
      <x:c r="J50" s="67" t="str">
        <x:v>https://www.navcen.uscg.gov/vessel-traffic-services-locations</x:v>
      </x:c>
      <x:c r="K50" s="66" t="str">
        <x:v>Search lead only. No full or partial TSS coverage has been concluded.</x:v>
      </x:c>
    </x:row>
    <x:row r="51" ht="106.5" customHeight="1">
      <x:c r="A51" s="66" t="str">
        <x:v>REL-045</x:v>
      </x:c>
      <x:c r="B51" s="66" t="str">
        <x:v>TSS-005</x:v>
      </x:c>
      <x:c r="C51" s="66" t="str">
        <x:v>RPT-001</x:v>
      </x:c>
      <x:c r="D51" s="66" t="str">
        <x:v>TSS-0005</x:v>
      </x:c>
      <x:c r="E51" s="66" t="str">
        <x:v>SRS-001</x:v>
      </x:c>
      <x:c r="F51" s="66" t="str">
        <x:v>Retained with reviewed evidence status</x:v>
      </x:c>
      <x:c r="G51" s="66" t="str">
        <x:v>LNK-0009</x:v>
      </x:c>
      <x:c r="H51" s="66" t="str">
        <x:v>Authority-supported association</x:v>
      </x:c>
      <x:c r="I51" s="66" t="str">
        <x:v>S04</x:v>
      </x:c>
      <x:c r="J51" s="67" t="str">
        <x:v>https://www.gov.uk/government/publications/mgn-364-mf-amendment-2-navigation-safety-traffic-separation-schemes-application-of-rule-10-and-navigation-in-the-dover-strait/mgn-364-mf-amendment-2-navigation-safety-traffic-separation-schemes-application-of-rule-10-and-navigation-in-the-dover-strait</x:v>
      </x:c>
      <x:c r="K51" s="66" t="str">
        <x:v>Confirm geographic coverage and applicable vessel categories before publication.</x:v>
      </x:c>
    </x:row>
    <x:row r="52" ht="79.5" customHeight="1">
      <x:c r="A52" s="66" t="str">
        <x:v>REL-046</x:v>
      </x:c>
      <x:c r="B52" s="66" t="str">
        <x:v>TSS-038</x:v>
      </x:c>
      <x:c r="C52" s="66" t="str">
        <x:v>RPT-002</x:v>
      </x:c>
      <x:c r="D52" s="66" t="str">
        <x:v>TSS-0038</x:v>
      </x:c>
      <x:c r="E52" s="66" t="str">
        <x:v>SRS-002</x:v>
      </x:c>
      <x:c r="F52" s="66" t="str">
        <x:v>Retained with reviewed evidence status</x:v>
      </x:c>
      <x:c r="G52" s="66" t="str">
        <x:v>LNK-0010</x:v>
      </x:c>
      <x:c r="H52" s="66" t="str">
        <x:v>Authority-supported identity</x:v>
      </x:c>
      <x:c r="I52" s="66" t="str">
        <x:v>S05; S06</x:v>
      </x:c>
      <x:c r="J52" s="67" t="str">
        <x:v>https://www.forsvaret.dk/da/organisation/soevaernet/civile-opgaver/beltrep/
https://www.brs.dk/da/om-os/organisation/sikre-farvande/obligatoriske-skibsmeldesystemer-msrs-og-skibstrafiktjenester-vts/</x:v>
      </x:c>
      <x:c r="K52" s="66" t="str">
        <x:v>Confirm geographic coverage and applicable vessel categories before publication.</x:v>
      </x:c>
    </x:row>
    <x:row r="53" ht="79.5" customHeight="1">
      <x:c r="A53" s="66" t="str">
        <x:v>REL-047</x:v>
      </x:c>
      <x:c r="B53" s="66" t="str">
        <x:v>TSS-039</x:v>
      </x:c>
      <x:c r="C53" s="66" t="str">
        <x:v>RPT-002</x:v>
      </x:c>
      <x:c r="D53" s="66" t="str">
        <x:v>TSS-0039</x:v>
      </x:c>
      <x:c r="E53" s="66" t="str">
        <x:v>SRS-002</x:v>
      </x:c>
      <x:c r="F53" s="66" t="str">
        <x:v>Retained with reviewed evidence status</x:v>
      </x:c>
      <x:c r="G53" s="66" t="str">
        <x:v>LNK-0011</x:v>
      </x:c>
      <x:c r="H53" s="66" t="str">
        <x:v>Authority-supported identity</x:v>
      </x:c>
      <x:c r="I53" s="66" t="str">
        <x:v>S05; S06</x:v>
      </x:c>
      <x:c r="J53" s="67" t="str">
        <x:v>https://www.forsvaret.dk/da/organisation/soevaernet/civile-opgaver/beltrep/
https://www.brs.dk/da/om-os/organisation/sikre-farvande/obligatoriske-skibsmeldesystemer-msrs-og-skibstrafiktjenester-vts/</x:v>
      </x:c>
      <x:c r="K53" s="66" t="str">
        <x:v>Confirm geographic coverage and applicable vessel categories before publication.</x:v>
      </x:c>
    </x:row>
    <x:row r="54" ht="93" customHeight="1">
      <x:c r="A54" s="66" t="str">
        <x:v>REL-048</x:v>
      </x:c>
      <x:c r="B54" s="66" t="str">
        <x:v>TSS-040</x:v>
      </x:c>
      <x:c r="C54" s="66" t="str">
        <x:v>RPT-003</x:v>
      </x:c>
      <x:c r="D54" s="66" t="str">
        <x:v>TSS-0040</x:v>
      </x:c>
      <x:c r="E54" s="66" t="str">
        <x:v>SRS-003</x:v>
      </x:c>
      <x:c r="F54" s="66" t="str">
        <x:v>Retained with reviewed evidence status</x:v>
      </x:c>
      <x:c r="G54" s="66" t="str">
        <x:v>LNK-0012</x:v>
      </x:c>
      <x:c r="H54" s="66" t="str">
        <x:v>Authority-supported identity</x:v>
      </x:c>
      <x:c r="I54" s="66" t="str">
        <x:v>S06; S07</x:v>
      </x:c>
      <x:c r="J54" s="67" t="str">
        <x:v>https://www.brs.dk/da/om-os/organisation/sikre-farvande/obligatoriske-skibsmeldesystemer-msrs-og-skibstrafiktjenester-vts/
https://www.transportstyrelsen.se/sv/sjofart/sjotrafik-och-hamnar/sjotrafikrapporteringssystem-srs/</x:v>
      </x:c>
      <x:c r="K54" s="66" t="str">
        <x:v>Confirm geographic coverage and applicable vessel categories before publication.</x:v>
      </x:c>
    </x:row>
    <x:row r="55" ht="93" customHeight="1">
      <x:c r="A55" s="66" t="str">
        <x:v>REL-049</x:v>
      </x:c>
      <x:c r="B55" s="66" t="str">
        <x:v>TSS-041</x:v>
      </x:c>
      <x:c r="C55" s="66" t="str">
        <x:v>RPT-003</x:v>
      </x:c>
      <x:c r="D55" s="66" t="str">
        <x:v>TSS-0041</x:v>
      </x:c>
      <x:c r="E55" s="66" t="str">
        <x:v>SRS-003</x:v>
      </x:c>
      <x:c r="F55" s="66" t="str">
        <x:v>Retained with reviewed evidence status</x:v>
      </x:c>
      <x:c r="G55" s="66" t="str">
        <x:v>LNK-0031</x:v>
      </x:c>
      <x:c r="H55" s="66" t="str">
        <x:v>Authority-supported identity</x:v>
      </x:c>
      <x:c r="I55" s="66" t="str">
        <x:v>S06; S07</x:v>
      </x:c>
      <x:c r="J55" s="67" t="str">
        <x:v>https://www.brs.dk/da/om-os/organisation/sikre-farvande/obligatoriske-skibsmeldesystemer-msrs-og-skibstrafiktjenester-vts/
https://www.transportstyrelsen.se/sv/sjofart/sjotrafik-och-hamnar/sjotrafikrapporteringssystem-srs/</x:v>
      </x:c>
      <x:c r="K55" s="66" t="str">
        <x:v>Confirm geographic coverage and applicable vessel categories before publication.</x:v>
      </x:c>
    </x:row>
    <x:row r="56" ht="79.5" customHeight="1">
      <x:c r="A56" s="66" t="str">
        <x:v>REL-050</x:v>
      </x:c>
      <x:c r="B56" s="66" t="str">
        <x:v>TSS-107</x:v>
      </x:c>
      <x:c r="C56" s="66" t="str">
        <x:v>RPT-004</x:v>
      </x:c>
      <x:c r="D56" s="66" t="str">
        <x:v>TSS-0107</x:v>
      </x:c>
      <x:c r="E56" s="66" t="str">
        <x:v>SRS-004</x:v>
      </x:c>
      <x:c r="F56" s="66" t="str">
        <x:v>Retained with reviewed evidence status</x:v>
      </x:c>
      <x:c r="G56" s="66" t="str">
        <x:v>LNK-0017</x:v>
      </x:c>
      <x:c r="H56" s="66" t="str">
        <x:v>System-level only; component mapping pending</x:v>
      </x:c>
      <x:c r="I56" s="66" t="str">
        <x:v>S08; S09</x:v>
      </x:c>
      <x:c r="J56" s="67" t="str">
        <x:v>https://www.mpa.gov.sg/port-marine-ops/operations/vessel-traffic-information-system
https://www.mpa.gov.sg/port-marine-ops/operations/vessel-traffic-information-system/operational-areas</x:v>
      </x:c>
      <x:c r="K56" s="66" t="str">
        <x:v>Confirm geographic coverage and applicable vessel categories before publication.</x:v>
      </x:c>
    </x:row>
    <x:row r="57" ht="79.5" customHeight="1">
      <x:c r="A57" s="66" t="str">
        <x:v>REL-051</x:v>
      </x:c>
      <x:c r="B57" s="66" t="str">
        <x:v>TSS-108</x:v>
      </x:c>
      <x:c r="C57" s="66" t="str">
        <x:v>RPT-004</x:v>
      </x:c>
      <x:c r="D57" s="66" t="str">
        <x:v>TSS-0108</x:v>
      </x:c>
      <x:c r="E57" s="66" t="str">
        <x:v>SRS-004</x:v>
      </x:c>
      <x:c r="F57" s="66" t="str">
        <x:v>Retained with reviewed evidence status</x:v>
      </x:c>
      <x:c r="G57" s="66" t="str">
        <x:v>LNK-0018</x:v>
      </x:c>
      <x:c r="H57" s="66" t="str">
        <x:v>System-level only; component mapping pending</x:v>
      </x:c>
      <x:c r="I57" s="66" t="str">
        <x:v>S08; S09</x:v>
      </x:c>
      <x:c r="J57" s="67" t="str">
        <x:v>https://www.mpa.gov.sg/port-marine-ops/operations/vessel-traffic-information-system
https://www.mpa.gov.sg/port-marine-ops/operations/vessel-traffic-information-system/operational-areas</x:v>
      </x:c>
      <x:c r="K57" s="66" t="str">
        <x:v>Confirm geographic coverage and applicable vessel categories before publication.</x:v>
      </x:c>
    </x:row>
    <x:row r="58" ht="79.5" customHeight="1">
      <x:c r="A58" s="66" t="str">
        <x:v>REL-052</x:v>
      </x:c>
      <x:c r="B58" s="66" t="str">
        <x:v>TSS-109</x:v>
      </x:c>
      <x:c r="C58" s="66" t="str">
        <x:v>RPT-004</x:v>
      </x:c>
      <x:c r="D58" s="66" t="str">
        <x:v>TSS-0109</x:v>
      </x:c>
      <x:c r="E58" s="66" t="str">
        <x:v>SRS-004</x:v>
      </x:c>
      <x:c r="F58" s="66" t="str">
        <x:v>Retained with reviewed evidence status</x:v>
      </x:c>
      <x:c r="G58" s="66" t="str">
        <x:v>LNK-0019</x:v>
      </x:c>
      <x:c r="H58" s="66" t="str">
        <x:v>System-level only; component mapping pending</x:v>
      </x:c>
      <x:c r="I58" s="66" t="str">
        <x:v>S08; S09</x:v>
      </x:c>
      <x:c r="J58" s="67" t="str">
        <x:v>https://www.mpa.gov.sg/port-marine-ops/operations/vessel-traffic-information-system
https://www.mpa.gov.sg/port-marine-ops/operations/vessel-traffic-information-system/operational-areas</x:v>
      </x:c>
      <x:c r="K58" s="66" t="str">
        <x:v>Confirm geographic coverage and applicable vessel categories before publication.</x:v>
      </x:c>
    </x:row>
    <x:row r="59" ht="79.5" customHeight="1">
      <x:c r="A59" s="66" t="str">
        <x:v>REL-053</x:v>
      </x:c>
      <x:c r="B59" s="66" t="str">
        <x:v>TSS-110</x:v>
      </x:c>
      <x:c r="C59" s="66" t="str">
        <x:v>RPT-004</x:v>
      </x:c>
      <x:c r="D59" s="66" t="str">
        <x:v>TSS-0110</x:v>
      </x:c>
      <x:c r="E59" s="66" t="str">
        <x:v>SRS-004</x:v>
      </x:c>
      <x:c r="F59" s="66" t="str">
        <x:v>Retained with reviewed evidence status</x:v>
      </x:c>
      <x:c r="G59" s="66" t="str">
        <x:v>LNK-0020</x:v>
      </x:c>
      <x:c r="H59" s="66" t="str">
        <x:v>System-level only; component mapping pending</x:v>
      </x:c>
      <x:c r="I59" s="66" t="str">
        <x:v>S08; S09</x:v>
      </x:c>
      <x:c r="J59" s="67" t="str">
        <x:v>https://www.mpa.gov.sg/port-marine-ops/operations/vessel-traffic-information-system
https://www.mpa.gov.sg/port-marine-ops/operations/vessel-traffic-information-system/operational-areas</x:v>
      </x:c>
      <x:c r="K59" s="66" t="str">
        <x:v>Confirm geographic coverage and applicable vessel categories before publication.</x:v>
      </x:c>
    </x:row>
    <x:row r="60" ht="79.5" customHeight="1">
      <x:c r="A60" s="66" t="str">
        <x:v>REL-054</x:v>
      </x:c>
      <x:c r="B60" s="66" t="str">
        <x:v>TSS-111</x:v>
      </x:c>
      <x:c r="C60" s="66" t="str">
        <x:v>RPT-004</x:v>
      </x:c>
      <x:c r="D60" s="66" t="str">
        <x:v>TSS-0111</x:v>
      </x:c>
      <x:c r="E60" s="66" t="str">
        <x:v>SRS-004</x:v>
      </x:c>
      <x:c r="F60" s="66" t="str">
        <x:v>Retained with reviewed evidence status</x:v>
      </x:c>
      <x:c r="G60" s="66" t="str">
        <x:v>LNK-0021</x:v>
      </x:c>
      <x:c r="H60" s="66" t="str">
        <x:v>System-level only; component mapping pending</x:v>
      </x:c>
      <x:c r="I60" s="66" t="str">
        <x:v>S08; S09</x:v>
      </x:c>
      <x:c r="J60" s="67" t="str">
        <x:v>https://www.mpa.gov.sg/port-marine-ops/operations/vessel-traffic-information-system
https://www.mpa.gov.sg/port-marine-ops/operations/vessel-traffic-information-system/operational-areas</x:v>
      </x:c>
      <x:c r="K60" s="66" t="str">
        <x:v>Confirm geographic coverage and applicable vessel categories before publication.</x:v>
      </x:c>
    </x:row>
    <x:row r="61" ht="79.5" customHeight="1">
      <x:c r="A61" s="66" t="str">
        <x:v>REL-055</x:v>
      </x:c>
      <x:c r="B61" s="66" t="str">
        <x:v>TSS-112</x:v>
      </x:c>
      <x:c r="C61" s="66" t="str">
        <x:v>RPT-004</x:v>
      </x:c>
      <x:c r="D61" s="66" t="str">
        <x:v>TSS-0112</x:v>
      </x:c>
      <x:c r="E61" s="66" t="str">
        <x:v>SRS-004</x:v>
      </x:c>
      <x:c r="F61" s="66" t="str">
        <x:v>Retained with reviewed evidence status</x:v>
      </x:c>
      <x:c r="G61" s="66" t="str">
        <x:v>LNK-0022</x:v>
      </x:c>
      <x:c r="H61" s="66" t="str">
        <x:v>System-level only; component mapping pending</x:v>
      </x:c>
      <x:c r="I61" s="66" t="str">
        <x:v>S08; S09</x:v>
      </x:c>
      <x:c r="J61" s="67" t="str">
        <x:v>https://www.mpa.gov.sg/port-marine-ops/operations/vessel-traffic-information-system
https://www.mpa.gov.sg/port-marine-ops/operations/vessel-traffic-information-system/operational-areas</x:v>
      </x:c>
      <x:c r="K61" s="66" t="str">
        <x:v>Confirm geographic coverage and applicable vessel categories before publication.</x:v>
      </x:c>
    </x:row>
    <x:row r="62" ht="79.5" customHeight="1">
      <x:c r="A62" s="66" t="str">
        <x:v>REL-056</x:v>
      </x:c>
      <x:c r="B62" s="66" t="str">
        <x:v>TSS-113</x:v>
      </x:c>
      <x:c r="C62" s="66" t="str">
        <x:v>RPT-004</x:v>
      </x:c>
      <x:c r="D62" s="66" t="str">
        <x:v>TSS-0113</x:v>
      </x:c>
      <x:c r="E62" s="66" t="str">
        <x:v>SRS-004</x:v>
      </x:c>
      <x:c r="F62" s="66" t="str">
        <x:v>Retained with reviewed evidence status</x:v>
      </x:c>
      <x:c r="G62" s="66" t="str">
        <x:v>LNK-0023</x:v>
      </x:c>
      <x:c r="H62" s="66" t="str">
        <x:v>System-level only; component mapping pending</x:v>
      </x:c>
      <x:c r="I62" s="66" t="str">
        <x:v>S08; S09</x:v>
      </x:c>
      <x:c r="J62" s="67" t="str">
        <x:v>https://www.mpa.gov.sg/port-marine-ops/operations/vessel-traffic-information-system
https://www.mpa.gov.sg/port-marine-ops/operations/vessel-traffic-information-system/operational-areas</x:v>
      </x:c>
      <x:c r="K62" s="66" t="str">
        <x:v>Confirm geographic coverage and applicable vessel categories before publication.</x:v>
      </x:c>
    </x:row>
    <x:row r="63" ht="79.5" customHeight="1">
      <x:c r="A63" s="66" t="str">
        <x:v>REL-057</x:v>
      </x:c>
      <x:c r="B63" s="66" t="str">
        <x:v>TSS-114</x:v>
      </x:c>
      <x:c r="C63" s="66" t="str">
        <x:v>RPT-004</x:v>
      </x:c>
      <x:c r="D63" s="66" t="str">
        <x:v>TSS-0114</x:v>
      </x:c>
      <x:c r="E63" s="66" t="str">
        <x:v>SRS-004</x:v>
      </x:c>
      <x:c r="F63" s="66" t="str">
        <x:v>Retained with reviewed evidence status</x:v>
      </x:c>
      <x:c r="G63" s="66" t="str">
        <x:v>LNK-0024</x:v>
      </x:c>
      <x:c r="H63" s="66" t="str">
        <x:v>System-level only; component mapping pending</x:v>
      </x:c>
      <x:c r="I63" s="66" t="str">
        <x:v>S08; S09</x:v>
      </x:c>
      <x:c r="J63" s="67" t="str">
        <x:v>https://www.mpa.gov.sg/port-marine-ops/operations/vessel-traffic-information-system
https://www.mpa.gov.sg/port-marine-ops/operations/vessel-traffic-information-system/operational-areas</x:v>
      </x:c>
      <x:c r="K63" s="66" t="str">
        <x:v>Confirm geographic coverage and applicable vessel categories before publication.</x:v>
      </x:c>
    </x:row>
    <x:row r="64" ht="60" customHeight="1">
      <x:c r="A64" s="66" t="str">
        <x:v>REL-058</x:v>
      </x:c>
      <x:c r="B64" s="66" t="str">
        <x:v>TSS-021</x:v>
      </x:c>
      <x:c r="C64" s="66" t="str">
        <x:v>RPT-006</x:v>
      </x:c>
      <x:c r="D64" s="66" t="str">
        <x:v>TSS-0021</x:v>
      </x:c>
      <x:c r="E64" s="66" t="str">
        <x:v>SRS-006</x:v>
      </x:c>
      <x:c r="F64" s="66" t="str">
        <x:v>Retained with reviewed evidence status</x:v>
      </x:c>
      <x:c r="G64" s="66" t="str">
        <x:v>LNK-0042</x:v>
      </x:c>
      <x:c r="H64" s="66" t="str">
        <x:v>Unverified legacy hypothesis</x:v>
      </x:c>
      <x:c r="I64" s="66" t="str">
        <x:v>S07</x:v>
      </x:c>
      <x:c r="J64" s="67" t="str">
        <x:v>https://www.transportstyrelsen.se/sv/sjofart/sjotrafik-och-hamnar/sjotrafikrapporteringssystem-srs/</x:v>
      </x:c>
      <x:c r="K64" s="66" t="str">
        <x:v>Confirm geographic coverage and applicable vessel categories before publication.</x:v>
      </x:c>
    </x:row>
    <x:row r="65" ht="60" customHeight="1">
      <x:c r="A65" s="66" t="str">
        <x:v>REL-059</x:v>
      </x:c>
      <x:c r="B65" s="66" t="str">
        <x:v>TSS-022</x:v>
      </x:c>
      <x:c r="C65" s="66" t="str">
        <x:v>RPT-006</x:v>
      </x:c>
      <x:c r="D65" s="66" t="str">
        <x:v>TSS-0022</x:v>
      </x:c>
      <x:c r="E65" s="66" t="str">
        <x:v>SRS-006</x:v>
      </x:c>
      <x:c r="F65" s="66" t="str">
        <x:v>Retained with reviewed evidence status</x:v>
      </x:c>
      <x:c r="G65" s="66" t="str">
        <x:v>LNK-0043</x:v>
      </x:c>
      <x:c r="H65" s="66" t="str">
        <x:v>Unverified legacy hypothesis</x:v>
      </x:c>
      <x:c r="I65" s="66" t="str">
        <x:v>S07</x:v>
      </x:c>
      <x:c r="J65" s="67" t="str">
        <x:v>https://www.transportstyrelsen.se/sv/sjofart/sjotrafik-och-hamnar/sjotrafikrapporteringssystem-srs/</x:v>
      </x:c>
      <x:c r="K65" s="66" t="str">
        <x:v>Confirm geographic coverage and applicable vessel categories before publication.</x:v>
      </x:c>
    </x:row>
    <x:row r="66" ht="60" customHeight="1">
      <x:c r="A66" s="66" t="str">
        <x:v>REL-060</x:v>
      </x:c>
      <x:c r="B66" s="66" t="str">
        <x:v>TSS-023</x:v>
      </x:c>
      <x:c r="C66" s="66" t="str">
        <x:v>RPT-006</x:v>
      </x:c>
      <x:c r="D66" s="66" t="str">
        <x:v>TSS-0023</x:v>
      </x:c>
      <x:c r="E66" s="66" t="str">
        <x:v>SRS-006</x:v>
      </x:c>
      <x:c r="F66" s="66" t="str">
        <x:v>Retained with reviewed evidence status</x:v>
      </x:c>
      <x:c r="G66" s="66" t="str">
        <x:v>LNK-0044</x:v>
      </x:c>
      <x:c r="H66" s="66" t="str">
        <x:v>Unverified legacy hypothesis</x:v>
      </x:c>
      <x:c r="I66" s="66" t="str">
        <x:v>S07</x:v>
      </x:c>
      <x:c r="J66" s="67" t="str">
        <x:v>https://www.transportstyrelsen.se/sv/sjofart/sjotrafik-och-hamnar/sjotrafikrapporteringssystem-srs/</x:v>
      </x:c>
      <x:c r="K66" s="66" t="str">
        <x:v>Confirm geographic coverage and applicable vessel categories before publication.</x:v>
      </x:c>
    </x:row>
    <x:row r="67" ht="60" customHeight="1">
      <x:c r="A67" s="66" t="str">
        <x:v>REL-061</x:v>
      </x:c>
      <x:c r="B67" s="66" t="str">
        <x:v>TSS-024</x:v>
      </x:c>
      <x:c r="C67" s="66" t="str">
        <x:v>RPT-006</x:v>
      </x:c>
      <x:c r="D67" s="66" t="str">
        <x:v>TSS-0024</x:v>
      </x:c>
      <x:c r="E67" s="66" t="str">
        <x:v>SRS-006</x:v>
      </x:c>
      <x:c r="F67" s="66" t="str">
        <x:v>Retained with reviewed evidence status</x:v>
      </x:c>
      <x:c r="G67" s="66" t="str">
        <x:v>LNK-0013</x:v>
      </x:c>
      <x:c r="H67" s="66" t="str">
        <x:v>Authority-supported association</x:v>
      </x:c>
      <x:c r="I67" s="66" t="str">
        <x:v>S07</x:v>
      </x:c>
      <x:c r="J67" s="67" t="str">
        <x:v>https://www.transportstyrelsen.se/sv/sjofart/sjotrafik-och-hamnar/sjotrafikrapporteringssystem-srs/</x:v>
      </x:c>
      <x:c r="K67" s="66" t="str">
        <x:v>Confirm geographic coverage and applicable vessel categories before publication.</x:v>
      </x:c>
    </x:row>
    <x:row r="68" ht="60" customHeight="1">
      <x:c r="A68" s="66" t="str">
        <x:v>REL-062</x:v>
      </x:c>
      <x:c r="B68" s="66" t="str">
        <x:v>TSS-025</x:v>
      </x:c>
      <x:c r="C68" s="66" t="str">
        <x:v>RPT-006</x:v>
      </x:c>
      <x:c r="D68" s="66" t="str">
        <x:v>TSS-0025</x:v>
      </x:c>
      <x:c r="E68" s="66" t="str">
        <x:v>SRS-006</x:v>
      </x:c>
      <x:c r="F68" s="66" t="str">
        <x:v>Retained with reviewed evidence status</x:v>
      </x:c>
      <x:c r="G68" s="66" t="str">
        <x:v>LNK-0014</x:v>
      </x:c>
      <x:c r="H68" s="66" t="str">
        <x:v>Authority-supported association</x:v>
      </x:c>
      <x:c r="I68" s="66" t="str">
        <x:v>S07</x:v>
      </x:c>
      <x:c r="J68" s="67" t="str">
        <x:v>https://www.transportstyrelsen.se/sv/sjofart/sjotrafik-och-hamnar/sjotrafikrapporteringssystem-srs/</x:v>
      </x:c>
      <x:c r="K68" s="66" t="str">
        <x:v>Confirm geographic coverage and applicable vessel categories before publication.</x:v>
      </x:c>
    </x:row>
    <x:row r="69" ht="60" customHeight="1">
      <x:c r="A69" s="66" t="str">
        <x:v>REL-063</x:v>
      </x:c>
      <x:c r="B69" s="66" t="str">
        <x:v>TSS-026</x:v>
      </x:c>
      <x:c r="C69" s="66" t="str">
        <x:v>RPT-006</x:v>
      </x:c>
      <x:c r="D69" s="66" t="str">
        <x:v>TSS-0026</x:v>
      </x:c>
      <x:c r="E69" s="66" t="str">
        <x:v>SRS-006</x:v>
      </x:c>
      <x:c r="F69" s="66" t="str">
        <x:v>Retained with reviewed evidence status</x:v>
      </x:c>
      <x:c r="G69" s="66" t="str">
        <x:v>LNK-0015</x:v>
      </x:c>
      <x:c r="H69" s="66" t="str">
        <x:v>Authority-supported association</x:v>
      </x:c>
      <x:c r="I69" s="66" t="str">
        <x:v>S07</x:v>
      </x:c>
      <x:c r="J69" s="67" t="str">
        <x:v>https://www.transportstyrelsen.se/sv/sjofart/sjotrafik-och-hamnar/sjotrafikrapporteringssystem-srs/</x:v>
      </x:c>
      <x:c r="K69" s="66" t="str">
        <x:v>Confirm geographic coverage and applicable vessel categories before publication.</x:v>
      </x:c>
    </x:row>
    <x:row r="70" ht="60" customHeight="1">
      <x:c r="A70" s="66" t="str">
        <x:v>REL-064</x:v>
      </x:c>
      <x:c r="B70" s="66" t="str">
        <x:v>TSS-043</x:v>
      </x:c>
      <x:c r="C70" s="66" t="str">
        <x:v>RPT-007</x:v>
      </x:c>
      <x:c r="D70" s="66" t="str">
        <x:v>TSS-0043</x:v>
      </x:c>
      <x:c r="E70" s="66" t="str">
        <x:v>SRS-007</x:v>
      </x:c>
      <x:c r="F70" s="66" t="str">
        <x:v>Retained with reviewed evidence status</x:v>
      </x:c>
      <x:c r="G70" s="66" t="str">
        <x:v>LNK-0025</x:v>
      </x:c>
      <x:c r="H70" s="66" t="str">
        <x:v>Authority-supported identity</x:v>
      </x:c>
      <x:c r="I70" s="66" t="str">
        <x:v>S07</x:v>
      </x:c>
      <x:c r="J70" s="67" t="str">
        <x:v>https://www.transportstyrelsen.se/sv/sjofart/sjotrafik-och-hamnar/sjotrafikrapporteringssystem-srs/</x:v>
      </x:c>
      <x:c r="K70" s="66" t="str">
        <x:v>Confirm geographic coverage and applicable vessel categories before publication.</x:v>
      </x:c>
    </x:row>
    <x:row r="71" ht="60" customHeight="1">
      <x:c r="A71" s="66" t="str">
        <x:v>REL-065</x:v>
      </x:c>
      <x:c r="B71" s="66" t="str">
        <x:v>TSS-132</x:v>
      </x:c>
      <x:c r="C71" s="66" t="str">
        <x:v>RPT-008</x:v>
      </x:c>
      <x:c r="D71" s="66" t="str">
        <x:v>TSS-0132</x:v>
      </x:c>
      <x:c r="E71" s="66" t="str">
        <x:v>SRS-008</x:v>
      </x:c>
      <x:c r="F71" s="66" t="str">
        <x:v>Retained with reviewed evidence status</x:v>
      </x:c>
      <x:c r="G71" s="66" t="str">
        <x:v>LNK-0039</x:v>
      </x:c>
      <x:c r="H71" s="66" t="str">
        <x:v>Proposed; boundary evidence pending</x:v>
      </x:c>
      <x:c r="I71" s="66" t="str">
        <x:v>S11</x:v>
      </x:c>
      <x:c r="J71" s="67" t="str">
        <x:v>https://www.navcen.uscg.gov/vessel-traffic-services-locations</x:v>
      </x:c>
      <x:c r="K71" s="66" t="str">
        <x:v>Confirm geographic coverage and applicable vessel categories before publication.</x:v>
      </x:c>
    </x:row>
    <x:row r="72">
      <x:c r="A72" s="68"/>
      <x:c r="B72" s="68"/>
      <x:c r="C72" s="68"/>
      <x:c r="D72" s="68"/>
      <x:c r="E72" s="68"/>
      <x:c r="F72" s="68"/>
      <x:c r="G72" s="68"/>
      <x:c r="H72" s="68"/>
      <x:c r="I72" s="68"/>
      <x:c r="J72" s="68"/>
      <x:c r="K72" s="68"/>
    </x:row>
  </x:sheetData>
  <x:mergeCells>
    <x:mergeCell ref="A1:H2"/>
    <x:mergeCell ref="A3:H4"/>
  </x:mergeCells>
  <x:pageMargins left="0.7" right="0.7" top="0.75" bottom="0.75" header="0.3" footer="0.3"/>
  <x:tableParts count="1">
    <x:tablePart xmlns:r="http://schemas.openxmlformats.org/officeDocument/2006/relationships" r:id="Rdbdf90b670c3495a"/>
  </x:tableParts>
</x:worksheet>
</file>
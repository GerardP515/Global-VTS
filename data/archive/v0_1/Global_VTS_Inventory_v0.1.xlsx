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30b720d12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559ab9d60604438"/>
    <x:sheet xmlns:r="http://schemas.openxmlformats.org/officeDocument/2006/relationships" name="TSS Inventory" sheetId="2" r:id="Rcf41879c1432425e"/>
    <x:sheet xmlns:r="http://schemas.openxmlformats.org/officeDocument/2006/relationships" name="VTS Screening" sheetId="3" r:id="Rb5bd7f276b29468e"/>
    <x:sheet xmlns:r="http://schemas.openxmlformats.org/officeDocument/2006/relationships" name="Reporting Seed" sheetId="4" r:id="R37e3fa63d9f243d4"/>
    <x:sheet xmlns:r="http://schemas.openxmlformats.org/officeDocument/2006/relationships" name="Relationships" sheetId="5" r:id="R38a8f394c52a4e06"/>
    <x:sheet xmlns:r="http://schemas.openxmlformats.org/officeDocument/2006/relationships" name="Sources" sheetId="6" r:id="R848e92315c004348"/>
    <x:sheet xmlns:r="http://schemas.openxmlformats.org/officeDocument/2006/relationships" name="Issues" sheetId="7" r:id="Rba043e1bcc9c42d0"/>
    <x:sheet xmlns:r="http://schemas.openxmlformats.org/officeDocument/2006/relationships" name="Research Queue" sheetId="8" r:id="Rb6b83f2e84d4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3746"/>
      <x:name val="Carlito"/>
    </x:font>
    <x:font>
      <x:b/>
      <x:sz val="11"/>
      <x:color rgb="FFFFFFFF"/>
      <x:name val="Carlito"/>
    </x:font>
    <x:font>
      <x:sz val="11"/>
      <x:color rgb="FF647581"/>
      <x:name val="Carlito"/>
    </x:font>
    <x:font>
      <x:b/>
      <x:sz val="11"/>
      <x:color rgb="FF20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54B"/>
      </x:patternFill>
    </x:fill>
    <x:fill>
      <x:patternFill patternType="solid">
        <x:fgColor rgb="FFEAF3F4"/>
      </x:patternFill>
    </x:fill>
    <x:fill>
      <x:patternFill patternType="solid">
        <x:fgColor rgb="FF176B75"/>
      </x:patternFill>
    </x:fill>
    <x:fill>
      <x:patternFill patternType="solid">
        <x:fgColor rgb="FFFFF1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FF1CC"/>
        </x:patternFill>
      </x:fill>
    </x:dxf>
    <x:dxf>
      <x:fill>
        <x:patternFill patternType="solid">
          <x:bgColor rgb="FFEAF3F4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82aad3f7f426a" /><Relationship Type="http://schemas.openxmlformats.org/officeDocument/2006/relationships/theme" Target="/xl/theme/theme1.xml" Id="Rfa7b942d2dc44c03" /><Relationship Type="http://schemas.openxmlformats.org/officeDocument/2006/relationships/sharedStrings" Target="/xl/sharedStrings.xml" Id="Re8b0f4d213b948ac" /><Relationship Type="http://schemas.openxmlformats.org/officeDocument/2006/relationships/worksheet" Target="/xl/worksheets/sheet1.xml" Id="R3559ab9d60604438" /><Relationship Type="http://schemas.openxmlformats.org/officeDocument/2006/relationships/worksheet" Target="/xl/worksheets/sheet2.xml" Id="Rcf41879c1432425e" /><Relationship Type="http://schemas.openxmlformats.org/officeDocument/2006/relationships/worksheet" Target="/xl/worksheets/sheet3.xml" Id="Rb5bd7f276b29468e" /><Relationship Type="http://schemas.openxmlformats.org/officeDocument/2006/relationships/worksheet" Target="/xl/worksheets/sheet4.xml" Id="R37e3fa63d9f243d4" /><Relationship Type="http://schemas.openxmlformats.org/officeDocument/2006/relationships/worksheet" Target="/xl/worksheets/sheet5.xml" Id="R38a8f394c52a4e06" /><Relationship Type="http://schemas.openxmlformats.org/officeDocument/2006/relationships/worksheet" Target="/xl/worksheets/sheet6.xml" Id="R848e92315c004348" /><Relationship Type="http://schemas.openxmlformats.org/officeDocument/2006/relationships/worksheet" Target="/xl/worksheets/sheet7.xml" Id="Rba043e1bcc9c42d0" /><Relationship Type="http://schemas.openxmlformats.org/officeDocument/2006/relationships/worksheet" Target="/xl/worksheets/sheet8.xml" Id="Rb6b83f2e84d44d01" /></Relationships>
</file>

<file path=xl/tables/table1.xml><?xml version="1.0" encoding="utf-8"?>
<x:table xmlns:x="http://schemas.openxmlformats.org/spreadsheetml/2006/main" id="1" name="TSSCandidates" displayName="TSSCandidates" ref="A5:R175" headerRowCount="1" totalsRowCount="0" totalsRowShown="0">
  <x:tableColumns count="18">
    <x:tableColumn id="1" name="Inventory ID"/>
    <x:tableColumn id="2" name="Editorial region"/>
    <x:tableColumn id="3" name="Candidate TSS name"/>
    <x:tableColumn id="4" name="Record granularity"/>
    <x:tableColumn id="5" name="TSS validation status"/>
    <x:tableColumn id="6" name="VTS screening result"/>
    <x:tableColumn id="7" name="VTS service IDs / leads"/>
    <x:tableColumn id="8" name="Reporting screening result"/>
    <x:tableColumn id="9" name="Reporting IDs / leads"/>
    <x:tableColumn id="10" name="Research stage"/>
    <x:tableColumn id="11" name="Queued batch"/>
    <x:tableColumn id="12" name="Candidate source ID"/>
    <x:tableColumn id="13" name="Source locator"/>
    <x:tableColumn id="14" name="Candidate source URL"/>
    <x:tableColumn id="15" name="Screening source IDs"/>
    <x:tableColumn id="16" name="Screening source URLs"/>
    <x:tableColumn id="17" name="Checked / recorded"/>
    <x:tableColumn id="18" name="Outstanding chec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TSServices" displayName="VTSServices" ref="A5:N19" headerRowCount="1" totalsRowCount="0" totalsRowShown="0">
  <x:tableColumns count="14">
    <x:tableColumn id="1" name="Service ID"/>
    <x:tableColumn id="2" name="Service name"/>
    <x:tableColumn id="3" name="Area / corridor"/>
    <x:tableColumn id="4" name="Record type"/>
    <x:tableColumn id="5" name="Existence screening"/>
    <x:tableColumn id="6" name="Scope class"/>
    <x:tableColumn id="7" name="Centre / sector information"/>
    <x:tableColumn id="8" name="Reporting IDs"/>
    <x:tableColumn id="9" name="TSS candidate IDs"/>
    <x:tableColumn id="10" name="Outstanding verification"/>
    <x:tableColumn id="11" name="Source IDs"/>
    <x:tableColumn id="12" name="Source URLs"/>
    <x:tableColumn id="13" name="Checked"/>
    <x:tableColumn id="14" name="Counting / scope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ingSystems" displayName="ReportingSystems" ref="A5:L13" headerRowCount="1" totalsRowCount="0" totalsRowShown="0">
  <x:tableColumns count="12">
    <x:tableColumn id="1" name="Reporting ID"/>
    <x:tableColumn id="2" name="Scheme name"/>
    <x:tableColumn id="3" name="Area / corridor"/>
    <x:tableColumn id="4" name="Participation classification"/>
    <x:tableColumn id="5" name="Existence screening"/>
    <x:tableColumn id="6" name="Service IDs"/>
    <x:tableColumn id="7" name="TSS candidate IDs"/>
    <x:tableColumn id="8" name="Outstanding verification"/>
    <x:tableColumn id="9" name="Source IDs"/>
    <x:tableColumn id="10" name="Source URLs"/>
    <x:tableColumn id="11" name="Checked"/>
    <x:tableColumn id="12" name="Scope / counting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ityRelationships" displayName="EntityRelationships" ref="A5:I70" headerRowCount="1" totalsRowCount="0" totalsRowShown="0">
  <x:tableColumns count="9">
    <x:tableColumn id="1" name="Relationship ID"/>
    <x:tableColumn id="2" name="From ID"/>
    <x:tableColumn id="3" name="To ID"/>
    <x:tableColumn id="4" name="Relationship type"/>
    <x:tableColumn id="5" name="Evidence status"/>
    <x:tableColumn id="6" name="Source IDs"/>
    <x:tableColumn id="7" name="Source URLs"/>
    <x:tableColumn id="8" name="Checked"/>
    <x:tableColumn id="9" name="Qualifi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Sources" displayName="ResearchSources" ref="A5:J18" headerRowCount="1" totalsRowCount="0" totalsRowShown="0">
  <x:tableColumns count="10">
    <x:tableColumn id="1" name="Source ID"/>
    <x:tableColumn id="2" name="Issuing body / attribution"/>
    <x:tableColumn id="3" name="Title"/>
    <x:tableColumn id="4" name="Edition / update"/>
    <x:tableColumn id="5" name="Source class"/>
    <x:tableColumn id="6" name="Access / evidence limitation"/>
    <x:tableColumn id="7" name="Research use"/>
    <x:tableColumn id="8" name="Locator"/>
    <x:tableColumn id="9" name="Source URL"/>
    <x:tableColumn id="10" name="Check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penIssues" displayName="OpenIssues" ref="A5:G20" headerRowCount="1" totalsRowCount="0" totalsRowShown="0">
  <x:tableColumns count="7">
    <x:tableColumn id="1" name="Issue ID"/>
    <x:tableColumn id="2" name="Category"/>
    <x:tableColumn id="3" name="Status"/>
    <x:tableColumn id="4" name="Priority"/>
    <x:tableColumn id="5" name="Finding / limitation"/>
    <x:tableColumn id="6" name="Required action"/>
    <x:tableColumn id="7" name="Source 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Batches" displayName="ResearchBatches" ref="A5:H39" headerRowCount="1" totalsRowCount="0" totalsRowShown="0">
  <x:tableColumns count="8">
    <x:tableColumn id="1" name="Batch ID"/>
    <x:tableColumn id="2" name="First candidate ID"/>
    <x:tableColumn id="3" name="Last candidate ID"/>
    <x:tableColumn id="4" name="Candidate rows"/>
    <x:tableColumn id="5" name="Initial screening rows"/>
    <x:tableColumn id="6" name="Audit-complete rows"/>
    <x:tableColumn id="7" name="Batch audit status"/>
    <x:tableColumn id="8" name="Process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ab5eb9a3ed46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ab0d5eb3be4e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8c734b568a4e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20af4440654a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0e6b9f70454f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b3be0f06824e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1188840ebc401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17" hidden="0" customWidth="1"/>
    <x:col min="5" max="5" width="22" hidden="0" customWidth="1"/>
    <x:col min="6" max="6" width="21" hidden="0" customWidth="1"/>
    <x:col min="7" max="7" width="21" hidden="0" customWidth="1"/>
    <x:col min="8" max="8" width="17" hidden="0" customWidth="1"/>
  </x:cols>
  <x:sheetData>
    <x:row r="1" ht="24" customHeight="1">
      <x:c r="A1" s="6" t="str">
        <x:v>GLOBAL VTS GUIDE | RESEARCH INVENTORY</x:v>
      </x:c>
      <x:c r="B1" s="6"/>
      <x:c r="C1" s="6"/>
      <x:c r="D1" s="6"/>
      <x:c r="E1" s="6"/>
      <x:c r="F1" s="6"/>
      <x:c r="G1" s="6"/>
      <x:c r="H1" s="6"/>
    </x:row>
    <x:row r="2" ht="24" customHeight="1">
      <x:c r="A2" s="6"/>
      <x:c r="B2" s="6"/>
      <x:c r="C2" s="6"/>
      <x:c r="D2" s="6"/>
      <x:c r="E2" s="6"/>
      <x:c r="F2" s="6"/>
      <x:c r="G2" s="6"/>
      <x:c r="H2" s="6"/>
    </x:row>
    <x:row r="3" ht="26" customHeight="1">
      <x:c r="A3" s="10" t="str">
        <x:v>Version 0.1  |  29 September 2026  |  Scoping only — not for navigation</x:v>
      </x:c>
      <x:c r="B3" s="10"/>
      <x:c r="C3" s="10"/>
      <x:c r="D3" s="10"/>
      <x:c r="E3" s="10"/>
      <x:c r="F3" s="10"/>
      <x:c r="G3" s="10"/>
      <x:c r="H3" s="10"/>
    </x:row>
    <x:row r="4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31" t="str">
        <x:v>PROVISIONAL BASELINE. The TSS list uses an undated third-party reproduction of UKHO Notice 17. It is not a verified worldwide total.</x:v>
      </x:c>
      <x:c r="B5" s="31"/>
      <x:c r="C5" s="31"/>
      <x:c r="D5" s="31"/>
      <x:c r="E5" s="31"/>
      <x:c r="F5" s="31"/>
      <x:c r="G5" s="31"/>
      <x:c r="H5" s="31"/>
    </x:row>
    <x:row r="6" ht="23" customHeight="1">
      <x:c r="A6" s="31"/>
      <x:c r="B6" s="31"/>
      <x:c r="C6" s="31"/>
      <x:c r="D6" s="31"/>
      <x:c r="E6" s="31"/>
      <x:c r="F6" s="31"/>
      <x:c r="G6" s="31"/>
      <x:c r="H6" s="31"/>
    </x:row>
    <x:row r="7">
      <x:c r="A7" s="2"/>
      <x:c r="B7" s="2"/>
      <x:c r="C7" s="2"/>
      <x:c r="D7" s="2"/>
      <x:c r="E7" s="2"/>
      <x:c r="F7" s="2"/>
      <x:c r="G7" s="2"/>
      <x:c r="H7" s="2"/>
    </x:row>
    <x:row r="8" ht="30" customHeight="1">
      <x:c r="A8" s="36" t="str">
        <x:v>Candidate TSS list records</x:v>
      </x:c>
      <x:c r="B8" s="36"/>
      <x:c r="C8" s="36"/>
      <x:c r="D8" s="40" t="n">
        <x:f>COUNTA('TSS Inventory'!A6:A1000)</x:f>
        <x:v>170</x:v>
      </x:c>
      <x:c r="E8" s="36" t="str">
        <x:v>Authority-identified VTS service records</x:v>
      </x:c>
      <x:c r="F8" s="36"/>
      <x:c r="G8" s="36"/>
      <x:c r="H8" s="40" t="n">
        <x:f>COUNTA('VTS Screening'!A6:A1000)</x:f>
        <x:v>14</x:v>
      </x:c>
    </x:row>
    <x:row r="9" ht="30" customHeight="1">
      <x:c r="A9" s="36" t="str">
        <x:v>Mandatory reporting records identified</x:v>
      </x:c>
      <x:c r="B9" s="36"/>
      <x:c r="C9" s="36"/>
      <x:c r="D9" s="40" t="n">
        <x:f>COUNTIF('Reporting Seed'!D6:D1000,"Mandatory")</x:f>
        <x:v>7</x:v>
      </x:c>
      <x:c r="E9" s="36" t="str">
        <x:v>Voluntary reporting records retained separately</x:v>
      </x:c>
      <x:c r="F9" s="36"/>
      <x:c r="G9" s="36"/>
      <x:c r="H9" s="40" t="n">
        <x:f>COUNTIF('Reporting Seed'!D6:D1000,"Voluntary")</x:f>
        <x:v>1</x:v>
      </x:c>
    </x:row>
    <x:row r="10" ht="30" customHeight="1">
      <x:c r="A10" s="36" t="str">
        <x:v>TSS records with initial screening</x:v>
      </x:c>
      <x:c r="B10" s="36"/>
      <x:c r="C10" s="36"/>
      <x:c r="D10" s="40" t="n">
        <x:f>COUNTIF('TSS Inventory'!J6:J1000,"Initial screening")</x:f>
        <x:v>27</x:v>
      </x:c>
      <x:c r="E10" s="36" t="str">
        <x:v>TSS records completing full audit</x:v>
      </x:c>
      <x:c r="F10" s="36"/>
      <x:c r="G10" s="36"/>
      <x:c r="H10" s="40" t="n">
        <x:f>COUNTIF('TSS Inventory'!J6:J1000,"Audit complete")</x:f>
        <x:v>0</x:v>
      </x:c>
    </x:row>
    <x:row r="11" ht="30" customHeight="1">
      <x:c r="A11" s="36" t="str">
        <x:v>Records flagged for grouping checks</x:v>
      </x:c>
      <x:c r="B11" s="36"/>
      <x:c r="C11" s="36"/>
      <x:c r="D11" s="40" t="n">
        <x:f>COUNTIF('TSS Inventory'!D6:D1000,"Grouping check required")</x:f>
        <x:v>14</x:v>
      </x:c>
      <x:c r="E11" s="36" t="str">
        <x:v>Open issues</x:v>
      </x:c>
      <x:c r="F11" s="36"/>
      <x:c r="G11" s="36"/>
      <x:c r="H11" s="40" t="n">
        <x:f>COUNTIF(Issues!C6:C1000,"Open")</x:f>
        <x:v>15</x:v>
      </x:c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15" t="str">
        <x:v>WHAT THESE NUMBERS DO — AND DO NOT — MEAN</x:v>
      </x:c>
      <x:c r="B13" s="15"/>
      <x:c r="C13" s="15"/>
      <x:c r="D13" s="15"/>
      <x:c r="E13" s="15"/>
      <x:c r="F13" s="15"/>
      <x:c r="G13" s="15"/>
      <x:c r="H13" s="15"/>
    </x:row>
    <x:row r="14" ht="28" customHeight="1">
      <x:c r="A14" s="22" t="str">
        <x:v>One candidate list row may represent several schemes. Do not use the candidate-row total as an individual TSS count.</x:v>
      </x:c>
      <x:c r="B14" s="22"/>
      <x:c r="C14" s="22"/>
      <x:c r="D14" s="22"/>
      <x:c r="E14" s="22"/>
      <x:c r="F14" s="22"/>
      <x:c r="G14" s="22"/>
      <x:c r="H14" s="22"/>
    </x:row>
    <x:row r="15" ht="28" customHeight="1">
      <x:c r="A15" s="22" t="str">
        <x:v>Service records, control centres, sectors, reporting systems and guide entries are separate units. Their totals cannot be added.</x:v>
      </x:c>
      <x:c r="B15" s="22"/>
      <x:c r="C15" s="22"/>
      <x:c r="D15" s="22"/>
      <x:c r="E15" s="22"/>
      <x:c r="F15" s="22"/>
      <x:c r="G15" s="22"/>
      <x:c r="H15" s="22"/>
    </x:row>
    <x:row r="16" ht="28" customHeight="1">
      <x:c r="A16" s="22" t="str">
        <x:v>Only Dover's TSS association is documented at this stage. Other linked TSS/service pairs remain boundary-checking leads.</x:v>
      </x:c>
      <x:c r="B16" s="22"/>
      <x:c r="C16" s="22"/>
      <x:c r="D16" s="22"/>
      <x:c r="E16" s="22"/>
      <x:c r="F16" s="22"/>
      <x:c r="G16" s="22"/>
      <x:c r="H16" s="22"/>
    </x:row>
    <x:row r="17" ht="28" customHeight="1">
      <x:c r="A17" s="22" t="str">
        <x:v>Unsearched records say 'Not assessed'. They do not mean that no VTS or reporting scheme exists.</x:v>
      </x:c>
      <x:c r="B17" s="22"/>
      <x:c r="C17" s="22"/>
      <x:c r="D17" s="22"/>
      <x:c r="E17" s="22"/>
      <x:c r="F17" s="22"/>
      <x:c r="G17" s="22"/>
      <x:c r="H17" s="22"/>
    </x:row>
    <x:row r="18" ht="28" customHeight="1">
      <x:c r="A18" s="22" t="str">
        <x:v>The final number of legal VTS areas, guide entries, diagrams and pages has not been established.</x:v>
      </x:c>
      <x:c r="B18" s="22"/>
      <x:c r="C18" s="22"/>
      <x:c r="D18" s="22"/>
      <x:c r="E18" s="22"/>
      <x:c r="F18" s="22"/>
      <x:c r="G18" s="22"/>
      <x:c r="H18" s="2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15" t="str">
        <x:v>CANDIDATE RECORDS BY EDITORIAL REGION</x:v>
      </x:c>
      <x:c r="B20" s="15"/>
      <x:c r="C20" s="15"/>
      <x:c r="D20" s="15"/>
      <x:c r="E20" s="15"/>
      <x:c r="F20" s="15" t="str">
        <x:v>WORKBOOK MAP</x:v>
      </x:c>
      <x:c r="G20" s="15"/>
      <x:c r="H20" s="15"/>
    </x:row>
    <x:row r="21" ht="22" customHeight="1">
      <x:c r="A21" s="22" t="str">
        <x:v>British Isles and southern North Sea</x:v>
      </x:c>
      <x:c r="B21" s="22"/>
      <x:c r="C21" s="22"/>
      <x:c r="D21" s="22" t="n">
        <x:f>COUNTIF('TSS Inventory'!$B$6:$B$1000,A21)</x:f>
        <x:v>16</x:v>
      </x:c>
      <x:c r="E21" s="2"/>
      <x:c r="F21" s="44" t="str">
        <x:v>TSS Inventory</x:v>
      </x:c>
      <x:c r="G21" s="44"/>
      <x:c r="H21" s="44"/>
    </x:row>
    <x:row r="22" ht="40" customHeight="1">
      <x:c r="A22" s="22" t="str">
        <x:v>Norway and Iceland</x:v>
      </x:c>
      <x:c r="B22" s="22"/>
      <x:c r="C22" s="22"/>
      <x:c r="D22" s="22" t="n">
        <x:f>COUNTIF('TSS Inventory'!$B$6:$B$1000,A22)</x:f>
        <x:v>3</x:v>
      </x:c>
      <x:c r="E22" s="2"/>
      <x:c r="F22" s="22" t="str">
        <x:v>170 candidate names, screening state, source references and queued five-record batches.</x:v>
      </x:c>
      <x:c r="G22" s="22"/>
      <x:c r="H22" s="22"/>
    </x:row>
    <x:row r="23" ht="22" customHeight="1">
      <x:c r="A23" s="22" t="str">
        <x:v>Baltic Sea and approaches</x:v>
      </x:c>
      <x:c r="B23" s="22"/>
      <x:c r="C23" s="22"/>
      <x:c r="D23" s="22" t="n">
        <x:f>COUNTIF('TSS Inventory'!$B$6:$B$1000,A23)</x:f>
        <x:v>26</x:v>
      </x:c>
      <x:c r="E23" s="2"/>
      <x:c r="F23" s="44" t="str">
        <x:v>VTS Screening</x:v>
      </x:c>
      <x:c r="G23" s="44"/>
      <x:c r="H23" s="44"/>
    </x:row>
    <x:row r="24" ht="40" customHeight="1">
      <x:c r="A24" s="22" t="str">
        <x:v>North Sea continental coast</x:v>
      </x:c>
      <x:c r="B24" s="22"/>
      <x:c r="C24" s="22"/>
      <x:c r="D24" s="22" t="n">
        <x:f>COUNTIF('TSS Inventory'!$B$6:$B$1000,A24)</x:f>
        <x:v>13</x:v>
      </x:c>
      <x:c r="E24" s="2"/>
      <x:c r="F24" s="22" t="str">
        <x:v>Authority-identified services. Service existence is not full boundary or legal validation.</x:v>
      </x:c>
      <x:c r="G24" s="22"/>
      <x:c r="H24" s="22"/>
    </x:row>
    <x:row r="25" ht="22" customHeight="1">
      <x:c r="A25" s="22" t="str">
        <x:v>France, Iberia and Canary Islands</x:v>
      </x:c>
      <x:c r="B25" s="22"/>
      <x:c r="C25" s="22"/>
      <x:c r="D25" s="22" t="n">
        <x:f>COUNTIF('TSS Inventory'!$B$6:$B$1000,A25)</x:f>
        <x:v>7</x:v>
      </x:c>
      <x:c r="E25" s="2"/>
      <x:c r="F25" s="44" t="str">
        <x:v>Reporting Seed</x:v>
      </x:c>
      <x:c r="G25" s="44"/>
      <x:c r="H25" s="44"/>
    </x:row>
    <x:row r="26" ht="40" customHeight="1">
      <x:c r="A26" s="22" t="str">
        <x:v>Mediterranean and Black Seas</x:v>
      </x:c>
      <x:c r="B26" s="22"/>
      <x:c r="C26" s="22"/>
      <x:c r="D26" s="22" t="n">
        <x:f>COUNTIF('TSS Inventory'!$B$6:$B$1000,A26)</x:f>
        <x:v>24</x:v>
      </x:c>
      <x:c r="E26" s="2"/>
      <x:c r="F26" s="22" t="str">
        <x:v>Seven mandatory systems and one voluntary system. Worldwide coverage remains incomplete.</x:v>
      </x:c>
      <x:c r="G26" s="22"/>
      <x:c r="H26" s="22"/>
    </x:row>
    <x:row r="27" ht="22" customHeight="1">
      <x:c r="A27" s="22" t="str">
        <x:v>Southern Africa</x:v>
      </x:c>
      <x:c r="B27" s="22"/>
      <x:c r="C27" s="22"/>
      <x:c r="D27" s="22" t="n">
        <x:f>COUNTIF('TSS Inventory'!$B$6:$B$1000,A27)</x:f>
        <x:v>2</x:v>
      </x:c>
      <x:c r="E27" s="2"/>
      <x:c r="F27" s="44" t="str">
        <x:v>Relationships</x:v>
      </x:c>
      <x:c r="G27" s="44"/>
      <x:c r="H27" s="44"/>
    </x:row>
    <x:row r="28" ht="40" customHeight="1">
      <x:c r="A28" s="22" t="str">
        <x:v>Red Sea and Arabian region</x:v>
      </x:c>
      <x:c r="B28" s="22"/>
      <x:c r="C28" s="22"/>
      <x:c r="D28" s="22" t="n">
        <x:f>COUNTIF('TSS Inventory'!$B$6:$B$1000,A28)</x:f>
        <x:v>14</x:v>
      </x:c>
      <x:c r="E28" s="2"/>
      <x:c r="F28" s="22" t="str">
        <x:v>Explicit IDs connect schemes, services and candidate TSS records.</x:v>
      </x:c>
      <x:c r="G28" s="22"/>
      <x:c r="H28" s="22"/>
    </x:row>
    <x:row r="29" ht="22" customHeight="1">
      <x:c r="A29" s="22" t="str">
        <x:v>Indian Ocean and South Asia</x:v>
      </x:c>
      <x:c r="B29" s="22"/>
      <x:c r="C29" s="22"/>
      <x:c r="D29" s="22" t="n">
        <x:f>COUNTIF('TSS Inventory'!$B$6:$B$1000,A29)</x:f>
        <x:v>1</x:v>
      </x:c>
      <x:c r="E29" s="2"/>
      <x:c r="F29" s="44" t="str">
        <x:v>Sources</x:v>
      </x:c>
      <x:c r="G29" s="44"/>
      <x:c r="H29" s="44"/>
    </x:row>
    <x:row r="30" ht="40" customHeight="1">
      <x:c r="A30" s="22" t="str">
        <x:v>Malacca, Singapore and Indonesia</x:v>
      </x:c>
      <x:c r="B30" s="22"/>
      <x:c r="C30" s="22"/>
      <x:c r="D30" s="22" t="n">
        <x:f>COUNTIF('TSS Inventory'!$B$6:$B$1000,A30)</x:f>
        <x:v>10</x:v>
      </x:c>
      <x:c r="E30" s="2"/>
      <x:c r="F30" s="22" t="str">
        <x:v>Primary authority pages, candidate source provenance and inaccessible baseline targets.</x:v>
      </x:c>
      <x:c r="G30" s="22"/>
      <x:c r="H30" s="22"/>
    </x:row>
    <x:row r="31" ht="22" customHeight="1">
      <x:c r="A31" s="22" t="str">
        <x:v>China Sea and China</x:v>
      </x:c>
      <x:c r="B31" s="22"/>
      <x:c r="C31" s="22"/>
      <x:c r="D31" s="22" t="n">
        <x:f>COUNTIF('TSS Inventory'!$B$6:$B$1000,A31)</x:f>
        <x:v>4</x:v>
      </x:c>
      <x:c r="E31" s="2"/>
      <x:c r="F31" s="44" t="str">
        <x:v>Issues</x:v>
      </x:c>
      <x:c r="G31" s="44"/>
      <x:c r="H31" s="44"/>
    </x:row>
    <x:row r="32" ht="40" customHeight="1">
      <x:c r="A32" s="22" t="str">
        <x:v>North-west Pacific</x:v>
      </x:c>
      <x:c r="B32" s="22"/>
      <x:c r="C32" s="22"/>
      <x:c r="D32" s="22" t="n">
        <x:f>COUNTIF('TSS Inventory'!$B$6:$B$1000,A32)</x:f>
        <x:v>5</x:v>
      </x:c>
      <x:c r="E32" s="2"/>
      <x:c r="F32" s="22" t="str">
        <x:v>Outstanding evidence, counting and coverage questions.</x:v>
      </x:c>
      <x:c r="G32" s="22"/>
      <x:c r="H32" s="22"/>
    </x:row>
    <x:row r="33" ht="22" customHeight="1">
      <x:c r="A33" s="22" t="str">
        <x:v>Australia</x:v>
      </x:c>
      <x:c r="B33" s="22"/>
      <x:c r="C33" s="22"/>
      <x:c r="D33" s="22" t="n">
        <x:f>COUNTIF('TSS Inventory'!$B$6:$B$1000,A33)</x:f>
        <x:v>3</x:v>
      </x:c>
      <x:c r="E33" s="2"/>
      <x:c r="F33" s="44" t="str">
        <x:v>Research Queue</x:v>
      </x:c>
      <x:c r="G33" s="44"/>
      <x:c r="H33" s="44"/>
    </x:row>
    <x:row r="34" ht="40" customHeight="1">
      <x:c r="A34" s="22" t="str">
        <x:v>North America Pacific coast</x:v>
      </x:c>
      <x:c r="B34" s="22"/>
      <x:c r="C34" s="22"/>
      <x:c r="D34" s="22" t="n">
        <x:f>COUNTIF('TSS Inventory'!$B$6:$B$1000,A34)</x:f>
        <x:v>6</x:v>
      </x:c>
      <x:c r="E34" s="2"/>
      <x:c r="F34" s="22" t="str">
        <x:v>Source-order batches of five. No completed multi-pass audit is claimed.</x:v>
      </x:c>
      <x:c r="G34" s="22"/>
      <x:c r="H34" s="22"/>
    </x:row>
    <x:row r="35" ht="23" customHeight="1">
      <x:c r="A35" s="22" t="str">
        <x:v>Central and South America Pacific coast</x:v>
      </x:c>
      <x:c r="B35" s="22"/>
      <x:c r="C35" s="22"/>
      <x:c r="D35" s="22" t="n">
        <x:f>COUNTIF('TSS Inventory'!$B$6:$B$1000,A35)</x:f>
        <x:v>16</x:v>
      </x:c>
      <x:c r="E35" s="2"/>
      <x:c r="F35" s="2"/>
      <x:c r="G35" s="2"/>
      <x:c r="H35" s="2"/>
    </x:row>
    <x:row r="36" ht="23" customHeight="1">
      <x:c r="A36" s="22" t="str">
        <x:v>Caribbean, Gulf of Mexico and Panama</x:v>
      </x:c>
      <x:c r="B36" s="22"/>
      <x:c r="C36" s="22"/>
      <x:c r="D36" s="22" t="n">
        <x:f>COUNTIF('TSS Inventory'!$B$6:$B$1000,A36)</x:f>
        <x:v>11</x:v>
      </x:c>
      <x:c r="E36" s="2"/>
      <x:c r="F36" s="2"/>
      <x:c r="G36" s="2"/>
      <x:c r="H36" s="2"/>
    </x:row>
    <x:row r="37" ht="23" customHeight="1">
      <x:c r="A37" s="22" t="str">
        <x:v>North America Atlantic coast</x:v>
      </x:c>
      <x:c r="B37" s="22"/>
      <x:c r="C37" s="22"/>
      <x:c r="D37" s="22" t="n">
        <x:f>COUNTIF('TSS Inventory'!$B$6:$B$1000,A37)</x:f>
        <x:v>9</x:v>
      </x:c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15" t="str">
        <x:v>REQUIRED BEFORE A PUBLISHING-SCALE DECISION</x:v>
      </x:c>
      <x:c r="B39" s="15"/>
      <x:c r="C39" s="15"/>
      <x:c r="D39" s="15"/>
      <x:c r="E39" s="15"/>
      <x:c r="F39" s="15"/>
      <x:c r="G39" s="15"/>
      <x:c r="H39" s="15"/>
    </x:row>
    <x:row r="40" ht="29" customHeight="1">
      <x:c r="A40" s="22" t="str">
        <x:v>Obtain Derek's source PDF/index and Sarah's history document. Reconcile the list against current official routeing measures.</x:v>
      </x:c>
      <x:c r="B40" s="22"/>
      <x:c r="C40" s="22"/>
      <x:c r="D40" s="22"/>
      <x:c r="E40" s="22"/>
      <x:c r="F40" s="22"/>
      <x:c r="G40" s="22"/>
      <x:c r="H40" s="22"/>
    </x:row>
    <x:row r="41" ht="29" customHeight="1">
      <x:c r="A41" s="22" t="str">
        <x:v>Resolve grouped scheme records. Verify service limits and reporting applicability using the responsible authorities.</x:v>
      </x:c>
      <x:c r="B41" s="22"/>
      <x:c r="C41" s="22"/>
      <x:c r="D41" s="22"/>
      <x:c r="E41" s="22"/>
      <x:c r="F41" s="22"/>
      <x:c r="G41" s="22"/>
      <x:c r="H41" s="22"/>
    </x:row>
    <x:row r="42" ht="29" customHeight="1">
      <x:c r="A42" s="22" t="str">
        <x:v>Search national and non-TSS coverage separately. Reconcile sources, amendments and duplicate service names.</x:v>
      </x:c>
      <x:c r="B42" s="22"/>
      <x:c r="C42" s="22"/>
      <x:c r="D42" s="22"/>
      <x:c r="E42" s="22"/>
      <x:c r="F42" s="22"/>
      <x:c r="G42" s="22"/>
      <x:c r="H42" s="22"/>
    </x:row>
    <x:row r="43" ht="29" customHeight="1">
      <x:c r="A43" s="22" t="str">
        <x:v>Define guide-entry groupings only after the underlying area inventory is verified. Retain unresolved cases explicitly.</x:v>
      </x:c>
      <x:c r="B43" s="22"/>
      <x:c r="C43" s="22"/>
      <x:c r="D43" s="22"/>
      <x:c r="E43" s="22"/>
      <x:c r="F43" s="22"/>
      <x:c r="G43" s="22"/>
      <x:c r="H43" s="2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</x:sheetData>
  <x:mergeCells>
    <x:mergeCell ref="A1:H2"/>
    <x:mergeCell ref="A3:H3"/>
    <x:mergeCell ref="A5:H6"/>
    <x:mergeCell ref="A8:C8"/>
    <x:mergeCell ref="E8:G8"/>
    <x:mergeCell ref="A9:C9"/>
    <x:mergeCell ref="E9:G9"/>
    <x:mergeCell ref="A10:C10"/>
    <x:mergeCell ref="E10:G10"/>
    <x:mergeCell ref="A11:C11"/>
    <x:mergeCell ref="E11:G11"/>
    <x:mergeCell ref="A13:H13"/>
    <x:mergeCell ref="A14:H14"/>
    <x:mergeCell ref="A15:H15"/>
    <x:mergeCell ref="A16:H16"/>
    <x:mergeCell ref="A17:H17"/>
    <x:mergeCell ref="A18:H18"/>
    <x:mergeCell ref="A20:D20"/>
    <x:mergeCell ref="F20:H20"/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  <x:mergeCell ref="F21:H21"/>
    <x:mergeCell ref="F22:H22"/>
    <x:mergeCell ref="F23:H23"/>
    <x:mergeCell ref="F24:H24"/>
    <x:mergeCell ref="F25:H25"/>
    <x:mergeCell ref="F26:H26"/>
    <x:mergeCell ref="F27:H27"/>
    <x:mergeCell ref="F28:H28"/>
    <x:mergeCell ref="F29:H29"/>
    <x:mergeCell ref="F30:H30"/>
    <x:mergeCell ref="F31:H31"/>
    <x:mergeCell ref="F32:H32"/>
    <x:mergeCell ref="F33:H33"/>
    <x:mergeCell ref="F34:H34"/>
    <x:mergeCell ref="A39:H39"/>
    <x:mergeCell ref="A40:H40"/>
    <x:mergeCell ref="A41:H41"/>
    <x:mergeCell ref="A42:H42"/>
    <x:mergeCell ref="A43:H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48" hidden="0" customWidth="1"/>
    <x:col min="4" max="4" width="28" hidden="0" customWidth="1"/>
    <x:col min="5" max="5" width="31" hidden="0" customWidth="1"/>
    <x:col min="6" max="6" width="25" hidden="0" customWidth="1"/>
    <x:col min="7" max="7" width="31" hidden="0" customWidth="1"/>
    <x:col min="8" max="8" width="26" hidden="0" customWidth="1"/>
    <x:col min="9" max="9" width="27" hidden="0" customWidth="1"/>
    <x:col min="10" max="10" width="23" hidden="0" customWidth="1"/>
    <x:col min="11" max="11" width="14" hidden="0" customWidth="1"/>
    <x:col min="12" max="12" width="15" hidden="0" customWidth="1"/>
    <x:col min="13" max="13" width="30" hidden="0" customWidth="1"/>
    <x:col min="14" max="14" width="45" hidden="0" customWidth="1"/>
    <x:col min="15" max="15" width="22" hidden="0" customWidth="1"/>
    <x:col min="16" max="16" width="45" hidden="0" customWidth="1"/>
    <x:col min="17" max="17" width="18" hidden="0" customWidth="1"/>
    <x:col min="18" max="18" width="60" hidden="0" customWidth="1"/>
  </x:cols>
  <x:sheetData>
    <x:row r="1" ht="21" customHeight="1">
      <x:c r="A1" s="6" t="str">
        <x:v>TSS CANDIDATE INVENTORY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1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32" customHeight="1">
      <x:c r="A3" s="11" t="str">
        <x:v>Candidate names from an undated reproduction. Grouped records and current status require primary-source reconciliation.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5" customHeight="1">
      <x:c r="A5" s="17" t="str">
        <x:v>Inventory ID</x:v>
      </x:c>
      <x:c r="B5" s="17" t="str">
        <x:v>Editorial region</x:v>
      </x:c>
      <x:c r="C5" s="17" t="str">
        <x:v>Candidate TSS name</x:v>
      </x:c>
      <x:c r="D5" s="17" t="str">
        <x:v>Record granularity</x:v>
      </x:c>
      <x:c r="E5" s="17" t="str">
        <x:v>TSS validation status</x:v>
      </x:c>
      <x:c r="F5" s="17" t="str">
        <x:v>VTS screening result</x:v>
      </x:c>
      <x:c r="G5" s="17" t="str">
        <x:v>VTS service IDs / leads</x:v>
      </x:c>
      <x:c r="H5" s="17" t="str">
        <x:v>Reporting screening result</x:v>
      </x:c>
      <x:c r="I5" s="17" t="str">
        <x:v>Reporting IDs / leads</x:v>
      </x:c>
      <x:c r="J5" s="17" t="str">
        <x:v>Research stage</x:v>
      </x:c>
      <x:c r="K5" s="17" t="str">
        <x:v>Queued batch</x:v>
      </x:c>
      <x:c r="L5" s="17" t="str">
        <x:v>Candidate source ID</x:v>
      </x:c>
      <x:c r="M5" s="17" t="str">
        <x:v>Source locator</x:v>
      </x:c>
      <x:c r="N5" s="17" t="str">
        <x:v>Candidate source URL</x:v>
      </x:c>
      <x:c r="O5" s="17" t="str">
        <x:v>Screening source IDs</x:v>
      </x:c>
      <x:c r="P5" s="17" t="str">
        <x:v>Screening source URLs</x:v>
      </x:c>
      <x:c r="Q5" s="17" t="str">
        <x:v>Checked / recorded</x:v>
      </x:c>
      <x:c r="R5" s="17" t="str">
        <x:v>Outstanding checks</x:v>
      </x:c>
    </x:row>
    <x:row r="6" ht="59" customHeight="1">
      <x:c r="A6" s="23" t="str">
        <x:v>TSS-001</x:v>
      </x:c>
      <x:c r="B6" s="23" t="str">
        <x:v>British Isles and southern North Sea</x:v>
      </x:c>
      <x:c r="C6" s="23" t="str">
        <x:v>In the approaches to the River Humber</x:v>
      </x:c>
      <x:c r="D6" s="23" t="str">
        <x:v>Single source-list record</x:v>
      </x:c>
      <x:c r="E6" s="23" t="str">
        <x:v>Provisional: primary baseline pending</x:v>
      </x:c>
      <x:c r="F6" s="23" t="str">
        <x:v>Not assessed</x:v>
      </x:c>
      <x:c r="G6" s="23" t="str">
        <x:v>Not assessed</x:v>
      </x:c>
      <x:c r="H6" s="23" t="str">
        <x:v>Not assessed</x:v>
      </x:c>
      <x:c r="I6" s="23" t="str">
        <x:v>Not assessed</x:v>
      </x:c>
      <x:c r="J6" s="23" t="str">
        <x:v>Not started</x:v>
      </x:c>
      <x:c r="K6" s="23" t="str">
        <x:v>B01</x:v>
      </x:c>
      <x:c r="L6" s="23" t="str">
        <x:v>S02</x:v>
      </x:c>
      <x:c r="M6" s="23" t="str">
        <x:v>Notice 17; (2) British Isles, English Channel and southern North Sea</x:v>
      </x:c>
      <x:c r="N6" s="26" t="str">
        <x:v>https://www.scribd.com/document/1014775753/1-1-IMO-Adopted-Traffic-Separation-Schemes-on-the-ADMIRALTY-Chart-Series</x:v>
      </x:c>
      <x:c r="O6" s="23" t="str">
        <x:v>Not assessed</x:v>
      </x:c>
      <x:c r="P6" s="26" t="str">
        <x:v>Not assessed</x:v>
      </x:c>
      <x:c r="Q6" s="23" t="str">
        <x:v>2026-09-29</x:v>
      </x:c>
      <x:c r="R6" s="23" t="str">
        <x:v>Reconcile name, adoption, implementation and current status against the primary baseline.</x:v>
      </x:c>
    </x:row>
    <x:row r="7" ht="59" customHeight="1">
      <x:c r="A7" s="23" t="str">
        <x:v>TSS-002</x:v>
      </x:c>
      <x:c r="B7" s="23" t="str">
        <x:v>British Isles and southern North Sea</x:v>
      </x:c>
      <x:c r="C7" s="23" t="str">
        <x:v>In the Sunk area and northern Approaches to the Thames Estuary</x:v>
      </x:c>
      <x:c r="D7" s="23" t="str">
        <x:v>Single source-list record</x:v>
      </x:c>
      <x:c r="E7" s="23" t="str">
        <x:v>Provisional: primary baseline pending</x:v>
      </x:c>
      <x:c r="F7" s="23" t="str">
        <x:v>Not assessed</x:v>
      </x:c>
      <x:c r="G7" s="23" t="str">
        <x:v>Not assessed</x:v>
      </x:c>
      <x:c r="H7" s="23" t="str">
        <x:v>Not assessed</x:v>
      </x:c>
      <x:c r="I7" s="23" t="str">
        <x:v>Not assessed</x:v>
      </x:c>
      <x:c r="J7" s="23" t="str">
        <x:v>Not started</x:v>
      </x:c>
      <x:c r="K7" s="23" t="str">
        <x:v>B01</x:v>
      </x:c>
      <x:c r="L7" s="23" t="str">
        <x:v>S02</x:v>
      </x:c>
      <x:c r="M7" s="23" t="str">
        <x:v>Notice 17; (2) British Isles, English Channel and southern North Sea</x:v>
      </x:c>
      <x:c r="N7" s="26" t="str">
        <x:v>https://www.scribd.com/document/1014775753/1-1-IMO-Adopted-Traffic-Separation-Schemes-on-the-ADMIRALTY-Chart-Series</x:v>
      </x:c>
      <x:c r="O7" s="23" t="str">
        <x:v>Not assessed</x:v>
      </x:c>
      <x:c r="P7" s="26" t="str">
        <x:v>Not assessed</x:v>
      </x:c>
      <x:c r="Q7" s="23" t="str">
        <x:v>2026-09-29</x:v>
      </x:c>
      <x:c r="R7" s="23" t="str">
        <x:v>Reconcile name, adoption, implementation and current status against the primary baseline.</x:v>
      </x:c>
    </x:row>
    <x:row r="8" ht="59" customHeight="1">
      <x:c r="A8" s="23" t="str">
        <x:v>TSS-003</x:v>
      </x:c>
      <x:c r="B8" s="23" t="str">
        <x:v>British Isles and southern North Sea</x:v>
      </x:c>
      <x:c r="C8" s="23" t="str">
        <x:v>In the Approaches to Hook of Holland and at North Hinder</x:v>
      </x:c>
      <x:c r="D8" s="23" t="str">
        <x:v>Grouping check required</x:v>
      </x:c>
      <x:c r="E8" s="23" t="str">
        <x:v>Provisional: primary baseline pending</x:v>
      </x:c>
      <x:c r="F8" s="23" t="str">
        <x:v>Not assessed</x:v>
      </x:c>
      <x:c r="G8" s="23" t="str">
        <x:v>Not assessed</x:v>
      </x:c>
      <x:c r="H8" s="23" t="str">
        <x:v>Not assessed</x:v>
      </x:c>
      <x:c r="I8" s="23" t="str">
        <x:v>Not assessed</x:v>
      </x:c>
      <x:c r="J8" s="23" t="str">
        <x:v>Not started</x:v>
      </x:c>
      <x:c r="K8" s="23" t="str">
        <x:v>B01</x:v>
      </x:c>
      <x:c r="L8" s="23" t="str">
        <x:v>S02</x:v>
      </x:c>
      <x:c r="M8" s="23" t="str">
        <x:v>Notice 17; (2) British Isles, English Channel and southern North Sea</x:v>
      </x:c>
      <x:c r="N8" s="26" t="str">
        <x:v>https://www.scribd.com/document/1014775753/1-1-IMO-Adopted-Traffic-Separation-Schemes-on-the-ADMIRALTY-Chart-Series</x:v>
      </x:c>
      <x:c r="O8" s="23" t="str">
        <x:v>Not assessed</x:v>
      </x:c>
      <x:c r="P8" s="26" t="str">
        <x:v>Not assessed</x:v>
      </x:c>
      <x:c r="Q8" s="23" t="str">
        <x:v>2026-09-29</x:v>
      </x:c>
      <x:c r="R8" s="23" t="str">
        <x:v>Composite name: confirm whether this is one adopted measure or several.</x:v>
      </x:c>
    </x:row>
    <x:row r="9" ht="59" customHeight="1">
      <x:c r="A9" s="23" t="str">
        <x:v>TSS-004</x:v>
      </x:c>
      <x:c r="B9" s="23" t="str">
        <x:v>British Isles and southern North Sea</x:v>
      </x:c>
      <x:c r="C9" s="23" t="str">
        <x:v>At West Hinder</x:v>
      </x:c>
      <x:c r="D9" s="23" t="str">
        <x:v>Single source-list record</x:v>
      </x:c>
      <x:c r="E9" s="23" t="str">
        <x:v>Provisional: primary baseline pending</x:v>
      </x:c>
      <x:c r="F9" s="23" t="str">
        <x:v>Not assessed</x:v>
      </x:c>
      <x:c r="G9" s="23" t="str">
        <x:v>Not assessed</x:v>
      </x:c>
      <x:c r="H9" s="23" t="str">
        <x:v>Not assessed</x:v>
      </x:c>
      <x:c r="I9" s="23" t="str">
        <x:v>Not assessed</x:v>
      </x:c>
      <x:c r="J9" s="23" t="str">
        <x:v>Not started</x:v>
      </x:c>
      <x:c r="K9" s="23" t="str">
        <x:v>B01</x:v>
      </x:c>
      <x:c r="L9" s="23" t="str">
        <x:v>S02</x:v>
      </x:c>
      <x:c r="M9" s="23" t="str">
        <x:v>Notice 17; (2) British Isles, English Channel and southern North Sea</x:v>
      </x:c>
      <x:c r="N9" s="26" t="str">
        <x:v>https://www.scribd.com/document/1014775753/1-1-IMO-Adopted-Traffic-Separation-Schemes-on-the-ADMIRALTY-Chart-Series</x:v>
      </x:c>
      <x:c r="O9" s="23" t="str">
        <x:v>Not assessed</x:v>
      </x:c>
      <x:c r="P9" s="26" t="str">
        <x:v>Not assessed</x:v>
      </x:c>
      <x:c r="Q9" s="23" t="str">
        <x:v>2026-09-29</x:v>
      </x:c>
      <x:c r="R9" s="23" t="str">
        <x:v>Reconcile name, adoption, implementation and current status against the primary baseline.</x:v>
      </x:c>
    </x:row>
    <x:row r="10" ht="59" customHeight="1">
      <x:c r="A10" s="23" t="str">
        <x:v>TSS-005</x:v>
      </x:c>
      <x:c r="B10" s="23" t="str">
        <x:v>British Isles and southern North Sea</x:v>
      </x:c>
      <x:c r="C10" s="23" t="str">
        <x:v>In the Strait of Dover and adjacent waters</x:v>
      </x:c>
      <x:c r="D10" s="23" t="str">
        <x:v>Single source-list record</x:v>
      </x:c>
      <x:c r="E10" s="23" t="str">
        <x:v>Provisional: primary baseline pending</x:v>
      </x:c>
      <x:c r="F10" s="23" t="str">
        <x:v>Association documented</x:v>
      </x:c>
      <x:c r="G10" s="23" t="str">
        <x:v>VTS-001</x:v>
      </x:c>
      <x:c r="H10" s="23" t="str">
        <x:v>Association documented</x:v>
      </x:c>
      <x:c r="I10" s="23" t="str">
        <x:v>RPT-001</x:v>
      </x:c>
      <x:c r="J10" s="23" t="str">
        <x:v>Initial screening</x:v>
      </x:c>
      <x:c r="K10" s="23" t="str">
        <x:v>B01</x:v>
      </x:c>
      <x:c r="L10" s="23" t="str">
        <x:v>S02</x:v>
      </x:c>
      <x:c r="M10" s="23" t="str">
        <x:v>Notice 17; (2) British Isles, English Channel and southern North Sea</x:v>
      </x:c>
      <x:c r="N10" s="26" t="str">
        <x:v>https://www.scribd.com/document/1014775753/1-1-IMO-Adopted-Traffic-Separation-Schemes-on-the-ADMIRALTY-Chart-Series</x:v>
      </x:c>
      <x:c r="O10" s="23" t="str">
        <x:v>S04</x:v>
      </x:c>
      <x:c r="P10" s="26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Q10" s="23" t="str">
        <x:v>2026-09-29</x:v>
      </x:c>
      <x:c r="R10" s="23" t="str">
        <x:v>Reconcile name, adoption, implementation and current status against the primary baseline.</x:v>
      </x:c>
    </x:row>
    <x:row r="11" ht="59" customHeight="1">
      <x:c r="A11" s="23" t="str">
        <x:v>TSS-006</x:v>
      </x:c>
      <x:c r="B11" s="23" t="str">
        <x:v>British Isles and southern North Sea</x:v>
      </x:c>
      <x:c r="C11" s="23" t="str">
        <x:v>Off Casquets</x:v>
      </x:c>
      <x:c r="D11" s="23" t="str">
        <x:v>Single source-list record</x:v>
      </x:c>
      <x:c r="E11" s="23" t="str">
        <x:v>Provisional: primary baseline pending</x:v>
      </x:c>
      <x:c r="F11" s="23" t="str">
        <x:v>Not assessed</x:v>
      </x:c>
      <x:c r="G11" s="23" t="str">
        <x:v>Not assessed</x:v>
      </x:c>
      <x:c r="H11" s="23" t="str">
        <x:v>Not assessed</x:v>
      </x:c>
      <x:c r="I11" s="23" t="str">
        <x:v>Not assessed</x:v>
      </x:c>
      <x:c r="J11" s="23" t="str">
        <x:v>Not started</x:v>
      </x:c>
      <x:c r="K11" s="23" t="str">
        <x:v>B02</x:v>
      </x:c>
      <x:c r="L11" s="23" t="str">
        <x:v>S02</x:v>
      </x:c>
      <x:c r="M11" s="23" t="str">
        <x:v>Notice 17; (2) British Isles, English Channel and southern North Sea</x:v>
      </x:c>
      <x:c r="N11" s="26" t="str">
        <x:v>https://www.scribd.com/document/1014775753/1-1-IMO-Adopted-Traffic-Separation-Schemes-on-the-ADMIRALTY-Chart-Series</x:v>
      </x:c>
      <x:c r="O11" s="23" t="str">
        <x:v>Not assessed</x:v>
      </x:c>
      <x:c r="P11" s="26" t="str">
        <x:v>Not assessed</x:v>
      </x:c>
      <x:c r="Q11" s="23" t="str">
        <x:v>2026-09-29</x:v>
      </x:c>
      <x:c r="R11" s="23" t="str">
        <x:v>Reconcile name, adoption, implementation and current status against the primary baseline.</x:v>
      </x:c>
    </x:row>
    <x:row r="12" ht="59" customHeight="1">
      <x:c r="A12" s="23" t="str">
        <x:v>TSS-007</x:v>
      </x:c>
      <x:c r="B12" s="23" t="str">
        <x:v>British Isles and southern North Sea</x:v>
      </x:c>
      <x:c r="C12" s="23" t="str">
        <x:v>Off Land's End, between Seven Stones and Longships</x:v>
      </x:c>
      <x:c r="D12" s="23" t="str">
        <x:v>Single source-list record</x:v>
      </x:c>
      <x:c r="E12" s="23" t="str">
        <x:v>Provisional: primary baseline pending</x:v>
      </x:c>
      <x:c r="F12" s="23" t="str">
        <x:v>Not assessed</x:v>
      </x:c>
      <x:c r="G12" s="23" t="str">
        <x:v>Not assessed</x:v>
      </x:c>
      <x:c r="H12" s="23" t="str">
        <x:v>Not assessed</x:v>
      </x:c>
      <x:c r="I12" s="23" t="str">
        <x:v>Not assessed</x:v>
      </x:c>
      <x:c r="J12" s="23" t="str">
        <x:v>Not started</x:v>
      </x:c>
      <x:c r="K12" s="23" t="str">
        <x:v>B02</x:v>
      </x:c>
      <x:c r="L12" s="23" t="str">
        <x:v>S02</x:v>
      </x:c>
      <x:c r="M12" s="23" t="str">
        <x:v>Notice 17; (2) British Isles, English Channel and southern North Sea</x:v>
      </x:c>
      <x:c r="N12" s="26" t="str">
        <x:v>https://www.scribd.com/document/1014775753/1-1-IMO-Adopted-Traffic-Separation-Schemes-on-the-ADMIRALTY-Chart-Series</x:v>
      </x:c>
      <x:c r="O12" s="23" t="str">
        <x:v>Not assessed</x:v>
      </x:c>
      <x:c r="P12" s="26" t="str">
        <x:v>Not assessed</x:v>
      </x:c>
      <x:c r="Q12" s="23" t="str">
        <x:v>2026-09-29</x:v>
      </x:c>
      <x:c r="R12" s="23" t="str">
        <x:v>Reconcile name, adoption, implementation and current status against the primary baseline.</x:v>
      </x:c>
    </x:row>
    <x:row r="13" ht="59" customHeight="1">
      <x:c r="A13" s="23" t="str">
        <x:v>TSS-008</x:v>
      </x:c>
      <x:c r="B13" s="23" t="str">
        <x:v>British Isles and southern North Sea</x:v>
      </x:c>
      <x:c r="C13" s="23" t="str">
        <x:v>South of the Isles of Scilly</x:v>
      </x:c>
      <x:c r="D13" s="23" t="str">
        <x:v>Single source-list record</x:v>
      </x:c>
      <x:c r="E13" s="23" t="str">
        <x:v>Provisional: primary baseline pending</x:v>
      </x:c>
      <x:c r="F13" s="23" t="str">
        <x:v>Not assessed</x:v>
      </x:c>
      <x:c r="G13" s="23" t="str">
        <x:v>Not assessed</x:v>
      </x:c>
      <x:c r="H13" s="23" t="str">
        <x:v>Not assessed</x:v>
      </x:c>
      <x:c r="I13" s="23" t="str">
        <x:v>Not assessed</x:v>
      </x:c>
      <x:c r="J13" s="23" t="str">
        <x:v>Not started</x:v>
      </x:c>
      <x:c r="K13" s="23" t="str">
        <x:v>B02</x:v>
      </x:c>
      <x:c r="L13" s="23" t="str">
        <x:v>S02</x:v>
      </x:c>
      <x:c r="M13" s="23" t="str">
        <x:v>Notice 17; (2) British Isles, English Channel and southern North Sea</x:v>
      </x:c>
      <x:c r="N13" s="26" t="str">
        <x:v>https://www.scribd.com/document/1014775753/1-1-IMO-Adopted-Traffic-Separation-Schemes-on-the-ADMIRALTY-Chart-Series</x:v>
      </x:c>
      <x:c r="O13" s="23" t="str">
        <x:v>Not assessed</x:v>
      </x:c>
      <x:c r="P13" s="26" t="str">
        <x:v>Not assessed</x:v>
      </x:c>
      <x:c r="Q13" s="23" t="str">
        <x:v>2026-09-29</x:v>
      </x:c>
      <x:c r="R13" s="23" t="str">
        <x:v>Reconcile name, adoption, implementation and current status against the primary baseline.</x:v>
      </x:c>
    </x:row>
    <x:row r="14" ht="59" customHeight="1">
      <x:c r="A14" s="23" t="str">
        <x:v>TSS-009</x:v>
      </x:c>
      <x:c r="B14" s="23" t="str">
        <x:v>British Isles and southern North Sea</x:v>
      </x:c>
      <x:c r="C14" s="23" t="str">
        <x:v>West of the Isles of Scilly</x:v>
      </x:c>
      <x:c r="D14" s="23" t="str">
        <x:v>Single source-list record</x:v>
      </x:c>
      <x:c r="E14" s="23" t="str">
        <x:v>Provisional: primary baseline pending</x:v>
      </x:c>
      <x:c r="F14" s="23" t="str">
        <x:v>Not assessed</x:v>
      </x:c>
      <x:c r="G14" s="23" t="str">
        <x:v>Not assessed</x:v>
      </x:c>
      <x:c r="H14" s="23" t="str">
        <x:v>Not assessed</x:v>
      </x:c>
      <x:c r="I14" s="23" t="str">
        <x:v>Not assessed</x:v>
      </x:c>
      <x:c r="J14" s="23" t="str">
        <x:v>Not started</x:v>
      </x:c>
      <x:c r="K14" s="23" t="str">
        <x:v>B02</x:v>
      </x:c>
      <x:c r="L14" s="23" t="str">
        <x:v>S02</x:v>
      </x:c>
      <x:c r="M14" s="23" t="str">
        <x:v>Notice 17; (2) British Isles, English Channel and southern North Sea</x:v>
      </x:c>
      <x:c r="N14" s="26" t="str">
        <x:v>https://www.scribd.com/document/1014775753/1-1-IMO-Adopted-Traffic-Separation-Schemes-on-the-ADMIRALTY-Chart-Series</x:v>
      </x:c>
      <x:c r="O14" s="23" t="str">
        <x:v>Not assessed</x:v>
      </x:c>
      <x:c r="P14" s="26" t="str">
        <x:v>Not assessed</x:v>
      </x:c>
      <x:c r="Q14" s="23" t="str">
        <x:v>2026-09-29</x:v>
      </x:c>
      <x:c r="R14" s="23" t="str">
        <x:v>Reconcile name, adoption, implementation and current status against the primary baseline.</x:v>
      </x:c>
    </x:row>
    <x:row r="15" ht="59" customHeight="1">
      <x:c r="A15" s="23" t="str">
        <x:v>TSS-010</x:v>
      </x:c>
      <x:c r="B15" s="23" t="str">
        <x:v>British Isles and southern North Sea</x:v>
      </x:c>
      <x:c r="C15" s="23" t="str">
        <x:v>Off Fastnet Rock</x:v>
      </x:c>
      <x:c r="D15" s="23" t="str">
        <x:v>Single source-list record</x:v>
      </x:c>
      <x:c r="E15" s="23" t="str">
        <x:v>Provisional: primary baseline pending</x:v>
      </x:c>
      <x:c r="F15" s="23" t="str">
        <x:v>Not assessed</x:v>
      </x:c>
      <x:c r="G15" s="23" t="str">
        <x:v>Not assessed</x:v>
      </x:c>
      <x:c r="H15" s="23" t="str">
        <x:v>Not assessed</x:v>
      </x:c>
      <x:c r="I15" s="23" t="str">
        <x:v>Not assessed</x:v>
      </x:c>
      <x:c r="J15" s="23" t="str">
        <x:v>Not started</x:v>
      </x:c>
      <x:c r="K15" s="23" t="str">
        <x:v>B02</x:v>
      </x:c>
      <x:c r="L15" s="23" t="str">
        <x:v>S02</x:v>
      </x:c>
      <x:c r="M15" s="23" t="str">
        <x:v>Notice 17; (2) British Isles, English Channel and southern North Sea</x:v>
      </x:c>
      <x:c r="N15" s="26" t="str">
        <x:v>https://www.scribd.com/document/1014775753/1-1-IMO-Adopted-Traffic-Separation-Schemes-on-the-ADMIRALTY-Chart-Series</x:v>
      </x:c>
      <x:c r="O15" s="23" t="str">
        <x:v>Not assessed</x:v>
      </x:c>
      <x:c r="P15" s="26" t="str">
        <x:v>Not assessed</x:v>
      </x:c>
      <x:c r="Q15" s="23" t="str">
        <x:v>2026-09-29</x:v>
      </x:c>
      <x:c r="R15" s="23" t="str">
        <x:v>Reconcile name, adoption, implementation and current status against the primary baseline.</x:v>
      </x:c>
    </x:row>
    <x:row r="16" ht="59" customHeight="1">
      <x:c r="A16" s="23" t="str">
        <x:v>TSS-011</x:v>
      </x:c>
      <x:c r="B16" s="23" t="str">
        <x:v>British Isles and southern North Sea</x:v>
      </x:c>
      <x:c r="C16" s="23" t="str">
        <x:v>Off Smalls</x:v>
      </x:c>
      <x:c r="D16" s="23" t="str">
        <x:v>Single source-list record</x:v>
      </x:c>
      <x:c r="E16" s="23" t="str">
        <x:v>Provisional: primary baseline pending</x:v>
      </x:c>
      <x:c r="F16" s="23" t="str">
        <x:v>Not assessed</x:v>
      </x:c>
      <x:c r="G16" s="23" t="str">
        <x:v>Not assessed</x:v>
      </x:c>
      <x:c r="H16" s="23" t="str">
        <x:v>Not assessed</x:v>
      </x:c>
      <x:c r="I16" s="23" t="str">
        <x:v>Not assessed</x:v>
      </x:c>
      <x:c r="J16" s="23" t="str">
        <x:v>Not started</x:v>
      </x:c>
      <x:c r="K16" s="23" t="str">
        <x:v>B03</x:v>
      </x:c>
      <x:c r="L16" s="23" t="str">
        <x:v>S02</x:v>
      </x:c>
      <x:c r="M16" s="23" t="str">
        <x:v>Notice 17; (2) British Isles, English Channel and southern North Sea</x:v>
      </x:c>
      <x:c r="N16" s="26" t="str">
        <x:v>https://www.scribd.com/document/1014775753/1-1-IMO-Adopted-Traffic-Separation-Schemes-on-the-ADMIRALTY-Chart-Series</x:v>
      </x:c>
      <x:c r="O16" s="23" t="str">
        <x:v>Not assessed</x:v>
      </x:c>
      <x:c r="P16" s="26" t="str">
        <x:v>Not assessed</x:v>
      </x:c>
      <x:c r="Q16" s="23" t="str">
        <x:v>2026-09-29</x:v>
      </x:c>
      <x:c r="R16" s="23" t="str">
        <x:v>Reconcile name, adoption, implementation and current status against the primary baseline.</x:v>
      </x:c>
    </x:row>
    <x:row r="17" ht="59" customHeight="1">
      <x:c r="A17" s="23" t="str">
        <x:v>TSS-012</x:v>
      </x:c>
      <x:c r="B17" s="23" t="str">
        <x:v>British Isles and southern North Sea</x:v>
      </x:c>
      <x:c r="C17" s="23" t="str">
        <x:v>Off Tuskar Rock</x:v>
      </x:c>
      <x:c r="D17" s="23" t="str">
        <x:v>Single source-list record</x:v>
      </x:c>
      <x:c r="E17" s="23" t="str">
        <x:v>Provisional: primary baseline pending</x:v>
      </x:c>
      <x:c r="F17" s="23" t="str">
        <x:v>Not assessed</x:v>
      </x:c>
      <x:c r="G17" s="23" t="str">
        <x:v>Not assessed</x:v>
      </x:c>
      <x:c r="H17" s="23" t="str">
        <x:v>Not assessed</x:v>
      </x:c>
      <x:c r="I17" s="23" t="str">
        <x:v>Not assessed</x:v>
      </x:c>
      <x:c r="J17" s="23" t="str">
        <x:v>Not started</x:v>
      </x:c>
      <x:c r="K17" s="23" t="str">
        <x:v>B03</x:v>
      </x:c>
      <x:c r="L17" s="23" t="str">
        <x:v>S02</x:v>
      </x:c>
      <x:c r="M17" s="23" t="str">
        <x:v>Notice 17; (2) British Isles, English Channel and southern North Sea</x:v>
      </x:c>
      <x:c r="N17" s="26" t="str">
        <x:v>https://www.scribd.com/document/1014775753/1-1-IMO-Adopted-Traffic-Separation-Schemes-on-the-ADMIRALTY-Chart-Series</x:v>
      </x:c>
      <x:c r="O17" s="23" t="str">
        <x:v>Not assessed</x:v>
      </x:c>
      <x:c r="P17" s="26" t="str">
        <x:v>Not assessed</x:v>
      </x:c>
      <x:c r="Q17" s="23" t="str">
        <x:v>2026-09-29</x:v>
      </x:c>
      <x:c r="R17" s="23" t="str">
        <x:v>Reconcile name, adoption, implementation and current status against the primary baseline.</x:v>
      </x:c>
    </x:row>
    <x:row r="18" ht="59" customHeight="1">
      <x:c r="A18" s="23" t="str">
        <x:v>TSS-013</x:v>
      </x:c>
      <x:c r="B18" s="23" t="str">
        <x:v>British Isles and southern North Sea</x:v>
      </x:c>
      <x:c r="C18" s="23" t="str">
        <x:v>Off Skerries</x:v>
      </x:c>
      <x:c r="D18" s="23" t="str">
        <x:v>Single source-list record</x:v>
      </x:c>
      <x:c r="E18" s="23" t="str">
        <x:v>Provisional: primary baseline pending</x:v>
      </x:c>
      <x:c r="F18" s="23" t="str">
        <x:v>Not assessed</x:v>
      </x:c>
      <x:c r="G18" s="23" t="str">
        <x:v>Not assessed</x:v>
      </x:c>
      <x:c r="H18" s="23" t="str">
        <x:v>Not assessed</x:v>
      </x:c>
      <x:c r="I18" s="23" t="str">
        <x:v>Not assessed</x:v>
      </x:c>
      <x:c r="J18" s="23" t="str">
        <x:v>Not started</x:v>
      </x:c>
      <x:c r="K18" s="23" t="str">
        <x:v>B03</x:v>
      </x:c>
      <x:c r="L18" s="23" t="str">
        <x:v>S02</x:v>
      </x:c>
      <x:c r="M18" s="23" t="str">
        <x:v>Notice 17; (2) British Isles, English Channel and southern North Sea</x:v>
      </x:c>
      <x:c r="N18" s="26" t="str">
        <x:v>https://www.scribd.com/document/1014775753/1-1-IMO-Adopted-Traffic-Separation-Schemes-on-the-ADMIRALTY-Chart-Series</x:v>
      </x:c>
      <x:c r="O18" s="23" t="str">
        <x:v>Not assessed</x:v>
      </x:c>
      <x:c r="P18" s="26" t="str">
        <x:v>Not assessed</x:v>
      </x:c>
      <x:c r="Q18" s="23" t="str">
        <x:v>2026-09-29</x:v>
      </x:c>
      <x:c r="R18" s="23" t="str">
        <x:v>Reconcile name, adoption, implementation and current status against the primary baseline.</x:v>
      </x:c>
    </x:row>
    <x:row r="19" ht="59" customHeight="1">
      <x:c r="A19" s="23" t="str">
        <x:v>TSS-014</x:v>
      </x:c>
      <x:c r="B19" s="23" t="str">
        <x:v>British Isles and southern North Sea</x:v>
      </x:c>
      <x:c r="C19" s="23" t="str">
        <x:v>In Liverpool Bay</x:v>
      </x:c>
      <x:c r="D19" s="23" t="str">
        <x:v>Single source-list record</x:v>
      </x:c>
      <x:c r="E19" s="23" t="str">
        <x:v>Provisional: primary baseline pending</x:v>
      </x:c>
      <x:c r="F19" s="23" t="str">
        <x:v>Not assessed</x:v>
      </x:c>
      <x:c r="G19" s="23" t="str">
        <x:v>Not assessed</x:v>
      </x:c>
      <x:c r="H19" s="23" t="str">
        <x:v>Not assessed</x:v>
      </x:c>
      <x:c r="I19" s="23" t="str">
        <x:v>Not assessed</x:v>
      </x:c>
      <x:c r="J19" s="23" t="str">
        <x:v>Not started</x:v>
      </x:c>
      <x:c r="K19" s="23" t="str">
        <x:v>B03</x:v>
      </x:c>
      <x:c r="L19" s="23" t="str">
        <x:v>S02</x:v>
      </x:c>
      <x:c r="M19" s="23" t="str">
        <x:v>Notice 17; (2) British Isles, English Channel and southern North Sea</x:v>
      </x:c>
      <x:c r="N19" s="26" t="str">
        <x:v>https://www.scribd.com/document/1014775753/1-1-IMO-Adopted-Traffic-Separation-Schemes-on-the-ADMIRALTY-Chart-Series</x:v>
      </x:c>
      <x:c r="O19" s="23" t="str">
        <x:v>Not assessed</x:v>
      </x:c>
      <x:c r="P19" s="26" t="str">
        <x:v>Not assessed</x:v>
      </x:c>
      <x:c r="Q19" s="23" t="str">
        <x:v>2026-09-29</x:v>
      </x:c>
      <x:c r="R19" s="23" t="str">
        <x:v>Reconcile name, adoption, implementation and current status against the primary baseline.</x:v>
      </x:c>
    </x:row>
    <x:row r="20" ht="59" customHeight="1">
      <x:c r="A20" s="23" t="str">
        <x:v>TSS-015</x:v>
      </x:c>
      <x:c r="B20" s="23" t="str">
        <x:v>British Isles and southern North Sea</x:v>
      </x:c>
      <x:c r="C20" s="23" t="str">
        <x:v>In the North Channel</x:v>
      </x:c>
      <x:c r="D20" s="23" t="str">
        <x:v>Single source-list record</x:v>
      </x:c>
      <x:c r="E20" s="23" t="str">
        <x:v>Provisional: primary baseline pending</x:v>
      </x:c>
      <x:c r="F20" s="23" t="str">
        <x:v>Not assessed</x:v>
      </x:c>
      <x:c r="G20" s="23" t="str">
        <x:v>Not assessed</x:v>
      </x:c>
      <x:c r="H20" s="23" t="str">
        <x:v>Not assessed</x:v>
      </x:c>
      <x:c r="I20" s="23" t="str">
        <x:v>Not assessed</x:v>
      </x:c>
      <x:c r="J20" s="23" t="str">
        <x:v>Not started</x:v>
      </x:c>
      <x:c r="K20" s="23" t="str">
        <x:v>B03</x:v>
      </x:c>
      <x:c r="L20" s="23" t="str">
        <x:v>S02</x:v>
      </x:c>
      <x:c r="M20" s="23" t="str">
        <x:v>Notice 17; (2) British Isles, English Channel and southern North Sea</x:v>
      </x:c>
      <x:c r="N20" s="26" t="str">
        <x:v>https://www.scribd.com/document/1014775753/1-1-IMO-Adopted-Traffic-Separation-Schemes-on-the-ADMIRALTY-Chart-Series</x:v>
      </x:c>
      <x:c r="O20" s="23" t="str">
        <x:v>Not assessed</x:v>
      </x:c>
      <x:c r="P20" s="26" t="str">
        <x:v>Not assessed</x:v>
      </x:c>
      <x:c r="Q20" s="23" t="str">
        <x:v>2026-09-29</x:v>
      </x:c>
      <x:c r="R20" s="23" t="str">
        <x:v>Reconcile name, adoption, implementation and current status against the primary baseline.</x:v>
      </x:c>
    </x:row>
    <x:row r="21" ht="59" customHeight="1">
      <x:c r="A21" s="23" t="str">
        <x:v>TSS-016</x:v>
      </x:c>
      <x:c r="B21" s="23" t="str">
        <x:v>British Isles and southern North Sea</x:v>
      </x:c>
      <x:c r="C21" s="23" t="str">
        <x:v>Off Neist Point</x:v>
      </x:c>
      <x:c r="D21" s="23" t="str">
        <x:v>Single source-list record</x:v>
      </x:c>
      <x:c r="E21" s="23" t="str">
        <x:v>Provisional: primary baseline pending</x:v>
      </x:c>
      <x:c r="F21" s="23" t="str">
        <x:v>Not assessed</x:v>
      </x:c>
      <x:c r="G21" s="23" t="str">
        <x:v>Not assessed</x:v>
      </x:c>
      <x:c r="H21" s="23" t="str">
        <x:v>Not assessed</x:v>
      </x:c>
      <x:c r="I21" s="23" t="str">
        <x:v>Not assessed</x:v>
      </x:c>
      <x:c r="J21" s="23" t="str">
        <x:v>Not started</x:v>
      </x:c>
      <x:c r="K21" s="23" t="str">
        <x:v>B04</x:v>
      </x:c>
      <x:c r="L21" s="23" t="str">
        <x:v>S02</x:v>
      </x:c>
      <x:c r="M21" s="23" t="str">
        <x:v>Notice 17; (2) British Isles, English Channel and southern North Sea</x:v>
      </x:c>
      <x:c r="N21" s="26" t="str">
        <x:v>https://www.scribd.com/document/1014775753/1-1-IMO-Adopted-Traffic-Separation-Schemes-on-the-ADMIRALTY-Chart-Series</x:v>
      </x:c>
      <x:c r="O21" s="23" t="str">
        <x:v>Not assessed</x:v>
      </x:c>
      <x:c r="P21" s="26" t="str">
        <x:v>Not assessed</x:v>
      </x:c>
      <x:c r="Q21" s="23" t="str">
        <x:v>2026-09-29</x:v>
      </x:c>
      <x:c r="R21" s="23" t="str">
        <x:v>Reconcile name, adoption, implementation and current status against the primary baseline.</x:v>
      </x:c>
    </x:row>
    <x:row r="22" ht="59" customHeight="1">
      <x:c r="A22" s="23" t="str">
        <x:v>TSS-017</x:v>
      </x:c>
      <x:c r="B22" s="23" t="str">
        <x:v>Norway and Iceland</x:v>
      </x:c>
      <x:c r="C22" s="23" t="str">
        <x:v>Off the coast of Norway</x:v>
      </x:c>
      <x:c r="D22" s="23" t="str">
        <x:v>Grouping check required</x:v>
      </x:c>
      <x:c r="E22" s="23" t="str">
        <x:v>Provisional: primary baseline pending</x:v>
      </x:c>
      <x:c r="F22" s="23" t="str">
        <x:v>Not assessed</x:v>
      </x:c>
      <x:c r="G22" s="23" t="str">
        <x:v>Not assessed</x:v>
      </x:c>
      <x:c r="H22" s="23" t="str">
        <x:v>Not assessed</x:v>
      </x:c>
      <x:c r="I22" s="23" t="str">
        <x:v>Not assessed</x:v>
      </x:c>
      <x:c r="J22" s="23" t="str">
        <x:v>Not started</x:v>
      </x:c>
      <x:c r="K22" s="23" t="str">
        <x:v>B04</x:v>
      </x:c>
      <x:c r="L22" s="23" t="str">
        <x:v>S02</x:v>
      </x:c>
      <x:c r="M22" s="23" t="str">
        <x:v>Notice 17; (3) Russia north coast, Norway, Føroyar and Iceland</x:v>
      </x:c>
      <x:c r="N22" s="26" t="str">
        <x:v>https://www.scribd.com/document/1014775753/1-1-IMO-Adopted-Traffic-Separation-Schemes-on-the-ADMIRALTY-Chart-Series</x:v>
      </x:c>
      <x:c r="O22" s="23" t="str">
        <x:v>Not assessed</x:v>
      </x:c>
      <x:c r="P22" s="26" t="str">
        <x:v>Not assessed</x:v>
      </x:c>
      <x:c r="Q22" s="23" t="str">
        <x:v>2026-09-29</x:v>
      </x:c>
      <x:c r="R22" s="23" t="str">
        <x:v>Regional heading. Decompose against the authoritative routeing publication.</x:v>
      </x:c>
    </x:row>
    <x:row r="23" ht="59" customHeight="1">
      <x:c r="A23" s="23" t="str">
        <x:v>TSS-018</x:v>
      </x:c>
      <x:c r="B23" s="23" t="str">
        <x:v>Norway and Iceland</x:v>
      </x:c>
      <x:c r="C23" s="23" t="str">
        <x:v>Off the south-west coast of Iceland: North-west of Garoskagi Point</x:v>
      </x:c>
      <x:c r="D23" s="23" t="str">
        <x:v>Single source-list record</x:v>
      </x:c>
      <x:c r="E23" s="23" t="str">
        <x:v>Provisional: primary baseline pending</x:v>
      </x:c>
      <x:c r="F23" s="23" t="str">
        <x:v>Not assessed</x:v>
      </x:c>
      <x:c r="G23" s="23" t="str">
        <x:v>Not assessed</x:v>
      </x:c>
      <x:c r="H23" s="23" t="str">
        <x:v>Not assessed</x:v>
      </x:c>
      <x:c r="I23" s="23" t="str">
        <x:v>Not assessed</x:v>
      </x:c>
      <x:c r="J23" s="23" t="str">
        <x:v>Not started</x:v>
      </x:c>
      <x:c r="K23" s="23" t="str">
        <x:v>B04</x:v>
      </x:c>
      <x:c r="L23" s="23" t="str">
        <x:v>S02</x:v>
      </x:c>
      <x:c r="M23" s="23" t="str">
        <x:v>Notice 17; (3) Russia north coast, Norway, Føroyar and Iceland</x:v>
      </x:c>
      <x:c r="N23" s="26" t="str">
        <x:v>https://www.scribd.com/document/1014775753/1-1-IMO-Adopted-Traffic-Separation-Schemes-on-the-ADMIRALTY-Chart-Series</x:v>
      </x:c>
      <x:c r="O23" s="23" t="str">
        <x:v>Not assessed</x:v>
      </x:c>
      <x:c r="P23" s="26" t="str">
        <x:v>Not assessed</x:v>
      </x:c>
      <x:c r="Q23" s="23" t="str">
        <x:v>2026-09-29</x:v>
      </x:c>
      <x:c r="R23" s="23" t="str">
        <x:v>Source transcription uses 'Garoskagi'. Verify official spelling before publication.</x:v>
      </x:c>
    </x:row>
    <x:row r="24" ht="59" customHeight="1">
      <x:c r="A24" s="23" t="str">
        <x:v>TSS-019</x:v>
      </x:c>
      <x:c r="B24" s="23" t="str">
        <x:v>Norway and Iceland</x:v>
      </x:c>
      <x:c r="C24" s="23" t="str">
        <x:v>Off the south-west coast of Iceland: South-west of the Reykjanes Peninsula</x:v>
      </x:c>
      <x:c r="D24" s="23" t="str">
        <x:v>Single source-list record</x:v>
      </x:c>
      <x:c r="E24" s="23" t="str">
        <x:v>Provisional: primary baseline pending</x:v>
      </x:c>
      <x:c r="F24" s="23" t="str">
        <x:v>Not assessed</x:v>
      </x:c>
      <x:c r="G24" s="23" t="str">
        <x:v>Not assessed</x:v>
      </x:c>
      <x:c r="H24" s="23" t="str">
        <x:v>Not assessed</x:v>
      </x:c>
      <x:c r="I24" s="23" t="str">
        <x:v>Not assessed</x:v>
      </x:c>
      <x:c r="J24" s="23" t="str">
        <x:v>Not started</x:v>
      </x:c>
      <x:c r="K24" s="23" t="str">
        <x:v>B04</x:v>
      </x:c>
      <x:c r="L24" s="23" t="str">
        <x:v>S02</x:v>
      </x:c>
      <x:c r="M24" s="23" t="str">
        <x:v>Notice 17; (3) Russia north coast, Norway, Føroyar and Iceland</x:v>
      </x:c>
      <x:c r="N24" s="26" t="str">
        <x:v>https://www.scribd.com/document/1014775753/1-1-IMO-Adopted-Traffic-Separation-Schemes-on-the-ADMIRALTY-Chart-Series</x:v>
      </x:c>
      <x:c r="O24" s="23" t="str">
        <x:v>Not assessed</x:v>
      </x:c>
      <x:c r="P24" s="26" t="str">
        <x:v>Not assessed</x:v>
      </x:c>
      <x:c r="Q24" s="23" t="str">
        <x:v>2026-09-29</x:v>
      </x:c>
      <x:c r="R24" s="23" t="str">
        <x:v>Reconcile name, adoption, implementation and current status against the primary baseline.</x:v>
      </x:c>
    </x:row>
    <x:row r="25" ht="59" customHeight="1">
      <x:c r="A25" s="23" t="str">
        <x:v>TSS-020</x:v>
      </x:c>
      <x:c r="B25" s="23" t="str">
        <x:v>Baltic Sea and approaches</x:v>
      </x:c>
      <x:c r="C25" s="23" t="str">
        <x:v>The Åland Sea: North Åland Sea, South Åland Sea</x:v>
      </x:c>
      <x:c r="D25" s="23" t="str">
        <x:v>Grouping check required</x:v>
      </x:c>
      <x:c r="E25" s="23" t="str">
        <x:v>Provisional: primary baseline pending</x:v>
      </x:c>
      <x:c r="F25" s="23" t="str">
        <x:v>Not assessed</x:v>
      </x:c>
      <x:c r="G25" s="23" t="str">
        <x:v>Not assessed</x:v>
      </x:c>
      <x:c r="H25" s="23" t="str">
        <x:v>Not assessed</x:v>
      </x:c>
      <x:c r="I25" s="23" t="str">
        <x:v>Not assessed</x:v>
      </x:c>
      <x:c r="J25" s="23" t="str">
        <x:v>Not started</x:v>
      </x:c>
      <x:c r="K25" s="23" t="str">
        <x:v>B04</x:v>
      </x:c>
      <x:c r="L25" s="23" t="str">
        <x:v>S02</x:v>
      </x:c>
      <x:c r="M25" s="23" t="str">
        <x:v>Notice 17; (4) Baltic Sea</x:v>
      </x:c>
      <x:c r="N25" s="26" t="str">
        <x:v>https://www.scribd.com/document/1014775753/1-1-IMO-Adopted-Traffic-Separation-Schemes-on-the-ADMIRALTY-Chart-Series</x:v>
      </x:c>
      <x:c r="O25" s="23" t="str">
        <x:v>Not assessed</x:v>
      </x:c>
      <x:c r="P25" s="26" t="str">
        <x:v>Not assessed</x:v>
      </x:c>
      <x:c r="Q25" s="23" t="str">
        <x:v>2026-09-29</x:v>
      </x:c>
      <x:c r="R25" s="23" t="str">
        <x:v>Explicit North/South Åland Sea grouping. Establish separate adopted measures.</x:v>
      </x:c>
    </x:row>
    <x:row r="26" ht="59" customHeight="1">
      <x:c r="A26" s="23" t="str">
        <x:v>TSS-021</x:v>
      </x:c>
      <x:c r="B26" s="23" t="str">
        <x:v>Baltic Sea and approaches</x:v>
      </x:c>
      <x:c r="C26" s="23" t="str">
        <x:v>Off Sommers Island (Ostrov Sommers)</x:v>
      </x:c>
      <x:c r="D26" s="23" t="str">
        <x:v>Single source-list record</x:v>
      </x:c>
      <x:c r="E26" s="23" t="str">
        <x:v>Provisional: primary baseline pending</x:v>
      </x:c>
      <x:c r="F26" s="23" t="str">
        <x:v>Not assessed</x:v>
      </x:c>
      <x:c r="G26" s="23" t="str">
        <x:v>Not assessed</x:v>
      </x:c>
      <x:c r="H26" s="23" t="str">
        <x:v>Scheme lead found</x:v>
      </x:c>
      <x:c r="I26" s="23" t="str">
        <x:v>RPT-006</x:v>
      </x:c>
      <x:c r="J26" s="23" t="str">
        <x:v>Initial screening</x:v>
      </x:c>
      <x:c r="K26" s="23" t="str">
        <x:v>B05</x:v>
      </x:c>
      <x:c r="L26" s="23" t="str">
        <x:v>S02</x:v>
      </x:c>
      <x:c r="M26" s="23" t="str">
        <x:v>Notice 17; (4) Baltic Sea</x:v>
      </x:c>
      <x:c r="N26" s="26" t="str">
        <x:v>https://www.scribd.com/document/1014775753/1-1-IMO-Adopted-Traffic-Separation-Schemes-on-the-ADMIRALTY-Chart-Series</x:v>
      </x:c>
      <x:c r="O26" s="23" t="str">
        <x:v>S07</x:v>
      </x:c>
      <x:c r="P26" s="26" t="str">
        <x:v>https://www.transportstyrelsen.se/sv/sjofart/sjotrafik-och-hamnar/sjotrafikrapporteringssystem-srs/</x:v>
      </x:c>
      <x:c r="Q26" s="23" t="str">
        <x:v>2026-09-29</x:v>
      </x:c>
      <x:c r="R26" s="23" t="str">
        <x:v>Reconcile name, adoption, implementation and current status against the primary baseline.</x:v>
      </x:c>
    </x:row>
    <x:row r="27" ht="59" customHeight="1">
      <x:c r="A27" s="23" t="str">
        <x:v>TSS-022</x:v>
      </x:c>
      <x:c r="B27" s="23" t="str">
        <x:v>Baltic Sea and approaches</x:v>
      </x:c>
      <x:c r="C27" s="23" t="str">
        <x:v>Off Hogland (Gogland) Island (Ostrov Gogland)</x:v>
      </x:c>
      <x:c r="D27" s="23" t="str">
        <x:v>Single source-list record</x:v>
      </x:c>
      <x:c r="E27" s="23" t="str">
        <x:v>Provisional: primary baseline pending</x:v>
      </x:c>
      <x:c r="F27" s="23" t="str">
        <x:v>Not assessed</x:v>
      </x:c>
      <x:c r="G27" s="23" t="str">
        <x:v>Not assessed</x:v>
      </x:c>
      <x:c r="H27" s="23" t="str">
        <x:v>Scheme lead found</x:v>
      </x:c>
      <x:c r="I27" s="23" t="str">
        <x:v>RPT-006</x:v>
      </x:c>
      <x:c r="J27" s="23" t="str">
        <x:v>Initial screening</x:v>
      </x:c>
      <x:c r="K27" s="23" t="str">
        <x:v>B05</x:v>
      </x:c>
      <x:c r="L27" s="23" t="str">
        <x:v>S02</x:v>
      </x:c>
      <x:c r="M27" s="23" t="str">
        <x:v>Notice 17; (4) Baltic Sea</x:v>
      </x:c>
      <x:c r="N27" s="26" t="str">
        <x:v>https://www.scribd.com/document/1014775753/1-1-IMO-Adopted-Traffic-Separation-Schemes-on-the-ADMIRALTY-Chart-Series</x:v>
      </x:c>
      <x:c r="O27" s="23" t="str">
        <x:v>S07</x:v>
      </x:c>
      <x:c r="P27" s="26" t="str">
        <x:v>https://www.transportstyrelsen.se/sv/sjofart/sjotrafik-och-hamnar/sjotrafikrapporteringssystem-srs/</x:v>
      </x:c>
      <x:c r="Q27" s="23" t="str">
        <x:v>2026-09-29</x:v>
      </x:c>
      <x:c r="R27" s="23" t="str">
        <x:v>Reconcile name, adoption, implementation and current status against the primary baseline.</x:v>
      </x:c>
    </x:row>
    <x:row r="28" ht="59" customHeight="1">
      <x:c r="A28" s="23" t="str">
        <x:v>TSS-023</x:v>
      </x:c>
      <x:c r="B28" s="23" t="str">
        <x:v>Baltic Sea and approaches</x:v>
      </x:c>
      <x:c r="C28" s="23" t="str">
        <x:v>Off Rodsher Island (Ostrov Rodsher)</x:v>
      </x:c>
      <x:c r="D28" s="23" t="str">
        <x:v>Single source-list record</x:v>
      </x:c>
      <x:c r="E28" s="23" t="str">
        <x:v>Provisional: primary baseline pending</x:v>
      </x:c>
      <x:c r="F28" s="23" t="str">
        <x:v>Not assessed</x:v>
      </x:c>
      <x:c r="G28" s="23" t="str">
        <x:v>Not assessed</x:v>
      </x:c>
      <x:c r="H28" s="23" t="str">
        <x:v>Scheme lead found</x:v>
      </x:c>
      <x:c r="I28" s="23" t="str">
        <x:v>RPT-006</x:v>
      </x:c>
      <x:c r="J28" s="23" t="str">
        <x:v>Initial screening</x:v>
      </x:c>
      <x:c r="K28" s="23" t="str">
        <x:v>B05</x:v>
      </x:c>
      <x:c r="L28" s="23" t="str">
        <x:v>S02</x:v>
      </x:c>
      <x:c r="M28" s="23" t="str">
        <x:v>Notice 17; (4) Baltic Sea</x:v>
      </x:c>
      <x:c r="N28" s="26" t="str">
        <x:v>https://www.scribd.com/document/1014775753/1-1-IMO-Adopted-Traffic-Separation-Schemes-on-the-ADMIRALTY-Chart-Series</x:v>
      </x:c>
      <x:c r="O28" s="23" t="str">
        <x:v>S07</x:v>
      </x:c>
      <x:c r="P28" s="26" t="str">
        <x:v>https://www.transportstyrelsen.se/sv/sjofart/sjotrafik-och-hamnar/sjotrafikrapporteringssystem-srs/</x:v>
      </x:c>
      <x:c r="Q28" s="23" t="str">
        <x:v>2026-09-29</x:v>
      </x:c>
      <x:c r="R28" s="23" t="str">
        <x:v>Reconcile name, adoption, implementation and current status against the primary baseline.</x:v>
      </x:c>
    </x:row>
    <x:row r="29" ht="59" customHeight="1">
      <x:c r="A29" s="23" t="str">
        <x:v>TSS-024</x:v>
      </x:c>
      <x:c r="B29" s="23" t="str">
        <x:v>Baltic Sea and approaches</x:v>
      </x:c>
      <x:c r="C29" s="23" t="str">
        <x:v>Off Kalbådagrund Lighthouse</x:v>
      </x:c>
      <x:c r="D29" s="23" t="str">
        <x:v>Single source-list record</x:v>
      </x:c>
      <x:c r="E29" s="23" t="str">
        <x:v>Provisional: primary baseline pending</x:v>
      </x:c>
      <x:c r="F29" s="23" t="str">
        <x:v>Not assessed</x:v>
      </x:c>
      <x:c r="G29" s="23" t="str">
        <x:v>Not assessed</x:v>
      </x:c>
      <x:c r="H29" s="23" t="str">
        <x:v>Scheme lead found</x:v>
      </x:c>
      <x:c r="I29" s="23" t="str">
        <x:v>RPT-006</x:v>
      </x:c>
      <x:c r="J29" s="23" t="str">
        <x:v>Initial screening</x:v>
      </x:c>
      <x:c r="K29" s="23" t="str">
        <x:v>B05</x:v>
      </x:c>
      <x:c r="L29" s="23" t="str">
        <x:v>S02</x:v>
      </x:c>
      <x:c r="M29" s="23" t="str">
        <x:v>Notice 17; (4) Baltic Sea</x:v>
      </x:c>
      <x:c r="N29" s="26" t="str">
        <x:v>https://www.scribd.com/document/1014775753/1-1-IMO-Adopted-Traffic-Separation-Schemes-on-the-ADMIRALTY-Chart-Series</x:v>
      </x:c>
      <x:c r="O29" s="23" t="str">
        <x:v>S07</x:v>
      </x:c>
      <x:c r="P29" s="26" t="str">
        <x:v>https://www.transportstyrelsen.se/sv/sjofart/sjotrafik-och-hamnar/sjotrafikrapporteringssystem-srs/</x:v>
      </x:c>
      <x:c r="Q29" s="23" t="str">
        <x:v>2026-09-29</x:v>
      </x:c>
      <x:c r="R29" s="23" t="str">
        <x:v>Reconcile name, adoption, implementation and current status against the primary baseline.</x:v>
      </x:c>
    </x:row>
    <x:row r="30" ht="59" customHeight="1">
      <x:c r="A30" s="23" t="str">
        <x:v>TSS-025</x:v>
      </x:c>
      <x:c r="B30" s="23" t="str">
        <x:v>Baltic Sea and approaches</x:v>
      </x:c>
      <x:c r="C30" s="23" t="str">
        <x:v>Off Porkkala Lighthouse</x:v>
      </x:c>
      <x:c r="D30" s="23" t="str">
        <x:v>Single source-list record</x:v>
      </x:c>
      <x:c r="E30" s="23" t="str">
        <x:v>Provisional: primary baseline pending</x:v>
      </x:c>
      <x:c r="F30" s="23" t="str">
        <x:v>Not assessed</x:v>
      </x:c>
      <x:c r="G30" s="23" t="str">
        <x:v>Not assessed</x:v>
      </x:c>
      <x:c r="H30" s="23" t="str">
        <x:v>Scheme lead found</x:v>
      </x:c>
      <x:c r="I30" s="23" t="str">
        <x:v>RPT-006</x:v>
      </x:c>
      <x:c r="J30" s="23" t="str">
        <x:v>Initial screening</x:v>
      </x:c>
      <x:c r="K30" s="23" t="str">
        <x:v>B05</x:v>
      </x:c>
      <x:c r="L30" s="23" t="str">
        <x:v>S02</x:v>
      </x:c>
      <x:c r="M30" s="23" t="str">
        <x:v>Notice 17; (4) Baltic Sea</x:v>
      </x:c>
      <x:c r="N30" s="26" t="str">
        <x:v>https://www.scribd.com/document/1014775753/1-1-IMO-Adopted-Traffic-Separation-Schemes-on-the-ADMIRALTY-Chart-Series</x:v>
      </x:c>
      <x:c r="O30" s="23" t="str">
        <x:v>S07</x:v>
      </x:c>
      <x:c r="P30" s="26" t="str">
        <x:v>https://www.transportstyrelsen.se/sv/sjofart/sjotrafik-och-hamnar/sjotrafikrapporteringssystem-srs/</x:v>
      </x:c>
      <x:c r="Q30" s="23" t="str">
        <x:v>2026-09-29</x:v>
      </x:c>
      <x:c r="R30" s="23" t="str">
        <x:v>Reconcile name, adoption, implementation and current status against the primary baseline.</x:v>
      </x:c>
    </x:row>
    <x:row r="31" ht="59" customHeight="1">
      <x:c r="A31" s="23" t="str">
        <x:v>TSS-026</x:v>
      </x:c>
      <x:c r="B31" s="23" t="str">
        <x:v>Baltic Sea and approaches</x:v>
      </x:c>
      <x:c r="C31" s="23" t="str">
        <x:v>Off Hankoniemi Peninsula (Hanko)</x:v>
      </x:c>
      <x:c r="D31" s="23" t="str">
        <x:v>Single source-list record</x:v>
      </x:c>
      <x:c r="E31" s="23" t="str">
        <x:v>Provisional: primary baseline pending</x:v>
      </x:c>
      <x:c r="F31" s="23" t="str">
        <x:v>Not assessed</x:v>
      </x:c>
      <x:c r="G31" s="23" t="str">
        <x:v>Not assessed</x:v>
      </x:c>
      <x:c r="H31" s="23" t="str">
        <x:v>Scheme lead found</x:v>
      </x:c>
      <x:c r="I31" s="23" t="str">
        <x:v>RPT-006</x:v>
      </x:c>
      <x:c r="J31" s="23" t="str">
        <x:v>Initial screening</x:v>
      </x:c>
      <x:c r="K31" s="23" t="str">
        <x:v>B06</x:v>
      </x:c>
      <x:c r="L31" s="23" t="str">
        <x:v>S02</x:v>
      </x:c>
      <x:c r="M31" s="23" t="str">
        <x:v>Notice 17; (4) Baltic Sea</x:v>
      </x:c>
      <x:c r="N31" s="26" t="str">
        <x:v>https://www.scribd.com/document/1014775753/1-1-IMO-Adopted-Traffic-Separation-Schemes-on-the-ADMIRALTY-Chart-Series</x:v>
      </x:c>
      <x:c r="O31" s="23" t="str">
        <x:v>S07</x:v>
      </x:c>
      <x:c r="P31" s="26" t="str">
        <x:v>https://www.transportstyrelsen.se/sv/sjofart/sjotrafik-och-hamnar/sjotrafikrapporteringssystem-srs/</x:v>
      </x:c>
      <x:c r="Q31" s="23" t="str">
        <x:v>2026-09-29</x:v>
      </x:c>
      <x:c r="R31" s="23" t="str">
        <x:v>Reconcile name, adoption, implementation and current status against the primary baseline.</x:v>
      </x:c>
    </x:row>
    <x:row r="32" ht="59" customHeight="1">
      <x:c r="A32" s="23" t="str">
        <x:v>TSS-027</x:v>
      </x:c>
      <x:c r="B32" s="23" t="str">
        <x:v>Baltic Sea and approaches</x:v>
      </x:c>
      <x:c r="C32" s="23" t="str">
        <x:v>Off Köpu Peninsula (Hiiumaa Island)</x:v>
      </x:c>
      <x:c r="D32" s="23" t="str">
        <x:v>Single source-list record</x:v>
      </x:c>
      <x:c r="E32" s="23" t="str">
        <x:v>Provisional: primary baseline pending</x:v>
      </x:c>
      <x:c r="F32" s="23" t="str">
        <x:v>Not assessed</x:v>
      </x:c>
      <x:c r="G32" s="23" t="str">
        <x:v>Not assessed</x:v>
      </x:c>
      <x:c r="H32" s="23" t="str">
        <x:v>Not assessed</x:v>
      </x:c>
      <x:c r="I32" s="23" t="str">
        <x:v>Not assessed</x:v>
      </x:c>
      <x:c r="J32" s="23" t="str">
        <x:v>Not started</x:v>
      </x:c>
      <x:c r="K32" s="23" t="str">
        <x:v>B06</x:v>
      </x:c>
      <x:c r="L32" s="23" t="str">
        <x:v>S02</x:v>
      </x:c>
      <x:c r="M32" s="23" t="str">
        <x:v>Notice 17; (4) Baltic Sea</x:v>
      </x:c>
      <x:c r="N32" s="26" t="str">
        <x:v>https://www.scribd.com/document/1014775753/1-1-IMO-Adopted-Traffic-Separation-Schemes-on-the-ADMIRALTY-Chart-Series</x:v>
      </x:c>
      <x:c r="O32" s="23" t="str">
        <x:v>Not assessed</x:v>
      </x:c>
      <x:c r="P32" s="26" t="str">
        <x:v>Not assessed</x:v>
      </x:c>
      <x:c r="Q32" s="23" t="str">
        <x:v>2026-09-29</x:v>
      </x:c>
      <x:c r="R32" s="23" t="str">
        <x:v>Source also gives the local-name form 'Köpu Poolsaar'; verify current spelling.</x:v>
      </x:c>
    </x:row>
    <x:row r="33" ht="59" customHeight="1">
      <x:c r="A33" s="23" t="str">
        <x:v>TSS-028</x:v>
      </x:c>
      <x:c r="B33" s="23" t="str">
        <x:v>Baltic Sea and approaches</x:v>
      </x:c>
      <x:c r="C33" s="23" t="str">
        <x:v>North Hoburgs Bank</x:v>
      </x:c>
      <x:c r="D33" s="23" t="str">
        <x:v>Single source-list record</x:v>
      </x:c>
      <x:c r="E33" s="23" t="str">
        <x:v>Provisional: primary baseline pending</x:v>
      </x:c>
      <x:c r="F33" s="23" t="str">
        <x:v>Not assessed</x:v>
      </x:c>
      <x:c r="G33" s="23" t="str">
        <x:v>Not assessed</x:v>
      </x:c>
      <x:c r="H33" s="23" t="str">
        <x:v>Not assessed</x:v>
      </x:c>
      <x:c r="I33" s="23" t="str">
        <x:v>Not assessed</x:v>
      </x:c>
      <x:c r="J33" s="23" t="str">
        <x:v>Not started</x:v>
      </x:c>
      <x:c r="K33" s="23" t="str">
        <x:v>B06</x:v>
      </x:c>
      <x:c r="L33" s="23" t="str">
        <x:v>S02</x:v>
      </x:c>
      <x:c r="M33" s="23" t="str">
        <x:v>Notice 17; (4) Baltic Sea</x:v>
      </x:c>
      <x:c r="N33" s="26" t="str">
        <x:v>https://www.scribd.com/document/1014775753/1-1-IMO-Adopted-Traffic-Separation-Schemes-on-the-ADMIRALTY-Chart-Series</x:v>
      </x:c>
      <x:c r="O33" s="23" t="str">
        <x:v>Not assessed</x:v>
      </x:c>
      <x:c r="P33" s="26" t="str">
        <x:v>Not assessed</x:v>
      </x:c>
      <x:c r="Q33" s="23" t="str">
        <x:v>2026-09-29</x:v>
      </x:c>
      <x:c r="R33" s="23" t="str">
        <x:v>Reconcile name, adoption, implementation and current status against the primary baseline.</x:v>
      </x:c>
    </x:row>
    <x:row r="34" ht="59" customHeight="1">
      <x:c r="A34" s="23" t="str">
        <x:v>TSS-029</x:v>
      </x:c>
      <x:c r="B34" s="23" t="str">
        <x:v>Baltic Sea and approaches</x:v>
      </x:c>
      <x:c r="C34" s="23" t="str">
        <x:v>South Hoburgs Bank</x:v>
      </x:c>
      <x:c r="D34" s="23" t="str">
        <x:v>Single source-list record</x:v>
      </x:c>
      <x:c r="E34" s="23" t="str">
        <x:v>Provisional: primary baseline pending</x:v>
      </x:c>
      <x:c r="F34" s="23" t="str">
        <x:v>Not assessed</x:v>
      </x:c>
      <x:c r="G34" s="23" t="str">
        <x:v>Not assessed</x:v>
      </x:c>
      <x:c r="H34" s="23" t="str">
        <x:v>Not assessed</x:v>
      </x:c>
      <x:c r="I34" s="23" t="str">
        <x:v>Not assessed</x:v>
      </x:c>
      <x:c r="J34" s="23" t="str">
        <x:v>Not started</x:v>
      </x:c>
      <x:c r="K34" s="23" t="str">
        <x:v>B06</x:v>
      </x:c>
      <x:c r="L34" s="23" t="str">
        <x:v>S02</x:v>
      </x:c>
      <x:c r="M34" s="23" t="str">
        <x:v>Notice 17; (4) Baltic Sea</x:v>
      </x:c>
      <x:c r="N34" s="26" t="str">
        <x:v>https://www.scribd.com/document/1014775753/1-1-IMO-Adopted-Traffic-Separation-Schemes-on-the-ADMIRALTY-Chart-Series</x:v>
      </x:c>
      <x:c r="O34" s="23" t="str">
        <x:v>Not assessed</x:v>
      </x:c>
      <x:c r="P34" s="26" t="str">
        <x:v>Not assessed</x:v>
      </x:c>
      <x:c r="Q34" s="23" t="str">
        <x:v>2026-09-29</x:v>
      </x:c>
      <x:c r="R34" s="23" t="str">
        <x:v>Reconcile name, adoption, implementation and current status against the primary baseline.</x:v>
      </x:c>
    </x:row>
    <x:row r="35" ht="59" customHeight="1">
      <x:c r="A35" s="23" t="str">
        <x:v>TSS-030</x:v>
      </x:c>
      <x:c r="B35" s="23" t="str">
        <x:v>Baltic Sea and approaches</x:v>
      </x:c>
      <x:c r="C35" s="23" t="str">
        <x:v>West Klintehamn</x:v>
      </x:c>
      <x:c r="D35" s="23" t="str">
        <x:v>Single source-list record</x:v>
      </x:c>
      <x:c r="E35" s="23" t="str">
        <x:v>Provisional: primary baseline pending</x:v>
      </x:c>
      <x:c r="F35" s="23" t="str">
        <x:v>Not assessed</x:v>
      </x:c>
      <x:c r="G35" s="23" t="str">
        <x:v>Not assessed</x:v>
      </x:c>
      <x:c r="H35" s="23" t="str">
        <x:v>Not assessed</x:v>
      </x:c>
      <x:c r="I35" s="23" t="str">
        <x:v>Not assessed</x:v>
      </x:c>
      <x:c r="J35" s="23" t="str">
        <x:v>Not started</x:v>
      </x:c>
      <x:c r="K35" s="23" t="str">
        <x:v>B06</x:v>
      </x:c>
      <x:c r="L35" s="23" t="str">
        <x:v>S02</x:v>
      </x:c>
      <x:c r="M35" s="23" t="str">
        <x:v>Notice 17; (4) Baltic Sea</x:v>
      </x:c>
      <x:c r="N35" s="26" t="str">
        <x:v>https://www.scribd.com/document/1014775753/1-1-IMO-Adopted-Traffic-Separation-Schemes-on-the-ADMIRALTY-Chart-Series</x:v>
      </x:c>
      <x:c r="O35" s="23" t="str">
        <x:v>Not assessed</x:v>
      </x:c>
      <x:c r="P35" s="26" t="str">
        <x:v>Not assessed</x:v>
      </x:c>
      <x:c r="Q35" s="23" t="str">
        <x:v>2026-09-29</x:v>
      </x:c>
      <x:c r="R35" s="23" t="str">
        <x:v>Reconcile name, adoption, implementation and current status against the primary baseline.</x:v>
      </x:c>
    </x:row>
    <x:row r="36" ht="59" customHeight="1">
      <x:c r="A36" s="23" t="str">
        <x:v>TSS-031</x:v>
      </x:c>
      <x:c r="B36" s="23" t="str">
        <x:v>Baltic Sea and approaches</x:v>
      </x:c>
      <x:c r="C36" s="23" t="str">
        <x:v>Midsjöbankarna</x:v>
      </x:c>
      <x:c r="D36" s="23" t="str">
        <x:v>Single source-list record</x:v>
      </x:c>
      <x:c r="E36" s="23" t="str">
        <x:v>Provisional: primary baseline pending</x:v>
      </x:c>
      <x:c r="F36" s="23" t="str">
        <x:v>Not assessed</x:v>
      </x:c>
      <x:c r="G36" s="23" t="str">
        <x:v>Not assessed</x:v>
      </x:c>
      <x:c r="H36" s="23" t="str">
        <x:v>Not assessed</x:v>
      </x:c>
      <x:c r="I36" s="23" t="str">
        <x:v>Not assessed</x:v>
      </x:c>
      <x:c r="J36" s="23" t="str">
        <x:v>Not started</x:v>
      </x:c>
      <x:c r="K36" s="23" t="str">
        <x:v>B07</x:v>
      </x:c>
      <x:c r="L36" s="23" t="str">
        <x:v>S02</x:v>
      </x:c>
      <x:c r="M36" s="23" t="str">
        <x:v>Notice 17; (4) Baltic Sea</x:v>
      </x:c>
      <x:c r="N36" s="26" t="str">
        <x:v>https://www.scribd.com/document/1014775753/1-1-IMO-Adopted-Traffic-Separation-Schemes-on-the-ADMIRALTY-Chart-Series</x:v>
      </x:c>
      <x:c r="O36" s="23" t="str">
        <x:v>Not assessed</x:v>
      </x:c>
      <x:c r="P36" s="26" t="str">
        <x:v>Not assessed</x:v>
      </x:c>
      <x:c r="Q36" s="23" t="str">
        <x:v>2026-09-29</x:v>
      </x:c>
      <x:c r="R36" s="23" t="str">
        <x:v>Reconcile name, adoption, implementation and current status against the primary baseline.</x:v>
      </x:c>
    </x:row>
    <x:row r="37" ht="59" customHeight="1">
      <x:c r="A37" s="23" t="str">
        <x:v>TSS-032</x:v>
      </x:c>
      <x:c r="B37" s="23" t="str">
        <x:v>Baltic Sea and approaches</x:v>
      </x:c>
      <x:c r="C37" s="23" t="str">
        <x:v>Adlergrund</x:v>
      </x:c>
      <x:c r="D37" s="23" t="str">
        <x:v>Single source-list record</x:v>
      </x:c>
      <x:c r="E37" s="23" t="str">
        <x:v>Provisional: primary baseline pending</x:v>
      </x:c>
      <x:c r="F37" s="23" t="str">
        <x:v>Not assessed</x:v>
      </x:c>
      <x:c r="G37" s="23" t="str">
        <x:v>Not assessed</x:v>
      </x:c>
      <x:c r="H37" s="23" t="str">
        <x:v>Not assessed</x:v>
      </x:c>
      <x:c r="I37" s="23" t="str">
        <x:v>Not assessed</x:v>
      </x:c>
      <x:c r="J37" s="23" t="str">
        <x:v>Not started</x:v>
      </x:c>
      <x:c r="K37" s="23" t="str">
        <x:v>B07</x:v>
      </x:c>
      <x:c r="L37" s="23" t="str">
        <x:v>S02</x:v>
      </x:c>
      <x:c r="M37" s="23" t="str">
        <x:v>Notice 17; (4) Baltic Sea</x:v>
      </x:c>
      <x:c r="N37" s="26" t="str">
        <x:v>https://www.scribd.com/document/1014775753/1-1-IMO-Adopted-Traffic-Separation-Schemes-on-the-ADMIRALTY-Chart-Series</x:v>
      </x:c>
      <x:c r="O37" s="23" t="str">
        <x:v>Not assessed</x:v>
      </x:c>
      <x:c r="P37" s="26" t="str">
        <x:v>Not assessed</x:v>
      </x:c>
      <x:c r="Q37" s="23" t="str">
        <x:v>2026-09-29</x:v>
      </x:c>
      <x:c r="R37" s="23" t="str">
        <x:v>Reconcile name, adoption, implementation and current status against the primary baseline.</x:v>
      </x:c>
    </x:row>
    <x:row r="38" ht="59" customHeight="1">
      <x:c r="A38" s="23" t="str">
        <x:v>TSS-033</x:v>
      </x:c>
      <x:c r="B38" s="23" t="str">
        <x:v>Baltic Sea and approaches</x:v>
      </x:c>
      <x:c r="C38" s="23" t="str">
        <x:v>Slupska Bank</x:v>
      </x:c>
      <x:c r="D38" s="23" t="str">
        <x:v>Single source-list record</x:v>
      </x:c>
      <x:c r="E38" s="23" t="str">
        <x:v>Provisional: primary baseline pending</x:v>
      </x:c>
      <x:c r="F38" s="23" t="str">
        <x:v>Not assessed</x:v>
      </x:c>
      <x:c r="G38" s="23" t="str">
        <x:v>Not assessed</x:v>
      </x:c>
      <x:c r="H38" s="23" t="str">
        <x:v>Not assessed</x:v>
      </x:c>
      <x:c r="I38" s="23" t="str">
        <x:v>Not assessed</x:v>
      </x:c>
      <x:c r="J38" s="23" t="str">
        <x:v>Not started</x:v>
      </x:c>
      <x:c r="K38" s="23" t="str">
        <x:v>B07</x:v>
      </x:c>
      <x:c r="L38" s="23" t="str">
        <x:v>S02</x:v>
      </x:c>
      <x:c r="M38" s="23" t="str">
        <x:v>Notice 17; (4) Baltic Sea</x:v>
      </x:c>
      <x:c r="N38" s="26" t="str">
        <x:v>https://www.scribd.com/document/1014775753/1-1-IMO-Adopted-Traffic-Separation-Schemes-on-the-ADMIRALTY-Chart-Series</x:v>
      </x:c>
      <x:c r="O38" s="23" t="str">
        <x:v>Not assessed</x:v>
      </x:c>
      <x:c r="P38" s="26" t="str">
        <x:v>Not assessed</x:v>
      </x:c>
      <x:c r="Q38" s="23" t="str">
        <x:v>2026-09-29</x:v>
      </x:c>
      <x:c r="R38" s="23" t="str">
        <x:v>Reconcile name, adoption, implementation and current status against the primary baseline.</x:v>
      </x:c>
    </x:row>
    <x:row r="39" ht="59" customHeight="1">
      <x:c r="A39" s="23" t="str">
        <x:v>TSS-034</x:v>
      </x:c>
      <x:c r="B39" s="23" t="str">
        <x:v>Baltic Sea and approaches</x:v>
      </x:c>
      <x:c r="C39" s="23" t="str">
        <x:v>Off Öland Island</x:v>
      </x:c>
      <x:c r="D39" s="23" t="str">
        <x:v>Single source-list record</x:v>
      </x:c>
      <x:c r="E39" s="23" t="str">
        <x:v>Provisional: primary baseline pending</x:v>
      </x:c>
      <x:c r="F39" s="23" t="str">
        <x:v>Not assessed</x:v>
      </x:c>
      <x:c r="G39" s="23" t="str">
        <x:v>Not assessed</x:v>
      </x:c>
      <x:c r="H39" s="23" t="str">
        <x:v>Not assessed</x:v>
      </x:c>
      <x:c r="I39" s="23" t="str">
        <x:v>Not assessed</x:v>
      </x:c>
      <x:c r="J39" s="23" t="str">
        <x:v>Not started</x:v>
      </x:c>
      <x:c r="K39" s="23" t="str">
        <x:v>B07</x:v>
      </x:c>
      <x:c r="L39" s="23" t="str">
        <x:v>S02</x:v>
      </x:c>
      <x:c r="M39" s="23" t="str">
        <x:v>Notice 17; (4) Baltic Sea</x:v>
      </x:c>
      <x:c r="N39" s="26" t="str">
        <x:v>https://www.scribd.com/document/1014775753/1-1-IMO-Adopted-Traffic-Separation-Schemes-on-the-ADMIRALTY-Chart-Series</x:v>
      </x:c>
      <x:c r="O39" s="23" t="str">
        <x:v>Not assessed</x:v>
      </x:c>
      <x:c r="P39" s="26" t="str">
        <x:v>Not assessed</x:v>
      </x:c>
      <x:c r="Q39" s="23" t="str">
        <x:v>2026-09-29</x:v>
      </x:c>
      <x:c r="R39" s="23" t="str">
        <x:v>Reconcile name, adoption, implementation and current status against the primary baseline.</x:v>
      </x:c>
    </x:row>
    <x:row r="40" ht="59" customHeight="1">
      <x:c r="A40" s="23" t="str">
        <x:v>TSS-035</x:v>
      </x:c>
      <x:c r="B40" s="23" t="str">
        <x:v>Baltic Sea and approaches</x:v>
      </x:c>
      <x:c r="C40" s="23" t="str">
        <x:v>In Bornholmsgat</x:v>
      </x:c>
      <x:c r="D40" s="23" t="str">
        <x:v>Single source-list record</x:v>
      </x:c>
      <x:c r="E40" s="23" t="str">
        <x:v>Provisional: primary baseline pending</x:v>
      </x:c>
      <x:c r="F40" s="23" t="str">
        <x:v>Not assessed</x:v>
      </x:c>
      <x:c r="G40" s="23" t="str">
        <x:v>Not assessed</x:v>
      </x:c>
      <x:c r="H40" s="23" t="str">
        <x:v>Not assessed</x:v>
      </x:c>
      <x:c r="I40" s="23" t="str">
        <x:v>Not assessed</x:v>
      </x:c>
      <x:c r="J40" s="23" t="str">
        <x:v>Not started</x:v>
      </x:c>
      <x:c r="K40" s="23" t="str">
        <x:v>B07</x:v>
      </x:c>
      <x:c r="L40" s="23" t="str">
        <x:v>S02</x:v>
      </x:c>
      <x:c r="M40" s="23" t="str">
        <x:v>Notice 17; (4) Baltic Sea</x:v>
      </x:c>
      <x:c r="N40" s="26" t="str">
        <x:v>https://www.scribd.com/document/1014775753/1-1-IMO-Adopted-Traffic-Separation-Schemes-on-the-ADMIRALTY-Chart-Series</x:v>
      </x:c>
      <x:c r="O40" s="23" t="str">
        <x:v>Not assessed</x:v>
      </x:c>
      <x:c r="P40" s="26" t="str">
        <x:v>Not assessed</x:v>
      </x:c>
      <x:c r="Q40" s="23" t="str">
        <x:v>2026-09-29</x:v>
      </x:c>
      <x:c r="R40" s="23" t="str">
        <x:v>Reconcile name, adoption, implementation and current status against the primary baseline.</x:v>
      </x:c>
    </x:row>
    <x:row r="41" ht="59" customHeight="1">
      <x:c r="A41" s="23" t="str">
        <x:v>TSS-036</x:v>
      </x:c>
      <x:c r="B41" s="23" t="str">
        <x:v>Baltic Sea and approaches</x:v>
      </x:c>
      <x:c r="C41" s="23" t="str">
        <x:v>North of Rügen</x:v>
      </x:c>
      <x:c r="D41" s="23" t="str">
        <x:v>Single source-list record</x:v>
      </x:c>
      <x:c r="E41" s="23" t="str">
        <x:v>Provisional: primary baseline pending</x:v>
      </x:c>
      <x:c r="F41" s="23" t="str">
        <x:v>Not assessed</x:v>
      </x:c>
      <x:c r="G41" s="23" t="str">
        <x:v>Not assessed</x:v>
      </x:c>
      <x:c r="H41" s="23" t="str">
        <x:v>Not assessed</x:v>
      </x:c>
      <x:c r="I41" s="23" t="str">
        <x:v>Not assessed</x:v>
      </x:c>
      <x:c r="J41" s="23" t="str">
        <x:v>Not started</x:v>
      </x:c>
      <x:c r="K41" s="23" t="str">
        <x:v>B08</x:v>
      </x:c>
      <x:c r="L41" s="23" t="str">
        <x:v>S02</x:v>
      </x:c>
      <x:c r="M41" s="23" t="str">
        <x:v>Notice 17; (4) Baltic Sea</x:v>
      </x:c>
      <x:c r="N41" s="26" t="str">
        <x:v>https://www.scribd.com/document/1014775753/1-1-IMO-Adopted-Traffic-Separation-Schemes-on-the-ADMIRALTY-Chart-Series</x:v>
      </x:c>
      <x:c r="O41" s="23" t="str">
        <x:v>Not assessed</x:v>
      </x:c>
      <x:c r="P41" s="26" t="str">
        <x:v>Not assessed</x:v>
      </x:c>
      <x:c r="Q41" s="23" t="str">
        <x:v>2026-09-29</x:v>
      </x:c>
      <x:c r="R41" s="23" t="str">
        <x:v>Reconcile name, adoption, implementation and current status against the primary baseline.</x:v>
      </x:c>
    </x:row>
    <x:row r="42" ht="59" customHeight="1">
      <x:c r="A42" s="23" t="str">
        <x:v>TSS-037</x:v>
      </x:c>
      <x:c r="B42" s="23" t="str">
        <x:v>Baltic Sea and approaches</x:v>
      </x:c>
      <x:c r="C42" s="23" t="str">
        <x:v>South of Gedser</x:v>
      </x:c>
      <x:c r="D42" s="23" t="str">
        <x:v>Single source-list record</x:v>
      </x:c>
      <x:c r="E42" s="23" t="str">
        <x:v>Provisional: primary baseline pending</x:v>
      </x:c>
      <x:c r="F42" s="23" t="str">
        <x:v>Not assessed</x:v>
      </x:c>
      <x:c r="G42" s="23" t="str">
        <x:v>Not assessed</x:v>
      </x:c>
      <x:c r="H42" s="23" t="str">
        <x:v>Not assessed</x:v>
      </x:c>
      <x:c r="I42" s="23" t="str">
        <x:v>Not assessed</x:v>
      </x:c>
      <x:c r="J42" s="23" t="str">
        <x:v>Not started</x:v>
      </x:c>
      <x:c r="K42" s="23" t="str">
        <x:v>B08</x:v>
      </x:c>
      <x:c r="L42" s="23" t="str">
        <x:v>S02</x:v>
      </x:c>
      <x:c r="M42" s="23" t="str">
        <x:v>Notice 17; (4) Baltic Sea</x:v>
      </x:c>
      <x:c r="N42" s="26" t="str">
        <x:v>https://www.scribd.com/document/1014775753/1-1-IMO-Adopted-Traffic-Separation-Schemes-on-the-ADMIRALTY-Chart-Series</x:v>
      </x:c>
      <x:c r="O42" s="23" t="str">
        <x:v>Not assessed</x:v>
      </x:c>
      <x:c r="P42" s="26" t="str">
        <x:v>Not assessed</x:v>
      </x:c>
      <x:c r="Q42" s="23" t="str">
        <x:v>2026-09-29</x:v>
      </x:c>
      <x:c r="R42" s="23" t="str">
        <x:v>Reconcile name, adoption, implementation and current status against the primary baseline.</x:v>
      </x:c>
    </x:row>
    <x:row r="43" ht="59" customHeight="1">
      <x:c r="A43" s="23" t="str">
        <x:v>TSS-038</x:v>
      </x:c>
      <x:c r="B43" s="23" t="str">
        <x:v>Baltic Sea and approaches</x:v>
      </x:c>
      <x:c r="C43" s="23" t="str">
        <x:v>Between Korsoer and Sprogoe (Korsør and Sprogø)</x:v>
      </x:c>
      <x:c r="D43" s="23" t="str">
        <x:v>Single source-list record</x:v>
      </x:c>
      <x:c r="E43" s="23" t="str">
        <x:v>Provisional: primary baseline pending</x:v>
      </x:c>
      <x:c r="F43" s="23" t="str">
        <x:v>Service lead found</x:v>
      </x:c>
      <x:c r="G43" s="23" t="str">
        <x:v>VTS-002</x:v>
      </x:c>
      <x:c r="H43" s="23" t="str">
        <x:v>Scheme lead found</x:v>
      </x:c>
      <x:c r="I43" s="23" t="str">
        <x:v>RPT-002</x:v>
      </x:c>
      <x:c r="J43" s="23" t="str">
        <x:v>Initial screening</x:v>
      </x:c>
      <x:c r="K43" s="23" t="str">
        <x:v>B08</x:v>
      </x:c>
      <x:c r="L43" s="23" t="str">
        <x:v>S02</x:v>
      </x:c>
      <x:c r="M43" s="23" t="str">
        <x:v>Notice 17; (4) Baltic Sea</x:v>
      </x:c>
      <x:c r="N43" s="26" t="str">
        <x:v>https://www.scribd.com/document/1014775753/1-1-IMO-Adopted-Traffic-Separation-Schemes-on-the-ADMIRALTY-Chart-Series</x:v>
      </x:c>
      <x:c r="O43" s="23" t="str">
        <x:v>S05; S06</x:v>
      </x:c>
      <x:c r="P43" s="26" t="str">
        <x:v>https://www.forsvaret.dk/da/organisation/soevaernet/civile-opgaver/beltrep/
https://www.brs.dk/da/om-os/organisation/sikre-farvande/obligatoriske-skibsmeldesystemer-msrs-og-skibstrafiktjenester-vts/</x:v>
      </x:c>
      <x:c r="Q43" s="23" t="str">
        <x:v>2026-09-29</x:v>
      </x:c>
      <x:c r="R43" s="23" t="str">
        <x:v>Reconcile name, adoption, implementation and current status against the primary baseline.</x:v>
      </x:c>
    </x:row>
    <x:row r="44" ht="59" customHeight="1">
      <x:c r="A44" s="23" t="str">
        <x:v>TSS-039</x:v>
      </x:c>
      <x:c r="B44" s="23" t="str">
        <x:v>Baltic Sea and approaches</x:v>
      </x:c>
      <x:c r="C44" s="23" t="str">
        <x:v>At Hatter Barn</x:v>
      </x:c>
      <x:c r="D44" s="23" t="str">
        <x:v>Single source-list record</x:v>
      </x:c>
      <x:c r="E44" s="23" t="str">
        <x:v>Provisional: primary baseline pending</x:v>
      </x:c>
      <x:c r="F44" s="23" t="str">
        <x:v>Service lead found</x:v>
      </x:c>
      <x:c r="G44" s="23" t="str">
        <x:v>VTS-002</x:v>
      </x:c>
      <x:c r="H44" s="23" t="str">
        <x:v>Scheme lead found</x:v>
      </x:c>
      <x:c r="I44" s="23" t="str">
        <x:v>RPT-002</x:v>
      </x:c>
      <x:c r="J44" s="23" t="str">
        <x:v>Initial screening</x:v>
      </x:c>
      <x:c r="K44" s="23" t="str">
        <x:v>B08</x:v>
      </x:c>
      <x:c r="L44" s="23" t="str">
        <x:v>S02</x:v>
      </x:c>
      <x:c r="M44" s="23" t="str">
        <x:v>Notice 17; (4) Baltic Sea</x:v>
      </x:c>
      <x:c r="N44" s="26" t="str">
        <x:v>https://www.scribd.com/document/1014775753/1-1-IMO-Adopted-Traffic-Separation-Schemes-on-the-ADMIRALTY-Chart-Series</x:v>
      </x:c>
      <x:c r="O44" s="23" t="str">
        <x:v>S05; S06</x:v>
      </x:c>
      <x:c r="P44" s="26" t="str">
        <x:v>https://www.forsvaret.dk/da/organisation/soevaernet/civile-opgaver/beltrep/
https://www.brs.dk/da/om-os/organisation/sikre-farvande/obligatoriske-skibsmeldesystemer-msrs-og-skibstrafiktjenester-vts/</x:v>
      </x:c>
      <x:c r="Q44" s="23" t="str">
        <x:v>2026-09-29</x:v>
      </x:c>
      <x:c r="R44" s="23" t="str">
        <x:v>Reconcile name, adoption, implementation and current status against the primary baseline.</x:v>
      </x:c>
    </x:row>
    <x:row r="45" ht="59" customHeight="1">
      <x:c r="A45" s="23" t="str">
        <x:v>TSS-040</x:v>
      </x:c>
      <x:c r="B45" s="23" t="str">
        <x:v>Baltic Sea and approaches</x:v>
      </x:c>
      <x:c r="C45" s="23" t="str">
        <x:v>In The Sound</x:v>
      </x:c>
      <x:c r="D45" s="23" t="str">
        <x:v>Single source-list record</x:v>
      </x:c>
      <x:c r="E45" s="23" t="str">
        <x:v>Provisional: primary baseline pending</x:v>
      </x:c>
      <x:c r="F45" s="23" t="str">
        <x:v>Service lead found</x:v>
      </x:c>
      <x:c r="G45" s="23" t="str">
        <x:v>VTS-003</x:v>
      </x:c>
      <x:c r="H45" s="23" t="str">
        <x:v>Scheme lead found</x:v>
      </x:c>
      <x:c r="I45" s="23" t="str">
        <x:v>RPT-003</x:v>
      </x:c>
      <x:c r="J45" s="23" t="str">
        <x:v>Initial screening</x:v>
      </x:c>
      <x:c r="K45" s="23" t="str">
        <x:v>B08</x:v>
      </x:c>
      <x:c r="L45" s="23" t="str">
        <x:v>S02</x:v>
      </x:c>
      <x:c r="M45" s="23" t="str">
        <x:v>Notice 17; (4) Baltic Sea</x:v>
      </x:c>
      <x:c r="N45" s="26" t="str">
        <x:v>https://www.scribd.com/document/1014775753/1-1-IMO-Adopted-Traffic-Separation-Schemes-on-the-ADMIRALTY-Chart-Series</x:v>
      </x:c>
      <x:c r="O45" s="23" t="str">
        <x:v>S06; S07</x:v>
      </x:c>
      <x:c r="P45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Q45" s="23" t="str">
        <x:v>2026-09-29</x:v>
      </x:c>
      <x:c r="R45" s="23" t="str">
        <x:v>Reconcile name, adoption, implementation and current status against the primary baseline.</x:v>
      </x:c>
    </x:row>
    <x:row r="46" ht="59" customHeight="1">
      <x:c r="A46" s="23" t="str">
        <x:v>TSS-041</x:v>
      </x:c>
      <x:c r="B46" s="23" t="str">
        <x:v>Baltic Sea and approaches</x:v>
      </x:c>
      <x:c r="C46" s="23" t="str">
        <x:v>Off Falsterborev</x:v>
      </x:c>
      <x:c r="D46" s="23" t="str">
        <x:v>Single source-list record</x:v>
      </x:c>
      <x:c r="E46" s="23" t="str">
        <x:v>Provisional: primary baseline pending</x:v>
      </x:c>
      <x:c r="F46" s="23" t="str">
        <x:v>Service lead found</x:v>
      </x:c>
      <x:c r="G46" s="23" t="str">
        <x:v>VTS-003</x:v>
      </x:c>
      <x:c r="H46" s="23" t="str">
        <x:v>Scheme lead found</x:v>
      </x:c>
      <x:c r="I46" s="23" t="str">
        <x:v>RPT-003</x:v>
      </x:c>
      <x:c r="J46" s="23" t="str">
        <x:v>Initial screening</x:v>
      </x:c>
      <x:c r="K46" s="23" t="str">
        <x:v>B09</x:v>
      </x:c>
      <x:c r="L46" s="23" t="str">
        <x:v>S02</x:v>
      </x:c>
      <x:c r="M46" s="23" t="str">
        <x:v>Notice 17; (4) Baltic Sea</x:v>
      </x:c>
      <x:c r="N46" s="26" t="str">
        <x:v>https://www.scribd.com/document/1014775753/1-1-IMO-Adopted-Traffic-Separation-Schemes-on-the-ADMIRALTY-Chart-Series</x:v>
      </x:c>
      <x:c r="O46" s="23" t="str">
        <x:v>S06; S07</x:v>
      </x:c>
      <x:c r="P46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Q46" s="23" t="str">
        <x:v>2026-09-29</x:v>
      </x:c>
      <x:c r="R46" s="23" t="str">
        <x:v>Reconcile name, adoption, implementation and current status against the primary baseline.</x:v>
      </x:c>
    </x:row>
    <x:row r="47" ht="59" customHeight="1">
      <x:c r="A47" s="23" t="str">
        <x:v>TSS-042</x:v>
      </x:c>
      <x:c r="B47" s="23" t="str">
        <x:v>Baltic Sea and approaches</x:v>
      </x:c>
      <x:c r="C47" s="23" t="str">
        <x:v>Off Kiel Lighthouse</x:v>
      </x:c>
      <x:c r="D47" s="23" t="str">
        <x:v>Single source-list record</x:v>
      </x:c>
      <x:c r="E47" s="23" t="str">
        <x:v>Provisional: primary baseline pending</x:v>
      </x:c>
      <x:c r="F47" s="23" t="str">
        <x:v>Not assessed</x:v>
      </x:c>
      <x:c r="G47" s="23" t="str">
        <x:v>Not assessed</x:v>
      </x:c>
      <x:c r="H47" s="23" t="str">
        <x:v>Not assessed</x:v>
      </x:c>
      <x:c r="I47" s="23" t="str">
        <x:v>Not assessed</x:v>
      </x:c>
      <x:c r="J47" s="23" t="str">
        <x:v>Not started</x:v>
      </x:c>
      <x:c r="K47" s="23" t="str">
        <x:v>B09</x:v>
      </x:c>
      <x:c r="L47" s="23" t="str">
        <x:v>S02</x:v>
      </x:c>
      <x:c r="M47" s="23" t="str">
        <x:v>Notice 17; (4) Baltic Sea</x:v>
      </x:c>
      <x:c r="N47" s="26" t="str">
        <x:v>https://www.scribd.com/document/1014775753/1-1-IMO-Adopted-Traffic-Separation-Schemes-on-the-ADMIRALTY-Chart-Series</x:v>
      </x:c>
      <x:c r="O47" s="23" t="str">
        <x:v>Not assessed</x:v>
      </x:c>
      <x:c r="P47" s="26" t="str">
        <x:v>Not assessed</x:v>
      </x:c>
      <x:c r="Q47" s="23" t="str">
        <x:v>2026-09-29</x:v>
      </x:c>
      <x:c r="R47" s="23" t="str">
        <x:v>Reconcile name, adoption, implementation and current status against the primary baseline.</x:v>
      </x:c>
    </x:row>
    <x:row r="48" ht="59" customHeight="1">
      <x:c r="A48" s="23" t="str">
        <x:v>TSS-043</x:v>
      </x:c>
      <x:c r="B48" s="23" t="str">
        <x:v>Baltic Sea and approaches</x:v>
      </x:c>
      <x:c r="C48" s="23" t="str">
        <x:v>Gulf of Gdansk</x:v>
      </x:c>
      <x:c r="D48" s="23" t="str">
        <x:v>Single source-list record</x:v>
      </x:c>
      <x:c r="E48" s="23" t="str">
        <x:v>Provisional: primary baseline pending</x:v>
      </x:c>
      <x:c r="F48" s="23" t="str">
        <x:v>Not assessed</x:v>
      </x:c>
      <x:c r="G48" s="23" t="str">
        <x:v>Not assessed</x:v>
      </x:c>
      <x:c r="H48" s="23" t="str">
        <x:v>Scheme lead found</x:v>
      </x:c>
      <x:c r="I48" s="23" t="str">
        <x:v>RPT-007</x:v>
      </x:c>
      <x:c r="J48" s="23" t="str">
        <x:v>Initial screening</x:v>
      </x:c>
      <x:c r="K48" s="23" t="str">
        <x:v>B09</x:v>
      </x:c>
      <x:c r="L48" s="23" t="str">
        <x:v>S02</x:v>
      </x:c>
      <x:c r="M48" s="23" t="str">
        <x:v>Notice 17; (4) Baltic Sea</x:v>
      </x:c>
      <x:c r="N48" s="26" t="str">
        <x:v>https://www.scribd.com/document/1014775753/1-1-IMO-Adopted-Traffic-Separation-Schemes-on-the-ADMIRALTY-Chart-Series</x:v>
      </x:c>
      <x:c r="O48" s="23" t="str">
        <x:v>S07</x:v>
      </x:c>
      <x:c r="P48" s="26" t="str">
        <x:v>https://www.transportstyrelsen.se/sv/sjofart/sjotrafik-och-hamnar/sjotrafikrapporteringssystem-srs/</x:v>
      </x:c>
      <x:c r="Q48" s="23" t="str">
        <x:v>2026-09-29</x:v>
      </x:c>
      <x:c r="R48" s="23" t="str">
        <x:v>Reconcile name, adoption, implementation and current status against the primary baseline.</x:v>
      </x:c>
    </x:row>
    <x:row r="49" ht="59" customHeight="1">
      <x:c r="A49" s="23" t="str">
        <x:v>TSS-044</x:v>
      </x:c>
      <x:c r="B49" s="23" t="str">
        <x:v>Baltic Sea and approaches</x:v>
      </x:c>
      <x:c r="C49" s="23" t="str">
        <x:v>In Norra Kvarken</x:v>
      </x:c>
      <x:c r="D49" s="23" t="str">
        <x:v>Single source-list record</x:v>
      </x:c>
      <x:c r="E49" s="23" t="str">
        <x:v>Provisional: primary baseline pending</x:v>
      </x:c>
      <x:c r="F49" s="23" t="str">
        <x:v>Not assessed</x:v>
      </x:c>
      <x:c r="G49" s="23" t="str">
        <x:v>Not assessed</x:v>
      </x:c>
      <x:c r="H49" s="23" t="str">
        <x:v>Not assessed</x:v>
      </x:c>
      <x:c r="I49" s="23" t="str">
        <x:v>Not assessed</x:v>
      </x:c>
      <x:c r="J49" s="23" t="str">
        <x:v>Not started</x:v>
      </x:c>
      <x:c r="K49" s="23" t="str">
        <x:v>B09</x:v>
      </x:c>
      <x:c r="L49" s="23" t="str">
        <x:v>S02</x:v>
      </x:c>
      <x:c r="M49" s="23" t="str">
        <x:v>Notice 17; (4) Baltic Sea</x:v>
      </x:c>
      <x:c r="N49" s="26" t="str">
        <x:v>https://www.scribd.com/document/1014775753/1-1-IMO-Adopted-Traffic-Separation-Schemes-on-the-ADMIRALTY-Chart-Series</x:v>
      </x:c>
      <x:c r="O49" s="23" t="str">
        <x:v>Not assessed</x:v>
      </x:c>
      <x:c r="P49" s="26" t="str">
        <x:v>Not assessed</x:v>
      </x:c>
      <x:c r="Q49" s="23" t="str">
        <x:v>2026-09-29</x:v>
      </x:c>
      <x:c r="R49" s="23" t="str">
        <x:v>Reconcile name, adoption, implementation and current status against the primary baseline.</x:v>
      </x:c>
    </x:row>
    <x:row r="50" ht="59" customHeight="1">
      <x:c r="A50" s="23" t="str">
        <x:v>TSS-045</x:v>
      </x:c>
      <x:c r="B50" s="23" t="str">
        <x:v>Baltic Sea and approaches</x:v>
      </x:c>
      <x:c r="C50" s="23" t="str">
        <x:v>In the vicinity of the Kattegat</x:v>
      </x:c>
      <x:c r="D50" s="23" t="str">
        <x:v>Grouping check required</x:v>
      </x:c>
      <x:c r="E50" s="23" t="str">
        <x:v>Provisional: primary baseline pending</x:v>
      </x:c>
      <x:c r="F50" s="23" t="str">
        <x:v>Not assessed</x:v>
      </x:c>
      <x:c r="G50" s="23" t="str">
        <x:v>Not assessed</x:v>
      </x:c>
      <x:c r="H50" s="23" t="str">
        <x:v>Not assessed</x:v>
      </x:c>
      <x:c r="I50" s="23" t="str">
        <x:v>Not assessed</x:v>
      </x:c>
      <x:c r="J50" s="23" t="str">
        <x:v>Not started</x:v>
      </x:c>
      <x:c r="K50" s="23" t="str">
        <x:v>B09</x:v>
      </x:c>
      <x:c r="L50" s="23" t="str">
        <x:v>S02</x:v>
      </x:c>
      <x:c r="M50" s="23" t="str">
        <x:v>Notice 17; (4) Baltic Sea</x:v>
      </x:c>
      <x:c r="N50" s="26" t="str">
        <x:v>https://www.scribd.com/document/1014775753/1-1-IMO-Adopted-Traffic-Separation-Schemes-on-the-ADMIRALTY-Chart-Series</x:v>
      </x:c>
      <x:c r="O50" s="23" t="str">
        <x:v>Not assessed</x:v>
      </x:c>
      <x:c r="P50" s="26" t="str">
        <x:v>Not assessed</x:v>
      </x:c>
      <x:c r="Q50" s="23" t="str">
        <x:v>2026-09-29</x:v>
      </x:c>
      <x:c r="R50" s="23" t="str">
        <x:v>Regional heading. Check individual Kattegat schemes and current names.</x:v>
      </x:c>
    </x:row>
    <x:row r="51" ht="59" customHeight="1">
      <x:c r="A51" s="23" t="str">
        <x:v>TSS-046</x:v>
      </x:c>
      <x:c r="B51" s="23" t="str">
        <x:v>North Sea continental coast</x:v>
      </x:c>
      <x:c r="C51" s="23" t="str">
        <x:v>German Bight Western Approach</x:v>
      </x:c>
      <x:c r="D51" s="23" t="str">
        <x:v>Single source-list record</x:v>
      </x:c>
      <x:c r="E51" s="23" t="str">
        <x:v>Provisional: primary baseline pending</x:v>
      </x:c>
      <x:c r="F51" s="23" t="str">
        <x:v>Not assessed</x:v>
      </x:c>
      <x:c r="G51" s="23" t="str">
        <x:v>Not assessed</x:v>
      </x:c>
      <x:c r="H51" s="23" t="str">
        <x:v>Not assessed</x:v>
      </x:c>
      <x:c r="I51" s="23" t="str">
        <x:v>Not assessed</x:v>
      </x:c>
      <x:c r="J51" s="23" t="str">
        <x:v>Not started</x:v>
      </x:c>
      <x:c r="K51" s="23" t="str">
        <x:v>B10</x:v>
      </x:c>
      <x:c r="L51" s="23" t="str">
        <x:v>S02</x:v>
      </x:c>
      <x:c r="M51" s="23" t="str">
        <x:v>Notice 17; (5) North Sea</x:v>
      </x:c>
      <x:c r="N51" s="26" t="str">
        <x:v>https://www.scribd.com/document/1014775753/1-1-IMO-Adopted-Traffic-Separation-Schemes-on-the-ADMIRALTY-Chart-Series</x:v>
      </x:c>
      <x:c r="O51" s="23" t="str">
        <x:v>Not assessed</x:v>
      </x:c>
      <x:c r="P51" s="26" t="str">
        <x:v>Not assessed</x:v>
      </x:c>
      <x:c r="Q51" s="23" t="str">
        <x:v>2026-09-29</x:v>
      </x:c>
      <x:c r="R51" s="23" t="str">
        <x:v>Reconcile name, adoption, implementation and current status against the primary baseline.</x:v>
      </x:c>
    </x:row>
    <x:row r="52" ht="59" customHeight="1">
      <x:c r="A52" s="23" t="str">
        <x:v>TSS-047</x:v>
      </x:c>
      <x:c r="B52" s="23" t="str">
        <x:v>North Sea continental coast</x:v>
      </x:c>
      <x:c r="C52" s="23" t="str">
        <x:v>Elbe Approach</x:v>
      </x:c>
      <x:c r="D52" s="23" t="str">
        <x:v>Single source-list record</x:v>
      </x:c>
      <x:c r="E52" s="23" t="str">
        <x:v>Provisional: primary baseline pending</x:v>
      </x:c>
      <x:c r="F52" s="23" t="str">
        <x:v>Not assessed</x:v>
      </x:c>
      <x:c r="G52" s="23" t="str">
        <x:v>Not assessed</x:v>
      </x:c>
      <x:c r="H52" s="23" t="str">
        <x:v>Not assessed</x:v>
      </x:c>
      <x:c r="I52" s="23" t="str">
        <x:v>Not assessed</x:v>
      </x:c>
      <x:c r="J52" s="23" t="str">
        <x:v>Not started</x:v>
      </x:c>
      <x:c r="K52" s="23" t="str">
        <x:v>B10</x:v>
      </x:c>
      <x:c r="L52" s="23" t="str">
        <x:v>S02</x:v>
      </x:c>
      <x:c r="M52" s="23" t="str">
        <x:v>Notice 17; (5) North Sea</x:v>
      </x:c>
      <x:c r="N52" s="26" t="str">
        <x:v>https://www.scribd.com/document/1014775753/1-1-IMO-Adopted-Traffic-Separation-Schemes-on-the-ADMIRALTY-Chart-Series</x:v>
      </x:c>
      <x:c r="O52" s="23" t="str">
        <x:v>Not assessed</x:v>
      </x:c>
      <x:c r="P52" s="26" t="str">
        <x:v>Not assessed</x:v>
      </x:c>
      <x:c r="Q52" s="23" t="str">
        <x:v>2026-09-29</x:v>
      </x:c>
      <x:c r="R52" s="23" t="str">
        <x:v>Reconcile name, adoption, implementation and current status against the primary baseline.</x:v>
      </x:c>
    </x:row>
    <x:row r="53" ht="59" customHeight="1">
      <x:c r="A53" s="23" t="str">
        <x:v>TSS-048</x:v>
      </x:c>
      <x:c r="B53" s="23" t="str">
        <x:v>North Sea continental coast</x:v>
      </x:c>
      <x:c r="C53" s="23" t="str">
        <x:v>Jade Approach</x:v>
      </x:c>
      <x:c r="D53" s="23" t="str">
        <x:v>Single source-list record</x:v>
      </x:c>
      <x:c r="E53" s="23" t="str">
        <x:v>Provisional: primary baseline pending</x:v>
      </x:c>
      <x:c r="F53" s="23" t="str">
        <x:v>Not assessed</x:v>
      </x:c>
      <x:c r="G53" s="23" t="str">
        <x:v>Not assessed</x:v>
      </x:c>
      <x:c r="H53" s="23" t="str">
        <x:v>Not assessed</x:v>
      </x:c>
      <x:c r="I53" s="23" t="str">
        <x:v>Not assessed</x:v>
      </x:c>
      <x:c r="J53" s="23" t="str">
        <x:v>Not started</x:v>
      </x:c>
      <x:c r="K53" s="23" t="str">
        <x:v>B10</x:v>
      </x:c>
      <x:c r="L53" s="23" t="str">
        <x:v>S02</x:v>
      </x:c>
      <x:c r="M53" s="23" t="str">
        <x:v>Notice 17; (5) North Sea</x:v>
      </x:c>
      <x:c r="N53" s="26" t="str">
        <x:v>https://www.scribd.com/document/1014775753/1-1-IMO-Adopted-Traffic-Separation-Schemes-on-the-ADMIRALTY-Chart-Series</x:v>
      </x:c>
      <x:c r="O53" s="23" t="str">
        <x:v>Not assessed</x:v>
      </x:c>
      <x:c r="P53" s="26" t="str">
        <x:v>Not assessed</x:v>
      </x:c>
      <x:c r="Q53" s="23" t="str">
        <x:v>2026-09-29</x:v>
      </x:c>
      <x:c r="R53" s="23" t="str">
        <x:v>Reconcile name, adoption, implementation and current status against the primary baseline.</x:v>
      </x:c>
    </x:row>
    <x:row r="54" ht="59" customHeight="1">
      <x:c r="A54" s="23" t="str">
        <x:v>TSS-049</x:v>
      </x:c>
      <x:c r="B54" s="23" t="str">
        <x:v>North Sea continental coast</x:v>
      </x:c>
      <x:c r="C54" s="23" t="str">
        <x:v>Terschelling - German Bight</x:v>
      </x:c>
      <x:c r="D54" s="23" t="str">
        <x:v>Single source-list record</x:v>
      </x:c>
      <x:c r="E54" s="23" t="str">
        <x:v>Provisional: primary baseline pending</x:v>
      </x:c>
      <x:c r="F54" s="23" t="str">
        <x:v>Not assessed</x:v>
      </x:c>
      <x:c r="G54" s="23" t="str">
        <x:v>Not assessed</x:v>
      </x:c>
      <x:c r="H54" s="23" t="str">
        <x:v>Not assessed</x:v>
      </x:c>
      <x:c r="I54" s="23" t="str">
        <x:v>Not assessed</x:v>
      </x:c>
      <x:c r="J54" s="23" t="str">
        <x:v>Not started</x:v>
      </x:c>
      <x:c r="K54" s="23" t="str">
        <x:v>B10</x:v>
      </x:c>
      <x:c r="L54" s="23" t="str">
        <x:v>S02</x:v>
      </x:c>
      <x:c r="M54" s="23" t="str">
        <x:v>Notice 17; (5) North Sea</x:v>
      </x:c>
      <x:c r="N54" s="26" t="str">
        <x:v>https://www.scribd.com/document/1014775753/1-1-IMO-Adopted-Traffic-Separation-Schemes-on-the-ADMIRALTY-Chart-Series</x:v>
      </x:c>
      <x:c r="O54" s="23" t="str">
        <x:v>Not assessed</x:v>
      </x:c>
      <x:c r="P54" s="26" t="str">
        <x:v>Not assessed</x:v>
      </x:c>
      <x:c r="Q54" s="23" t="str">
        <x:v>2026-09-29</x:v>
      </x:c>
      <x:c r="R54" s="23" t="str">
        <x:v>Reconcile name, adoption, implementation and current status against the primary baseline.</x:v>
      </x:c>
    </x:row>
    <x:row r="55" ht="59" customHeight="1">
      <x:c r="A55" s="23" t="str">
        <x:v>TSS-050</x:v>
      </x:c>
      <x:c r="B55" s="23" t="str">
        <x:v>North Sea continental coast</x:v>
      </x:c>
      <x:c r="C55" s="23" t="str">
        <x:v>Vlieland North</x:v>
      </x:c>
      <x:c r="D55" s="23" t="str">
        <x:v>Single source-list record</x:v>
      </x:c>
      <x:c r="E55" s="23" t="str">
        <x:v>Provisional: primary baseline pending</x:v>
      </x:c>
      <x:c r="F55" s="23" t="str">
        <x:v>Not assessed</x:v>
      </x:c>
      <x:c r="G55" s="23" t="str">
        <x:v>Not assessed</x:v>
      </x:c>
      <x:c r="H55" s="23" t="str">
        <x:v>Not assessed</x:v>
      </x:c>
      <x:c r="I55" s="23" t="str">
        <x:v>Not assessed</x:v>
      </x:c>
      <x:c r="J55" s="23" t="str">
        <x:v>Not started</x:v>
      </x:c>
      <x:c r="K55" s="23" t="str">
        <x:v>B10</x:v>
      </x:c>
      <x:c r="L55" s="23" t="str">
        <x:v>S02</x:v>
      </x:c>
      <x:c r="M55" s="23" t="str">
        <x:v>Notice 17; (5) North Sea</x:v>
      </x:c>
      <x:c r="N55" s="26" t="str">
        <x:v>https://www.scribd.com/document/1014775753/1-1-IMO-Adopted-Traffic-Separation-Schemes-on-the-ADMIRALTY-Chart-Series</x:v>
      </x:c>
      <x:c r="O55" s="23" t="str">
        <x:v>Not assessed</x:v>
      </x:c>
      <x:c r="P55" s="26" t="str">
        <x:v>Not assessed</x:v>
      </x:c>
      <x:c r="Q55" s="23" t="str">
        <x:v>2026-09-29</x:v>
      </x:c>
      <x:c r="R55" s="23" t="str">
        <x:v>Reconcile name, adoption, implementation and current status against the primary baseline.</x:v>
      </x:c>
    </x:row>
    <x:row r="56" ht="59" customHeight="1">
      <x:c r="A56" s="23" t="str">
        <x:v>TSS-051</x:v>
      </x:c>
      <x:c r="B56" s="23" t="str">
        <x:v>North Sea continental coast</x:v>
      </x:c>
      <x:c r="C56" s="23" t="str">
        <x:v>Off Vlieland</x:v>
      </x:c>
      <x:c r="D56" s="23" t="str">
        <x:v>Single source-list record</x:v>
      </x:c>
      <x:c r="E56" s="23" t="str">
        <x:v>Provisional: primary baseline pending</x:v>
      </x:c>
      <x:c r="F56" s="23" t="str">
        <x:v>Not assessed</x:v>
      </x:c>
      <x:c r="G56" s="23" t="str">
        <x:v>Not assessed</x:v>
      </x:c>
      <x:c r="H56" s="23" t="str">
        <x:v>Not assessed</x:v>
      </x:c>
      <x:c r="I56" s="23" t="str">
        <x:v>Not assessed</x:v>
      </x:c>
      <x:c r="J56" s="23" t="str">
        <x:v>Not started</x:v>
      </x:c>
      <x:c r="K56" s="23" t="str">
        <x:v>B11</x:v>
      </x:c>
      <x:c r="L56" s="23" t="str">
        <x:v>S02</x:v>
      </x:c>
      <x:c r="M56" s="23" t="str">
        <x:v>Notice 17; (5) North Sea</x:v>
      </x:c>
      <x:c r="N56" s="26" t="str">
        <x:v>https://www.scribd.com/document/1014775753/1-1-IMO-Adopted-Traffic-Separation-Schemes-on-the-ADMIRALTY-Chart-Series</x:v>
      </x:c>
      <x:c r="O56" s="23" t="str">
        <x:v>Not assessed</x:v>
      </x:c>
      <x:c r="P56" s="26" t="str">
        <x:v>Not assessed</x:v>
      </x:c>
      <x:c r="Q56" s="23" t="str">
        <x:v>2026-09-29</x:v>
      </x:c>
      <x:c r="R56" s="23" t="str">
        <x:v>Reconcile name, adoption, implementation and current status against the primary baseline.</x:v>
      </x:c>
    </x:row>
    <x:row r="57" ht="59" customHeight="1">
      <x:c r="A57" s="23" t="str">
        <x:v>TSS-052</x:v>
      </x:c>
      <x:c r="B57" s="23" t="str">
        <x:v>North Sea continental coast</x:v>
      </x:c>
      <x:c r="C57" s="23" t="str">
        <x:v>Off Texel</x:v>
      </x:c>
      <x:c r="D57" s="23" t="str">
        <x:v>Single source-list record</x:v>
      </x:c>
      <x:c r="E57" s="23" t="str">
        <x:v>Provisional: primary baseline pending</x:v>
      </x:c>
      <x:c r="F57" s="23" t="str">
        <x:v>Not assessed</x:v>
      </x:c>
      <x:c r="G57" s="23" t="str">
        <x:v>Not assessed</x:v>
      </x:c>
      <x:c r="H57" s="23" t="str">
        <x:v>Not assessed</x:v>
      </x:c>
      <x:c r="I57" s="23" t="str">
        <x:v>Not assessed</x:v>
      </x:c>
      <x:c r="J57" s="23" t="str">
        <x:v>Not started</x:v>
      </x:c>
      <x:c r="K57" s="23" t="str">
        <x:v>B11</x:v>
      </x:c>
      <x:c r="L57" s="23" t="str">
        <x:v>S02</x:v>
      </x:c>
      <x:c r="M57" s="23" t="str">
        <x:v>Notice 17; (5) North Sea</x:v>
      </x:c>
      <x:c r="N57" s="26" t="str">
        <x:v>https://www.scribd.com/document/1014775753/1-1-IMO-Adopted-Traffic-Separation-Schemes-on-the-ADMIRALTY-Chart-Series</x:v>
      </x:c>
      <x:c r="O57" s="23" t="str">
        <x:v>Not assessed</x:v>
      </x:c>
      <x:c r="P57" s="26" t="str">
        <x:v>Not assessed</x:v>
      </x:c>
      <x:c r="Q57" s="23" t="str">
        <x:v>2026-09-29</x:v>
      </x:c>
      <x:c r="R57" s="23" t="str">
        <x:v>Reconcile name, adoption, implementation and current status against the primary baseline.</x:v>
      </x:c>
    </x:row>
    <x:row r="58" ht="59" customHeight="1">
      <x:c r="A58" s="23" t="str">
        <x:v>TSS-053</x:v>
      </x:c>
      <x:c r="B58" s="23" t="str">
        <x:v>North Sea continental coast</x:v>
      </x:c>
      <x:c r="C58" s="23" t="str">
        <x:v>In the Approaches to IJmuiden</x:v>
      </x:c>
      <x:c r="D58" s="23" t="str">
        <x:v>Single source-list record</x:v>
      </x:c>
      <x:c r="E58" s="23" t="str">
        <x:v>Provisional: primary baseline pending</x:v>
      </x:c>
      <x:c r="F58" s="23" t="str">
        <x:v>Not assessed</x:v>
      </x:c>
      <x:c r="G58" s="23" t="str">
        <x:v>Not assessed</x:v>
      </x:c>
      <x:c r="H58" s="23" t="str">
        <x:v>Not assessed</x:v>
      </x:c>
      <x:c r="I58" s="23" t="str">
        <x:v>Not assessed</x:v>
      </x:c>
      <x:c r="J58" s="23" t="str">
        <x:v>Not started</x:v>
      </x:c>
      <x:c r="K58" s="23" t="str">
        <x:v>B11</x:v>
      </x:c>
      <x:c r="L58" s="23" t="str">
        <x:v>S02</x:v>
      </x:c>
      <x:c r="M58" s="23" t="str">
        <x:v>Notice 17; (5) North Sea</x:v>
      </x:c>
      <x:c r="N58" s="26" t="str">
        <x:v>https://www.scribd.com/document/1014775753/1-1-IMO-Adopted-Traffic-Separation-Schemes-on-the-ADMIRALTY-Chart-Series</x:v>
      </x:c>
      <x:c r="O58" s="23" t="str">
        <x:v>Not assessed</x:v>
      </x:c>
      <x:c r="P58" s="26" t="str">
        <x:v>Not assessed</x:v>
      </x:c>
      <x:c r="Q58" s="23" t="str">
        <x:v>2026-09-29</x:v>
      </x:c>
      <x:c r="R58" s="23" t="str">
        <x:v>Reconcile name, adoption, implementation and current status against the primary baseline.</x:v>
      </x:c>
    </x:row>
    <x:row r="59" ht="59" customHeight="1">
      <x:c r="A59" s="23" t="str">
        <x:v>TSS-054</x:v>
      </x:c>
      <x:c r="B59" s="23" t="str">
        <x:v>North Sea continental coast</x:v>
      </x:c>
      <x:c r="C59" s="23" t="str">
        <x:v>Off Brown Ridge</x:v>
      </x:c>
      <x:c r="D59" s="23" t="str">
        <x:v>Single source-list record</x:v>
      </x:c>
      <x:c r="E59" s="23" t="str">
        <x:v>Provisional: primary baseline pending</x:v>
      </x:c>
      <x:c r="F59" s="23" t="str">
        <x:v>Not assessed</x:v>
      </x:c>
      <x:c r="G59" s="23" t="str">
        <x:v>Not assessed</x:v>
      </x:c>
      <x:c r="H59" s="23" t="str">
        <x:v>Not assessed</x:v>
      </x:c>
      <x:c r="I59" s="23" t="str">
        <x:v>Not assessed</x:v>
      </x:c>
      <x:c r="J59" s="23" t="str">
        <x:v>Not started</x:v>
      </x:c>
      <x:c r="K59" s="23" t="str">
        <x:v>B11</x:v>
      </x:c>
      <x:c r="L59" s="23" t="str">
        <x:v>S02</x:v>
      </x:c>
      <x:c r="M59" s="23" t="str">
        <x:v>Notice 17; (5) North Sea</x:v>
      </x:c>
      <x:c r="N59" s="26" t="str">
        <x:v>https://www.scribd.com/document/1014775753/1-1-IMO-Adopted-Traffic-Separation-Schemes-on-the-ADMIRALTY-Chart-Series</x:v>
      </x:c>
      <x:c r="O59" s="23" t="str">
        <x:v>Not assessed</x:v>
      </x:c>
      <x:c r="P59" s="26" t="str">
        <x:v>Not assessed</x:v>
      </x:c>
      <x:c r="Q59" s="23" t="str">
        <x:v>2026-09-29</x:v>
      </x:c>
      <x:c r="R59" s="23" t="str">
        <x:v>Reconcile name, adoption, implementation and current status against the primary baseline.</x:v>
      </x:c>
    </x:row>
    <x:row r="60" ht="59" customHeight="1">
      <x:c r="A60" s="23" t="str">
        <x:v>TSS-055</x:v>
      </x:c>
      <x:c r="B60" s="23" t="str">
        <x:v>North Sea continental coast</x:v>
      </x:c>
      <x:c r="C60" s="23" t="str">
        <x:v>West Friesland</x:v>
      </x:c>
      <x:c r="D60" s="23" t="str">
        <x:v>Single source-list record</x:v>
      </x:c>
      <x:c r="E60" s="23" t="str">
        <x:v>Provisional: primary baseline pending</x:v>
      </x:c>
      <x:c r="F60" s="23" t="str">
        <x:v>Not assessed</x:v>
      </x:c>
      <x:c r="G60" s="23" t="str">
        <x:v>Not assessed</x:v>
      </x:c>
      <x:c r="H60" s="23" t="str">
        <x:v>Not assessed</x:v>
      </x:c>
      <x:c r="I60" s="23" t="str">
        <x:v>Not assessed</x:v>
      </x:c>
      <x:c r="J60" s="23" t="str">
        <x:v>Not started</x:v>
      </x:c>
      <x:c r="K60" s="23" t="str">
        <x:v>B11</x:v>
      </x:c>
      <x:c r="L60" s="23" t="str">
        <x:v>S02</x:v>
      </x:c>
      <x:c r="M60" s="23" t="str">
        <x:v>Notice 17; (5) North Sea</x:v>
      </x:c>
      <x:c r="N60" s="26" t="str">
        <x:v>https://www.scribd.com/document/1014775753/1-1-IMO-Adopted-Traffic-Separation-Schemes-on-the-ADMIRALTY-Chart-Series</x:v>
      </x:c>
      <x:c r="O60" s="23" t="str">
        <x:v>Not assessed</x:v>
      </x:c>
      <x:c r="P60" s="26" t="str">
        <x:v>Not assessed</x:v>
      </x:c>
      <x:c r="Q60" s="23" t="str">
        <x:v>2026-09-29</x:v>
      </x:c>
      <x:c r="R60" s="23" t="str">
        <x:v>Reconcile name, adoption, implementation and current status against the primary baseline.</x:v>
      </x:c>
    </x:row>
    <x:row r="61" ht="59" customHeight="1">
      <x:c r="A61" s="23" t="str">
        <x:v>TSS-056</x:v>
      </x:c>
      <x:c r="B61" s="23" t="str">
        <x:v>North Sea continental coast</x:v>
      </x:c>
      <x:c r="C61" s="23" t="str">
        <x:v>North Friesland</x:v>
      </x:c>
      <x:c r="D61" s="23" t="str">
        <x:v>Single source-list record</x:v>
      </x:c>
      <x:c r="E61" s="23" t="str">
        <x:v>Provisional: primary baseline pending</x:v>
      </x:c>
      <x:c r="F61" s="23" t="str">
        <x:v>Not assessed</x:v>
      </x:c>
      <x:c r="G61" s="23" t="str">
        <x:v>Not assessed</x:v>
      </x:c>
      <x:c r="H61" s="23" t="str">
        <x:v>Not assessed</x:v>
      </x:c>
      <x:c r="I61" s="23" t="str">
        <x:v>Not assessed</x:v>
      </x:c>
      <x:c r="J61" s="23" t="str">
        <x:v>Not started</x:v>
      </x:c>
      <x:c r="K61" s="23" t="str">
        <x:v>B12</x:v>
      </x:c>
      <x:c r="L61" s="23" t="str">
        <x:v>S02</x:v>
      </x:c>
      <x:c r="M61" s="23" t="str">
        <x:v>Notice 17; (5) North Sea</x:v>
      </x:c>
      <x:c r="N61" s="26" t="str">
        <x:v>https://www.scribd.com/document/1014775753/1-1-IMO-Adopted-Traffic-Separation-Schemes-on-the-ADMIRALTY-Chart-Series</x:v>
      </x:c>
      <x:c r="O61" s="23" t="str">
        <x:v>Not assessed</x:v>
      </x:c>
      <x:c r="P61" s="26" t="str">
        <x:v>Not assessed</x:v>
      </x:c>
      <x:c r="Q61" s="23" t="str">
        <x:v>2026-09-29</x:v>
      </x:c>
      <x:c r="R61" s="23" t="str">
        <x:v>Reconcile name, adoption, implementation and current status against the primary baseline.</x:v>
      </x:c>
    </x:row>
    <x:row r="62" ht="59" customHeight="1">
      <x:c r="A62" s="23" t="str">
        <x:v>TSS-057</x:v>
      </x:c>
      <x:c r="B62" s="23" t="str">
        <x:v>North Sea continental coast</x:v>
      </x:c>
      <x:c r="C62" s="23" t="str">
        <x:v>East Friesland</x:v>
      </x:c>
      <x:c r="D62" s="23" t="str">
        <x:v>Single source-list record</x:v>
      </x:c>
      <x:c r="E62" s="23" t="str">
        <x:v>Provisional: primary baseline pending</x:v>
      </x:c>
      <x:c r="F62" s="23" t="str">
        <x:v>Not assessed</x:v>
      </x:c>
      <x:c r="G62" s="23" t="str">
        <x:v>Not assessed</x:v>
      </x:c>
      <x:c r="H62" s="23" t="str">
        <x:v>Not assessed</x:v>
      </x:c>
      <x:c r="I62" s="23" t="str">
        <x:v>Not assessed</x:v>
      </x:c>
      <x:c r="J62" s="23" t="str">
        <x:v>Not started</x:v>
      </x:c>
      <x:c r="K62" s="23" t="str">
        <x:v>B12</x:v>
      </x:c>
      <x:c r="L62" s="23" t="str">
        <x:v>S02</x:v>
      </x:c>
      <x:c r="M62" s="23" t="str">
        <x:v>Notice 17; (5) North Sea</x:v>
      </x:c>
      <x:c r="N62" s="26" t="str">
        <x:v>https://www.scribd.com/document/1014775753/1-1-IMO-Adopted-Traffic-Separation-Schemes-on-the-ADMIRALTY-Chart-Series</x:v>
      </x:c>
      <x:c r="O62" s="23" t="str">
        <x:v>Not assessed</x:v>
      </x:c>
      <x:c r="P62" s="26" t="str">
        <x:v>Not assessed</x:v>
      </x:c>
      <x:c r="Q62" s="23" t="str">
        <x:v>2026-09-29</x:v>
      </x:c>
      <x:c r="R62" s="23" t="str">
        <x:v>Reconcile name, adoption, implementation and current status against the primary baseline.</x:v>
      </x:c>
    </x:row>
    <x:row r="63" ht="59" customHeight="1">
      <x:c r="A63" s="23" t="str">
        <x:v>TSS-058</x:v>
      </x:c>
      <x:c r="B63" s="23" t="str">
        <x:v>North Sea continental coast</x:v>
      </x:c>
      <x:c r="C63" s="23" t="str">
        <x:v>Off Botney Ground</x:v>
      </x:c>
      <x:c r="D63" s="23" t="str">
        <x:v>Single source-list record</x:v>
      </x:c>
      <x:c r="E63" s="23" t="str">
        <x:v>Provisional: primary baseline pending</x:v>
      </x:c>
      <x:c r="F63" s="23" t="str">
        <x:v>Not assessed</x:v>
      </x:c>
      <x:c r="G63" s="23" t="str">
        <x:v>Not assessed</x:v>
      </x:c>
      <x:c r="H63" s="23" t="str">
        <x:v>Not assessed</x:v>
      </x:c>
      <x:c r="I63" s="23" t="str">
        <x:v>Not assessed</x:v>
      </x:c>
      <x:c r="J63" s="23" t="str">
        <x:v>Not started</x:v>
      </x:c>
      <x:c r="K63" s="23" t="str">
        <x:v>B12</x:v>
      </x:c>
      <x:c r="L63" s="23" t="str">
        <x:v>S02</x:v>
      </x:c>
      <x:c r="M63" s="23" t="str">
        <x:v>Notice 17; (5) North Sea</x:v>
      </x:c>
      <x:c r="N63" s="26" t="str">
        <x:v>https://www.scribd.com/document/1014775753/1-1-IMO-Adopted-Traffic-Separation-Schemes-on-the-ADMIRALTY-Chart-Series</x:v>
      </x:c>
      <x:c r="O63" s="23" t="str">
        <x:v>Not assessed</x:v>
      </x:c>
      <x:c r="P63" s="26" t="str">
        <x:v>Not assessed</x:v>
      </x:c>
      <x:c r="Q63" s="23" t="str">
        <x:v>2026-09-29</x:v>
      </x:c>
      <x:c r="R63" s="23" t="str">
        <x:v>Reconcile name, adoption, implementation and current status against the primary baseline.</x:v>
      </x:c>
    </x:row>
    <x:row r="64" ht="59" customHeight="1">
      <x:c r="A64" s="23" t="str">
        <x:v>TSS-059</x:v>
      </x:c>
      <x:c r="B64" s="23" t="str">
        <x:v>France, Iberia and Canary Islands</x:v>
      </x:c>
      <x:c r="C64" s="23" t="str">
        <x:v>Off Ushant (Île d'Ouessant)</x:v>
      </x:c>
      <x:c r="D64" s="23" t="str">
        <x:v>Single source-list record</x:v>
      </x:c>
      <x:c r="E64" s="23" t="str">
        <x:v>Provisional: primary baseline pending</x:v>
      </x:c>
      <x:c r="F64" s="23" t="str">
        <x:v>Not assessed</x:v>
      </x:c>
      <x:c r="G64" s="23" t="str">
        <x:v>Not assessed</x:v>
      </x:c>
      <x:c r="H64" s="23" t="str">
        <x:v>Not assessed</x:v>
      </x:c>
      <x:c r="I64" s="23" t="str">
        <x:v>Not assessed</x:v>
      </x:c>
      <x:c r="J64" s="23" t="str">
        <x:v>Not started</x:v>
      </x:c>
      <x:c r="K64" s="23" t="str">
        <x:v>B12</x:v>
      </x:c>
      <x:c r="L64" s="23" t="str">
        <x:v>S02</x:v>
      </x:c>
      <x:c r="M64" s="23" t="str">
        <x:v>Notice 17; (6) France, Spain and Portugal</x:v>
      </x:c>
      <x:c r="N64" s="26" t="str">
        <x:v>https://www.scribd.com/document/1014775753/1-1-IMO-Adopted-Traffic-Separation-Schemes-on-the-ADMIRALTY-Chart-Series</x:v>
      </x:c>
      <x:c r="O64" s="23" t="str">
        <x:v>Not assessed</x:v>
      </x:c>
      <x:c r="P64" s="26" t="str">
        <x:v>Not assessed</x:v>
      </x:c>
      <x:c r="Q64" s="23" t="str">
        <x:v>2026-09-29</x:v>
      </x:c>
      <x:c r="R64" s="23" t="str">
        <x:v>Reconcile name, adoption, implementation and current status against the primary baseline.</x:v>
      </x:c>
    </x:row>
    <x:row r="65" ht="59" customHeight="1">
      <x:c r="A65" s="23" t="str">
        <x:v>TSS-060</x:v>
      </x:c>
      <x:c r="B65" s="23" t="str">
        <x:v>France, Iberia and Canary Islands</x:v>
      </x:c>
      <x:c r="C65" s="23" t="str">
        <x:v>Off Finisterre</x:v>
      </x:c>
      <x:c r="D65" s="23" t="str">
        <x:v>Single source-list record</x:v>
      </x:c>
      <x:c r="E65" s="23" t="str">
        <x:v>Provisional: primary baseline pending</x:v>
      </x:c>
      <x:c r="F65" s="23" t="str">
        <x:v>Not assessed</x:v>
      </x:c>
      <x:c r="G65" s="23" t="str">
        <x:v>Not assessed</x:v>
      </x:c>
      <x:c r="H65" s="23" t="str">
        <x:v>Not assessed</x:v>
      </x:c>
      <x:c r="I65" s="23" t="str">
        <x:v>Not assessed</x:v>
      </x:c>
      <x:c r="J65" s="23" t="str">
        <x:v>Not started</x:v>
      </x:c>
      <x:c r="K65" s="23" t="str">
        <x:v>B12</x:v>
      </x:c>
      <x:c r="L65" s="23" t="str">
        <x:v>S02</x:v>
      </x:c>
      <x:c r="M65" s="23" t="str">
        <x:v>Notice 17; (6) France, Spain and Portugal</x:v>
      </x:c>
      <x:c r="N65" s="26" t="str">
        <x:v>https://www.scribd.com/document/1014775753/1-1-IMO-Adopted-Traffic-Separation-Schemes-on-the-ADMIRALTY-Chart-Series</x:v>
      </x:c>
      <x:c r="O65" s="23" t="str">
        <x:v>Not assessed</x:v>
      </x:c>
      <x:c r="P65" s="26" t="str">
        <x:v>Not assessed</x:v>
      </x:c>
      <x:c r="Q65" s="23" t="str">
        <x:v>2026-09-29</x:v>
      </x:c>
      <x:c r="R65" s="23" t="str">
        <x:v>Reconcile name, adoption, implementation and current status against the primary baseline.</x:v>
      </x:c>
    </x:row>
    <x:row r="66" ht="59" customHeight="1">
      <x:c r="A66" s="23" t="str">
        <x:v>TSS-061</x:v>
      </x:c>
      <x:c r="B66" s="23" t="str">
        <x:v>France, Iberia and Canary Islands</x:v>
      </x:c>
      <x:c r="C66" s="23" t="str">
        <x:v>Off Cape Roca (Cabo da Roca)</x:v>
      </x:c>
      <x:c r="D66" s="23" t="str">
        <x:v>Single source-list record</x:v>
      </x:c>
      <x:c r="E66" s="23" t="str">
        <x:v>Provisional: primary baseline pending</x:v>
      </x:c>
      <x:c r="F66" s="23" t="str">
        <x:v>Not assessed</x:v>
      </x:c>
      <x:c r="G66" s="23" t="str">
        <x:v>Not assessed</x:v>
      </x:c>
      <x:c r="H66" s="23" t="str">
        <x:v>Not assessed</x:v>
      </x:c>
      <x:c r="I66" s="23" t="str">
        <x:v>Not assessed</x:v>
      </x:c>
      <x:c r="J66" s="23" t="str">
        <x:v>Not started</x:v>
      </x:c>
      <x:c r="K66" s="23" t="str">
        <x:v>B13</x:v>
      </x:c>
      <x:c r="L66" s="23" t="str">
        <x:v>S02</x:v>
      </x:c>
      <x:c r="M66" s="23" t="str">
        <x:v>Notice 17; (6) France, Spain and Portugal</x:v>
      </x:c>
      <x:c r="N66" s="26" t="str">
        <x:v>https://www.scribd.com/document/1014775753/1-1-IMO-Adopted-Traffic-Separation-Schemes-on-the-ADMIRALTY-Chart-Series</x:v>
      </x:c>
      <x:c r="O66" s="23" t="str">
        <x:v>Not assessed</x:v>
      </x:c>
      <x:c r="P66" s="26" t="str">
        <x:v>Not assessed</x:v>
      </x:c>
      <x:c r="Q66" s="23" t="str">
        <x:v>2026-09-29</x:v>
      </x:c>
      <x:c r="R66" s="23" t="str">
        <x:v>Reconcile name, adoption, implementation and current status against the primary baseline.</x:v>
      </x:c>
    </x:row>
    <x:row r="67" ht="59" customHeight="1">
      <x:c r="A67" s="23" t="str">
        <x:v>TSS-062</x:v>
      </x:c>
      <x:c r="B67" s="23" t="str">
        <x:v>France, Iberia and Canary Islands</x:v>
      </x:c>
      <x:c r="C67" s="23" t="str">
        <x:v>Off Cape St. Vicente (Cabo de São Vicente)</x:v>
      </x:c>
      <x:c r="D67" s="23" t="str">
        <x:v>Single source-list record</x:v>
      </x:c>
      <x:c r="E67" s="23" t="str">
        <x:v>Provisional: primary baseline pending</x:v>
      </x:c>
      <x:c r="F67" s="23" t="str">
        <x:v>Not assessed</x:v>
      </x:c>
      <x:c r="G67" s="23" t="str">
        <x:v>Not assessed</x:v>
      </x:c>
      <x:c r="H67" s="23" t="str">
        <x:v>Not assessed</x:v>
      </x:c>
      <x:c r="I67" s="23" t="str">
        <x:v>Not assessed</x:v>
      </x:c>
      <x:c r="J67" s="23" t="str">
        <x:v>Not started</x:v>
      </x:c>
      <x:c r="K67" s="23" t="str">
        <x:v>B13</x:v>
      </x:c>
      <x:c r="L67" s="23" t="str">
        <x:v>S02</x:v>
      </x:c>
      <x:c r="M67" s="23" t="str">
        <x:v>Notice 17; (6) France, Spain and Portugal</x:v>
      </x:c>
      <x:c r="N67" s="26" t="str">
        <x:v>https://www.scribd.com/document/1014775753/1-1-IMO-Adopted-Traffic-Separation-Schemes-on-the-ADMIRALTY-Chart-Series</x:v>
      </x:c>
      <x:c r="O67" s="23" t="str">
        <x:v>Not assessed</x:v>
      </x:c>
      <x:c r="P67" s="26" t="str">
        <x:v>Not assessed</x:v>
      </x:c>
      <x:c r="Q67" s="23" t="str">
        <x:v>2026-09-29</x:v>
      </x:c>
      <x:c r="R67" s="23" t="str">
        <x:v>Reconcile name, adoption, implementation and current status against the primary baseline.</x:v>
      </x:c>
    </x:row>
    <x:row r="68" ht="59" customHeight="1">
      <x:c r="A68" s="23" t="str">
        <x:v>TSS-063</x:v>
      </x:c>
      <x:c r="B68" s="23" t="str">
        <x:v>France, Iberia and Canary Islands</x:v>
      </x:c>
      <x:c r="C68" s="23" t="str">
        <x:v>At Banco del Hoyo</x:v>
      </x:c>
      <x:c r="D68" s="23" t="str">
        <x:v>Single source-list record</x:v>
      </x:c>
      <x:c r="E68" s="23" t="str">
        <x:v>Provisional: primary baseline pending</x:v>
      </x:c>
      <x:c r="F68" s="23" t="str">
        <x:v>Not assessed</x:v>
      </x:c>
      <x:c r="G68" s="23" t="str">
        <x:v>Not assessed</x:v>
      </x:c>
      <x:c r="H68" s="23" t="str">
        <x:v>Not assessed</x:v>
      </x:c>
      <x:c r="I68" s="23" t="str">
        <x:v>Not assessed</x:v>
      </x:c>
      <x:c r="J68" s="23" t="str">
        <x:v>Not started</x:v>
      </x:c>
      <x:c r="K68" s="23" t="str">
        <x:v>B13</x:v>
      </x:c>
      <x:c r="L68" s="23" t="str">
        <x:v>S02</x:v>
      </x:c>
      <x:c r="M68" s="23" t="str">
        <x:v>Notice 17; (6) France, Spain and Portugal</x:v>
      </x:c>
      <x:c r="N68" s="26" t="str">
        <x:v>https://www.scribd.com/document/1014775753/1-1-IMO-Adopted-Traffic-Separation-Schemes-on-the-ADMIRALTY-Chart-Series</x:v>
      </x:c>
      <x:c r="O68" s="23" t="str">
        <x:v>Not assessed</x:v>
      </x:c>
      <x:c r="P68" s="26" t="str">
        <x:v>Not assessed</x:v>
      </x:c>
      <x:c r="Q68" s="23" t="str">
        <x:v>2026-09-29</x:v>
      </x:c>
      <x:c r="R68" s="23" t="str">
        <x:v>Reconcile name, adoption, implementation and current status against the primary baseline.</x:v>
      </x:c>
    </x:row>
    <x:row r="69" ht="59" customHeight="1">
      <x:c r="A69" s="23" t="str">
        <x:v>TSS-064</x:v>
      </x:c>
      <x:c r="B69" s="23" t="str">
        <x:v>France, Iberia and Canary Islands</x:v>
      </x:c>
      <x:c r="C69" s="23" t="str">
        <x:v>Between Grand Canary and Tenerife</x:v>
      </x:c>
      <x:c r="D69" s="23" t="str">
        <x:v>Single source-list record</x:v>
      </x:c>
      <x:c r="E69" s="23" t="str">
        <x:v>Provisional: primary baseline pending</x:v>
      </x:c>
      <x:c r="F69" s="23" t="str">
        <x:v>Not assessed</x:v>
      </x:c>
      <x:c r="G69" s="23" t="str">
        <x:v>Not assessed</x:v>
      </x:c>
      <x:c r="H69" s="23" t="str">
        <x:v>Not assessed</x:v>
      </x:c>
      <x:c r="I69" s="23" t="str">
        <x:v>Not assessed</x:v>
      </x:c>
      <x:c r="J69" s="23" t="str">
        <x:v>Not started</x:v>
      </x:c>
      <x:c r="K69" s="23" t="str">
        <x:v>B13</x:v>
      </x:c>
      <x:c r="L69" s="23" t="str">
        <x:v>S02</x:v>
      </x:c>
      <x:c r="M69" s="23" t="str">
        <x:v>Notice 17; (6) France, Spain and Portugal</x:v>
      </x:c>
      <x:c r="N69" s="26" t="str">
        <x:v>https://www.scribd.com/document/1014775753/1-1-IMO-Adopted-Traffic-Separation-Schemes-on-the-ADMIRALTY-Chart-Series</x:v>
      </x:c>
      <x:c r="O69" s="23" t="str">
        <x:v>Not assessed</x:v>
      </x:c>
      <x:c r="P69" s="26" t="str">
        <x:v>Not assessed</x:v>
      </x:c>
      <x:c r="Q69" s="23" t="str">
        <x:v>2026-09-29</x:v>
      </x:c>
      <x:c r="R69" s="23" t="str">
        <x:v>Reconcile name, adoption, implementation and current status against the primary baseline.</x:v>
      </x:c>
    </x:row>
    <x:row r="70" ht="59" customHeight="1">
      <x:c r="A70" s="23" t="str">
        <x:v>TSS-065</x:v>
      </x:c>
      <x:c r="B70" s="23" t="str">
        <x:v>France, Iberia and Canary Islands</x:v>
      </x:c>
      <x:c r="C70" s="23" t="str">
        <x:v>Between Grand Canary and Fuerteventura</x:v>
      </x:c>
      <x:c r="D70" s="23" t="str">
        <x:v>Single source-list record</x:v>
      </x:c>
      <x:c r="E70" s="23" t="str">
        <x:v>Provisional: primary baseline pending</x:v>
      </x:c>
      <x:c r="F70" s="23" t="str">
        <x:v>Not assessed</x:v>
      </x:c>
      <x:c r="G70" s="23" t="str">
        <x:v>Not assessed</x:v>
      </x:c>
      <x:c r="H70" s="23" t="str">
        <x:v>Not assessed</x:v>
      </x:c>
      <x:c r="I70" s="23" t="str">
        <x:v>Not assessed</x:v>
      </x:c>
      <x:c r="J70" s="23" t="str">
        <x:v>Not started</x:v>
      </x:c>
      <x:c r="K70" s="23" t="str">
        <x:v>B13</x:v>
      </x:c>
      <x:c r="L70" s="23" t="str">
        <x:v>S02</x:v>
      </x:c>
      <x:c r="M70" s="23" t="str">
        <x:v>Notice 17; (6) France, Spain and Portugal</x:v>
      </x:c>
      <x:c r="N70" s="26" t="str">
        <x:v>https://www.scribd.com/document/1014775753/1-1-IMO-Adopted-Traffic-Separation-Schemes-on-the-ADMIRALTY-Chart-Series</x:v>
      </x:c>
      <x:c r="O70" s="23" t="str">
        <x:v>Not assessed</x:v>
      </x:c>
      <x:c r="P70" s="26" t="str">
        <x:v>Not assessed</x:v>
      </x:c>
      <x:c r="Q70" s="23" t="str">
        <x:v>2026-09-29</x:v>
      </x:c>
      <x:c r="R70" s="23" t="str">
        <x:v>Reconcile name, adoption, implementation and current status against the primary baseline.</x:v>
      </x:c>
    </x:row>
    <x:row r="71" ht="59" customHeight="1">
      <x:c r="A71" s="23" t="str">
        <x:v>TSS-066</x:v>
      </x:c>
      <x:c r="B71" s="23" t="str">
        <x:v>Mediterranean and Black Seas</x:v>
      </x:c>
      <x:c r="C71" s="23" t="str">
        <x:v>In the Strait of Gibraltar</x:v>
      </x:c>
      <x:c r="D71" s="23" t="str">
        <x:v>Single source-list record</x:v>
      </x:c>
      <x:c r="E71" s="23" t="str">
        <x:v>Provisional: primary baseline pending</x:v>
      </x:c>
      <x:c r="F71" s="23" t="str">
        <x:v>Not assessed</x:v>
      </x:c>
      <x:c r="G71" s="23" t="str">
        <x:v>Not assessed</x:v>
      </x:c>
      <x:c r="H71" s="23" t="str">
        <x:v>Not assessed</x:v>
      </x:c>
      <x:c r="I71" s="23" t="str">
        <x:v>Not assessed</x:v>
      </x:c>
      <x:c r="J71" s="23" t="str">
        <x:v>Not started</x:v>
      </x:c>
      <x:c r="K71" s="23" t="str">
        <x:v>B14</x:v>
      </x:c>
      <x:c r="L71" s="23" t="str">
        <x:v>S02</x:v>
      </x:c>
      <x:c r="M71" s="23" t="str">
        <x:v>Notice 17; (8) Mediterranean and Black Seas</x:v>
      </x:c>
      <x:c r="N71" s="26" t="str">
        <x:v>https://www.scribd.com/document/1014775753/1-1-IMO-Adopted-Traffic-Separation-Schemes-on-the-ADMIRALTY-Chart-Series</x:v>
      </x:c>
      <x:c r="O71" s="23" t="str">
        <x:v>Not assessed</x:v>
      </x:c>
      <x:c r="P71" s="26" t="str">
        <x:v>Not assessed</x:v>
      </x:c>
      <x:c r="Q71" s="23" t="str">
        <x:v>2026-09-29</x:v>
      </x:c>
      <x:c r="R71" s="23" t="str">
        <x:v>Reconcile name, adoption, implementation and current status against the primary baseline.</x:v>
      </x:c>
    </x:row>
    <x:row r="72" ht="59" customHeight="1">
      <x:c r="A72" s="23" t="str">
        <x:v>TSS-067</x:v>
      </x:c>
      <x:c r="B72" s="23" t="str">
        <x:v>Mediterranean and Black Seas</x:v>
      </x:c>
      <x:c r="C72" s="23" t="str">
        <x:v>Off Cabo de Gata</x:v>
      </x:c>
      <x:c r="D72" s="23" t="str">
        <x:v>Single source-list record</x:v>
      </x:c>
      <x:c r="E72" s="23" t="str">
        <x:v>Provisional: primary baseline pending</x:v>
      </x:c>
      <x:c r="F72" s="23" t="str">
        <x:v>Not assessed</x:v>
      </x:c>
      <x:c r="G72" s="23" t="str">
        <x:v>Not assessed</x:v>
      </x:c>
      <x:c r="H72" s="23" t="str">
        <x:v>Not assessed</x:v>
      </x:c>
      <x:c r="I72" s="23" t="str">
        <x:v>Not assessed</x:v>
      </x:c>
      <x:c r="J72" s="23" t="str">
        <x:v>Not started</x:v>
      </x:c>
      <x:c r="K72" s="23" t="str">
        <x:v>B14</x:v>
      </x:c>
      <x:c r="L72" s="23" t="str">
        <x:v>S02</x:v>
      </x:c>
      <x:c r="M72" s="23" t="str">
        <x:v>Notice 17; (8) Mediterranean and Black Seas</x:v>
      </x:c>
      <x:c r="N72" s="26" t="str">
        <x:v>https://www.scribd.com/document/1014775753/1-1-IMO-Adopted-Traffic-Separation-Schemes-on-the-ADMIRALTY-Chart-Series</x:v>
      </x:c>
      <x:c r="O72" s="23" t="str">
        <x:v>Not assessed</x:v>
      </x:c>
      <x:c r="P72" s="26" t="str">
        <x:v>Not assessed</x:v>
      </x:c>
      <x:c r="Q72" s="23" t="str">
        <x:v>2026-09-29</x:v>
      </x:c>
      <x:c r="R72" s="23" t="str">
        <x:v>Reconcile name, adoption, implementation and current status against the primary baseline.</x:v>
      </x:c>
    </x:row>
    <x:row r="73" ht="59" customHeight="1">
      <x:c r="A73" s="23" t="str">
        <x:v>TSS-068</x:v>
      </x:c>
      <x:c r="B73" s="23" t="str">
        <x:v>Mediterranean and Black Seas</x:v>
      </x:c>
      <x:c r="C73" s="23" t="str">
        <x:v>Off Cape Palos (Cabo de Palos)</x:v>
      </x:c>
      <x:c r="D73" s="23" t="str">
        <x:v>Single source-list record</x:v>
      </x:c>
      <x:c r="E73" s="23" t="str">
        <x:v>Provisional: primary baseline pending</x:v>
      </x:c>
      <x:c r="F73" s="23" t="str">
        <x:v>Not assessed</x:v>
      </x:c>
      <x:c r="G73" s="23" t="str">
        <x:v>Not assessed</x:v>
      </x:c>
      <x:c r="H73" s="23" t="str">
        <x:v>Not assessed</x:v>
      </x:c>
      <x:c r="I73" s="23" t="str">
        <x:v>Not assessed</x:v>
      </x:c>
      <x:c r="J73" s="23" t="str">
        <x:v>Not started</x:v>
      </x:c>
      <x:c r="K73" s="23" t="str">
        <x:v>B14</x:v>
      </x:c>
      <x:c r="L73" s="23" t="str">
        <x:v>S02</x:v>
      </x:c>
      <x:c r="M73" s="23" t="str">
        <x:v>Notice 17; (8) Mediterranean and Black Seas</x:v>
      </x:c>
      <x:c r="N73" s="26" t="str">
        <x:v>https://www.scribd.com/document/1014775753/1-1-IMO-Adopted-Traffic-Separation-Schemes-on-the-ADMIRALTY-Chart-Series</x:v>
      </x:c>
      <x:c r="O73" s="23" t="str">
        <x:v>Not assessed</x:v>
      </x:c>
      <x:c r="P73" s="26" t="str">
        <x:v>Not assessed</x:v>
      </x:c>
      <x:c r="Q73" s="23" t="str">
        <x:v>2026-09-29</x:v>
      </x:c>
      <x:c r="R73" s="23" t="str">
        <x:v>Reconcile name, adoption, implementation and current status against the primary baseline.</x:v>
      </x:c>
    </x:row>
    <x:row r="74" ht="59" customHeight="1">
      <x:c r="A74" s="23" t="str">
        <x:v>TSS-069</x:v>
      </x:c>
      <x:c r="B74" s="23" t="str">
        <x:v>Mediterranean and Black Seas</x:v>
      </x:c>
      <x:c r="C74" s="23" t="str">
        <x:v>Off Cape la Nao (Cabo de la Nao)</x:v>
      </x:c>
      <x:c r="D74" s="23" t="str">
        <x:v>Single source-list record</x:v>
      </x:c>
      <x:c r="E74" s="23" t="str">
        <x:v>Provisional: primary baseline pending</x:v>
      </x:c>
      <x:c r="F74" s="23" t="str">
        <x:v>Not assessed</x:v>
      </x:c>
      <x:c r="G74" s="23" t="str">
        <x:v>Not assessed</x:v>
      </x:c>
      <x:c r="H74" s="23" t="str">
        <x:v>Not assessed</x:v>
      </x:c>
      <x:c r="I74" s="23" t="str">
        <x:v>Not assessed</x:v>
      </x:c>
      <x:c r="J74" s="23" t="str">
        <x:v>Not started</x:v>
      </x:c>
      <x:c r="K74" s="23" t="str">
        <x:v>B14</x:v>
      </x:c>
      <x:c r="L74" s="23" t="str">
        <x:v>S02</x:v>
      </x:c>
      <x:c r="M74" s="23" t="str">
        <x:v>Notice 17; (8) Mediterranean and Black Seas</x:v>
      </x:c>
      <x:c r="N74" s="26" t="str">
        <x:v>https://www.scribd.com/document/1014775753/1-1-IMO-Adopted-Traffic-Separation-Schemes-on-the-ADMIRALTY-Chart-Series</x:v>
      </x:c>
      <x:c r="O74" s="23" t="str">
        <x:v>Not assessed</x:v>
      </x:c>
      <x:c r="P74" s="26" t="str">
        <x:v>Not assessed</x:v>
      </x:c>
      <x:c r="Q74" s="23" t="str">
        <x:v>2026-09-29</x:v>
      </x:c>
      <x:c r="R74" s="23" t="str">
        <x:v>Reconcile name, adoption, implementation and current status against the primary baseline.</x:v>
      </x:c>
    </x:row>
    <x:row r="75" ht="59" customHeight="1">
      <x:c r="A75" s="23" t="str">
        <x:v>TSS-070</x:v>
      </x:c>
      <x:c r="B75" s="23" t="str">
        <x:v>Mediterranean and Black Seas</x:v>
      </x:c>
      <x:c r="C75" s="23" t="str">
        <x:v>Off Cani Island (Îles Cani)</x:v>
      </x:c>
      <x:c r="D75" s="23" t="str">
        <x:v>Single source-list record</x:v>
      </x:c>
      <x:c r="E75" s="23" t="str">
        <x:v>Provisional: primary baseline pending</x:v>
      </x:c>
      <x:c r="F75" s="23" t="str">
        <x:v>Not assessed</x:v>
      </x:c>
      <x:c r="G75" s="23" t="str">
        <x:v>Not assessed</x:v>
      </x:c>
      <x:c r="H75" s="23" t="str">
        <x:v>Not assessed</x:v>
      </x:c>
      <x:c r="I75" s="23" t="str">
        <x:v>Not assessed</x:v>
      </x:c>
      <x:c r="J75" s="23" t="str">
        <x:v>Not started</x:v>
      </x:c>
      <x:c r="K75" s="23" t="str">
        <x:v>B14</x:v>
      </x:c>
      <x:c r="L75" s="23" t="str">
        <x:v>S02</x:v>
      </x:c>
      <x:c r="M75" s="23" t="str">
        <x:v>Notice 17; (8) Mediterranean and Black Seas</x:v>
      </x:c>
      <x:c r="N75" s="26" t="str">
        <x:v>https://www.scribd.com/document/1014775753/1-1-IMO-Adopted-Traffic-Separation-Schemes-on-the-ADMIRALTY-Chart-Series</x:v>
      </x:c>
      <x:c r="O75" s="23" t="str">
        <x:v>Not assessed</x:v>
      </x:c>
      <x:c r="P75" s="26" t="str">
        <x:v>Not assessed</x:v>
      </x:c>
      <x:c r="Q75" s="23" t="str">
        <x:v>2026-09-29</x:v>
      </x:c>
      <x:c r="R75" s="23" t="str">
        <x:v>Reconcile name, adoption, implementation and current status against the primary baseline.</x:v>
      </x:c>
    </x:row>
    <x:row r="76" ht="59" customHeight="1">
      <x:c r="A76" s="23" t="str">
        <x:v>TSS-071</x:v>
      </x:c>
      <x:c r="B76" s="23" t="str">
        <x:v>Mediterranean and Black Seas</x:v>
      </x:c>
      <x:c r="C76" s="23" t="str">
        <x:v>Off Cape Bon (Cap Bon)</x:v>
      </x:c>
      <x:c r="D76" s="23" t="str">
        <x:v>Single source-list record</x:v>
      </x:c>
      <x:c r="E76" s="23" t="str">
        <x:v>Provisional: primary baseline pending</x:v>
      </x:c>
      <x:c r="F76" s="23" t="str">
        <x:v>Not assessed</x:v>
      </x:c>
      <x:c r="G76" s="23" t="str">
        <x:v>Not assessed</x:v>
      </x:c>
      <x:c r="H76" s="23" t="str">
        <x:v>Not assessed</x:v>
      </x:c>
      <x:c r="I76" s="23" t="str">
        <x:v>Not assessed</x:v>
      </x:c>
      <x:c r="J76" s="23" t="str">
        <x:v>Not started</x:v>
      </x:c>
      <x:c r="K76" s="23" t="str">
        <x:v>B15</x:v>
      </x:c>
      <x:c r="L76" s="23" t="str">
        <x:v>S02</x:v>
      </x:c>
      <x:c r="M76" s="23" t="str">
        <x:v>Notice 17; (8) Mediterranean and Black Seas</x:v>
      </x:c>
      <x:c r="N76" s="26" t="str">
        <x:v>https://www.scribd.com/document/1014775753/1-1-IMO-Adopted-Traffic-Separation-Schemes-on-the-ADMIRALTY-Chart-Series</x:v>
      </x:c>
      <x:c r="O76" s="23" t="str">
        <x:v>Not assessed</x:v>
      </x:c>
      <x:c r="P76" s="26" t="str">
        <x:v>Not assessed</x:v>
      </x:c>
      <x:c r="Q76" s="23" t="str">
        <x:v>2026-09-29</x:v>
      </x:c>
      <x:c r="R76" s="23" t="str">
        <x:v>Reconcile name, adoption, implementation and current status against the primary baseline.</x:v>
      </x:c>
    </x:row>
    <x:row r="77" ht="59" customHeight="1">
      <x:c r="A77" s="23" t="str">
        <x:v>TSS-072</x:v>
      </x:c>
      <x:c r="B77" s="23" t="str">
        <x:v>Mediterranean and Black Seas</x:v>
      </x:c>
      <x:c r="C77" s="23" t="str">
        <x:v>In the Corsica Channel</x:v>
      </x:c>
      <x:c r="D77" s="23" t="str">
        <x:v>Single source-list record</x:v>
      </x:c>
      <x:c r="E77" s="23" t="str">
        <x:v>Provisional: primary baseline pending</x:v>
      </x:c>
      <x:c r="F77" s="23" t="str">
        <x:v>Not assessed</x:v>
      </x:c>
      <x:c r="G77" s="23" t="str">
        <x:v>Not assessed</x:v>
      </x:c>
      <x:c r="H77" s="23" t="str">
        <x:v>Not assessed</x:v>
      </x:c>
      <x:c r="I77" s="23" t="str">
        <x:v>Not assessed</x:v>
      </x:c>
      <x:c r="J77" s="23" t="str">
        <x:v>Not started</x:v>
      </x:c>
      <x:c r="K77" s="23" t="str">
        <x:v>B15</x:v>
      </x:c>
      <x:c r="L77" s="23" t="str">
        <x:v>S02</x:v>
      </x:c>
      <x:c r="M77" s="23" t="str">
        <x:v>Notice 17; (8) Mediterranean and Black Seas</x:v>
      </x:c>
      <x:c r="N77" s="26" t="str">
        <x:v>https://www.scribd.com/document/1014775753/1-1-IMO-Adopted-Traffic-Separation-Schemes-on-the-ADMIRALTY-Chart-Series</x:v>
      </x:c>
      <x:c r="O77" s="23" t="str">
        <x:v>Not assessed</x:v>
      </x:c>
      <x:c r="P77" s="26" t="str">
        <x:v>Not assessed</x:v>
      </x:c>
      <x:c r="Q77" s="23" t="str">
        <x:v>2026-09-29</x:v>
      </x:c>
      <x:c r="R77" s="23" t="str">
        <x:v>Reconcile name, adoption, implementation and current status against the primary baseline.</x:v>
      </x:c>
    </x:row>
    <x:row r="78" ht="59" customHeight="1">
      <x:c r="A78" s="23" t="str">
        <x:v>TSS-073</x:v>
      </x:c>
      <x:c r="B78" s="23" t="str">
        <x:v>Mediterranean and Black Seas</x:v>
      </x:c>
      <x:c r="C78" s="23" t="str">
        <x:v>In the Adriatic Sea: In the North Adriatic Sea</x:v>
      </x:c>
      <x:c r="D78" s="23" t="str">
        <x:v>Grouping check required</x:v>
      </x:c>
      <x:c r="E78" s="23" t="str">
        <x:v>Provisional: primary baseline pending</x:v>
      </x:c>
      <x:c r="F78" s="23" t="str">
        <x:v>Not assessed</x:v>
      </x:c>
      <x:c r="G78" s="23" t="str">
        <x:v>Not assessed</x:v>
      </x:c>
      <x:c r="H78" s="23" t="str">
        <x:v>Not assessed</x:v>
      </x:c>
      <x:c r="I78" s="23" t="str">
        <x:v>Not assessed</x:v>
      </x:c>
      <x:c r="J78" s="23" t="str">
        <x:v>Not started</x:v>
      </x:c>
      <x:c r="K78" s="23" t="str">
        <x:v>B15</x:v>
      </x:c>
      <x:c r="L78" s="23" t="str">
        <x:v>S02</x:v>
      </x:c>
      <x:c r="M78" s="23" t="str">
        <x:v>Notice 17; (8) Mediterranean and Black Seas</x:v>
      </x:c>
      <x:c r="N78" s="26" t="str">
        <x:v>https://www.scribd.com/document/1014775753/1-1-IMO-Adopted-Traffic-Separation-Schemes-on-the-ADMIRALTY-Chart-Series</x:v>
      </x:c>
      <x:c r="O78" s="23" t="str">
        <x:v>Not assessed</x:v>
      </x:c>
      <x:c r="P78" s="26" t="str">
        <x:v>Not assessed</x:v>
      </x:c>
      <x:c r="Q78" s="23" t="str">
        <x:v>2026-09-29</x:v>
      </x:c>
      <x:c r="R78" s="23" t="str">
        <x:v>Check grouping against the adjoining Adriatic entries; prevent overlap.</x:v>
      </x:c>
    </x:row>
    <x:row r="79" ht="59" customHeight="1">
      <x:c r="A79" s="23" t="str">
        <x:v>TSS-074</x:v>
      </x:c>
      <x:c r="B79" s="23" t="str">
        <x:v>Mediterranean and Black Seas</x:v>
      </x:c>
      <x:c r="C79" s="23" t="str">
        <x:v>In the Adriatic Sea: Approaches to the Gulf of Trieste</x:v>
      </x:c>
      <x:c r="D79" s="23" t="str">
        <x:v>Single source-list record</x:v>
      </x:c>
      <x:c r="E79" s="23" t="str">
        <x:v>Provisional: primary baseline pending</x:v>
      </x:c>
      <x:c r="F79" s="23" t="str">
        <x:v>Not assessed</x:v>
      </x:c>
      <x:c r="G79" s="23" t="str">
        <x:v>Not assessed</x:v>
      </x:c>
      <x:c r="H79" s="23" t="str">
        <x:v>Not assessed</x:v>
      </x:c>
      <x:c r="I79" s="23" t="str">
        <x:v>Not assessed</x:v>
      </x:c>
      <x:c r="J79" s="23" t="str">
        <x:v>Not started</x:v>
      </x:c>
      <x:c r="K79" s="23" t="str">
        <x:v>B15</x:v>
      </x:c>
      <x:c r="L79" s="23" t="str">
        <x:v>S02</x:v>
      </x:c>
      <x:c r="M79" s="23" t="str">
        <x:v>Notice 17; (8) Mediterranean and Black Seas</x:v>
      </x:c>
      <x:c r="N79" s="26" t="str">
        <x:v>https://www.scribd.com/document/1014775753/1-1-IMO-Adopted-Traffic-Separation-Schemes-on-the-ADMIRALTY-Chart-Series</x:v>
      </x:c>
      <x:c r="O79" s="23" t="str">
        <x:v>Not assessed</x:v>
      </x:c>
      <x:c r="P79" s="26" t="str">
        <x:v>Not assessed</x:v>
      </x:c>
      <x:c r="Q79" s="23" t="str">
        <x:v>2026-09-29</x:v>
      </x:c>
      <x:c r="R79" s="23" t="str">
        <x:v>Reconcile name, adoption, implementation and current status against the primary baseline.</x:v>
      </x:c>
    </x:row>
    <x:row r="80" ht="59" customHeight="1">
      <x:c r="A80" s="23" t="str">
        <x:v>TSS-075</x:v>
      </x:c>
      <x:c r="B80" s="23" t="str">
        <x:v>Mediterranean and Black Seas</x:v>
      </x:c>
      <x:c r="C80" s="23" t="str">
        <x:v>In the Adriatic Sea: Approaches to the Gulf of Venice</x:v>
      </x:c>
      <x:c r="D80" s="23" t="str">
        <x:v>Single source-list record</x:v>
      </x:c>
      <x:c r="E80" s="23" t="str">
        <x:v>Provisional: primary baseline pending</x:v>
      </x:c>
      <x:c r="F80" s="23" t="str">
        <x:v>Not assessed</x:v>
      </x:c>
      <x:c r="G80" s="23" t="str">
        <x:v>Not assessed</x:v>
      </x:c>
      <x:c r="H80" s="23" t="str">
        <x:v>Not assessed</x:v>
      </x:c>
      <x:c r="I80" s="23" t="str">
        <x:v>Not assessed</x:v>
      </x:c>
      <x:c r="J80" s="23" t="str">
        <x:v>Not started</x:v>
      </x:c>
      <x:c r="K80" s="23" t="str">
        <x:v>B15</x:v>
      </x:c>
      <x:c r="L80" s="23" t="str">
        <x:v>S02</x:v>
      </x:c>
      <x:c r="M80" s="23" t="str">
        <x:v>Notice 17; (8) Mediterranean and Black Seas</x:v>
      </x:c>
      <x:c r="N80" s="26" t="str">
        <x:v>https://www.scribd.com/document/1014775753/1-1-IMO-Adopted-Traffic-Separation-Schemes-on-the-ADMIRALTY-Chart-Series</x:v>
      </x:c>
      <x:c r="O80" s="23" t="str">
        <x:v>Not assessed</x:v>
      </x:c>
      <x:c r="P80" s="26" t="str">
        <x:v>Not assessed</x:v>
      </x:c>
      <x:c r="Q80" s="23" t="str">
        <x:v>2026-09-29</x:v>
      </x:c>
      <x:c r="R80" s="23" t="str">
        <x:v>Reconcile name, adoption, implementation and current status against the primary baseline.</x:v>
      </x:c>
    </x:row>
    <x:row r="81" ht="59" customHeight="1">
      <x:c r="A81" s="23" t="str">
        <x:v>TSS-076</x:v>
      </x:c>
      <x:c r="B81" s="23" t="str">
        <x:v>Mediterranean and Black Seas</x:v>
      </x:c>
      <x:c r="C81" s="23" t="str">
        <x:v>In the Adriatic Sea: In the Gulf of Trieste and approaches to/from Koper</x:v>
      </x:c>
      <x:c r="D81" s="23" t="str">
        <x:v>Single source-list record</x:v>
      </x:c>
      <x:c r="E81" s="23" t="str">
        <x:v>Provisional: primary baseline pending</x:v>
      </x:c>
      <x:c r="F81" s="23" t="str">
        <x:v>Not assessed</x:v>
      </x:c>
      <x:c r="G81" s="23" t="str">
        <x:v>Not assessed</x:v>
      </x:c>
      <x:c r="H81" s="23" t="str">
        <x:v>Not assessed</x:v>
      </x:c>
      <x:c r="I81" s="23" t="str">
        <x:v>Not assessed</x:v>
      </x:c>
      <x:c r="J81" s="23" t="str">
        <x:v>Not started</x:v>
      </x:c>
      <x:c r="K81" s="23" t="str">
        <x:v>B16</x:v>
      </x:c>
      <x:c r="L81" s="23" t="str">
        <x:v>S02</x:v>
      </x:c>
      <x:c r="M81" s="23" t="str">
        <x:v>Notice 17; (8) Mediterranean and Black Seas</x:v>
      </x:c>
      <x:c r="N81" s="26" t="str">
        <x:v>https://www.scribd.com/document/1014775753/1-1-IMO-Adopted-Traffic-Separation-Schemes-on-the-ADMIRALTY-Chart-Series</x:v>
      </x:c>
      <x:c r="O81" s="23" t="str">
        <x:v>Not assessed</x:v>
      </x:c>
      <x:c r="P81" s="26" t="str">
        <x:v>Not assessed</x:v>
      </x:c>
      <x:c r="Q81" s="23" t="str">
        <x:v>2026-09-29</x:v>
      </x:c>
      <x:c r="R81" s="23" t="str">
        <x:v>Reconcile name, adoption, implementation and current status against the primary baseline.</x:v>
      </x:c>
    </x:row>
    <x:row r="82" ht="59" customHeight="1">
      <x:c r="A82" s="23" t="str">
        <x:v>TSS-077</x:v>
      </x:c>
      <x:c r="B82" s="23" t="str">
        <x:v>Mediterranean and Black Seas</x:v>
      </x:c>
      <x:c r="C82" s="23" t="str">
        <x:v>In the Adriatic Sea: Approaches to/from Monfalcone</x:v>
      </x:c>
      <x:c r="D82" s="23" t="str">
        <x:v>Single source-list record</x:v>
      </x:c>
      <x:c r="E82" s="23" t="str">
        <x:v>Provisional: primary baseline pending</x:v>
      </x:c>
      <x:c r="F82" s="23" t="str">
        <x:v>Not assessed</x:v>
      </x:c>
      <x:c r="G82" s="23" t="str">
        <x:v>Not assessed</x:v>
      </x:c>
      <x:c r="H82" s="23" t="str">
        <x:v>Not assessed</x:v>
      </x:c>
      <x:c r="I82" s="23" t="str">
        <x:v>Not assessed</x:v>
      </x:c>
      <x:c r="J82" s="23" t="str">
        <x:v>Not started</x:v>
      </x:c>
      <x:c r="K82" s="23" t="str">
        <x:v>B16</x:v>
      </x:c>
      <x:c r="L82" s="23" t="str">
        <x:v>S02</x:v>
      </x:c>
      <x:c r="M82" s="23" t="str">
        <x:v>Notice 17; (8) Mediterranean and Black Seas</x:v>
      </x:c>
      <x:c r="N82" s="26" t="str">
        <x:v>https://www.scribd.com/document/1014775753/1-1-IMO-Adopted-Traffic-Separation-Schemes-on-the-ADMIRALTY-Chart-Series</x:v>
      </x:c>
      <x:c r="O82" s="23" t="str">
        <x:v>Not assessed</x:v>
      </x:c>
      <x:c r="P82" s="26" t="str">
        <x:v>Not assessed</x:v>
      </x:c>
      <x:c r="Q82" s="23" t="str">
        <x:v>2026-09-29</x:v>
      </x:c>
      <x:c r="R82" s="23" t="str">
        <x:v>Reconcile name, adoption, implementation and current status against the primary baseline.</x:v>
      </x:c>
    </x:row>
    <x:row r="83" ht="59" customHeight="1">
      <x:c r="A83" s="23" t="str">
        <x:v>TSS-078</x:v>
      </x:c>
      <x:c r="B83" s="23" t="str">
        <x:v>Mediterranean and Black Seas</x:v>
      </x:c>
      <x:c r="C83" s="23" t="str">
        <x:v>Saronicos Gulf (Saronikós Kólpos, in the Approaches to Piraiévs)</x:v>
      </x:c>
      <x:c r="D83" s="23" t="str">
        <x:v>Single source-list record</x:v>
      </x:c>
      <x:c r="E83" s="23" t="str">
        <x:v>Provisional: primary baseline pending</x:v>
      </x:c>
      <x:c r="F83" s="23" t="str">
        <x:v>Not assessed</x:v>
      </x:c>
      <x:c r="G83" s="23" t="str">
        <x:v>Not assessed</x:v>
      </x:c>
      <x:c r="H83" s="23" t="str">
        <x:v>Not assessed</x:v>
      </x:c>
      <x:c r="I83" s="23" t="str">
        <x:v>Not assessed</x:v>
      </x:c>
      <x:c r="J83" s="23" t="str">
        <x:v>Not started</x:v>
      </x:c>
      <x:c r="K83" s="23" t="str">
        <x:v>B16</x:v>
      </x:c>
      <x:c r="L83" s="23" t="str">
        <x:v>S02</x:v>
      </x:c>
      <x:c r="M83" s="23" t="str">
        <x:v>Notice 17; (8) Mediterranean and Black Seas</x:v>
      </x:c>
      <x:c r="N83" s="26" t="str">
        <x:v>https://www.scribd.com/document/1014775753/1-1-IMO-Adopted-Traffic-Separation-Schemes-on-the-ADMIRALTY-Chart-Series</x:v>
      </x:c>
      <x:c r="O83" s="23" t="str">
        <x:v>Not assessed</x:v>
      </x:c>
      <x:c r="P83" s="26" t="str">
        <x:v>Not assessed</x:v>
      </x:c>
      <x:c r="Q83" s="23" t="str">
        <x:v>2026-09-29</x:v>
      </x:c>
      <x:c r="R83" s="23" t="str">
        <x:v>Reconcile name, adoption, implementation and current status against the primary baseline.</x:v>
      </x:c>
    </x:row>
    <x:row r="84" ht="59" customHeight="1">
      <x:c r="A84" s="23" t="str">
        <x:v>TSS-079</x:v>
      </x:c>
      <x:c r="B84" s="23" t="str">
        <x:v>Mediterranean and Black Seas</x:v>
      </x:c>
      <x:c r="C84" s="23" t="str">
        <x:v>In the approaches to the port of Thessaloníki</x:v>
      </x:c>
      <x:c r="D84" s="23" t="str">
        <x:v>Single source-list record</x:v>
      </x:c>
      <x:c r="E84" s="23" t="str">
        <x:v>Provisional: primary baseline pending</x:v>
      </x:c>
      <x:c r="F84" s="23" t="str">
        <x:v>Not assessed</x:v>
      </x:c>
      <x:c r="G84" s="23" t="str">
        <x:v>Not assessed</x:v>
      </x:c>
      <x:c r="H84" s="23" t="str">
        <x:v>Not assessed</x:v>
      </x:c>
      <x:c r="I84" s="23" t="str">
        <x:v>Not assessed</x:v>
      </x:c>
      <x:c r="J84" s="23" t="str">
        <x:v>Not started</x:v>
      </x:c>
      <x:c r="K84" s="23" t="str">
        <x:v>B16</x:v>
      </x:c>
      <x:c r="L84" s="23" t="str">
        <x:v>S02</x:v>
      </x:c>
      <x:c r="M84" s="23" t="str">
        <x:v>Notice 17; (8) Mediterranean and Black Seas</x:v>
      </x:c>
      <x:c r="N84" s="26" t="str">
        <x:v>https://www.scribd.com/document/1014775753/1-1-IMO-Adopted-Traffic-Separation-Schemes-on-the-ADMIRALTY-Chart-Series</x:v>
      </x:c>
      <x:c r="O84" s="23" t="str">
        <x:v>Not assessed</x:v>
      </x:c>
      <x:c r="P84" s="26" t="str">
        <x:v>Not assessed</x:v>
      </x:c>
      <x:c r="Q84" s="23" t="str">
        <x:v>2026-09-29</x:v>
      </x:c>
      <x:c r="R84" s="23" t="str">
        <x:v>Reconcile name, adoption, implementation and current status against the primary baseline.</x:v>
      </x:c>
    </x:row>
    <x:row r="85" ht="59" customHeight="1">
      <x:c r="A85" s="23" t="str">
        <x:v>TSS-080</x:v>
      </x:c>
      <x:c r="B85" s="23" t="str">
        <x:v>Mediterranean and Black Seas</x:v>
      </x:c>
      <x:c r="C85" s="23" t="str">
        <x:v>Strait of Istanbul - North Approach</x:v>
      </x:c>
      <x:c r="D85" s="23" t="str">
        <x:v>Single source-list record</x:v>
      </x:c>
      <x:c r="E85" s="23" t="str">
        <x:v>Provisional: primary baseline pending</x:v>
      </x:c>
      <x:c r="F85" s="23" t="str">
        <x:v>Not assessed</x:v>
      </x:c>
      <x:c r="G85" s="23" t="str">
        <x:v>Not assessed</x:v>
      </x:c>
      <x:c r="H85" s="23" t="str">
        <x:v>Not assessed</x:v>
      </x:c>
      <x:c r="I85" s="23" t="str">
        <x:v>Not assessed</x:v>
      </x:c>
      <x:c r="J85" s="23" t="str">
        <x:v>Not started</x:v>
      </x:c>
      <x:c r="K85" s="23" t="str">
        <x:v>B16</x:v>
      </x:c>
      <x:c r="L85" s="23" t="str">
        <x:v>S02</x:v>
      </x:c>
      <x:c r="M85" s="23" t="str">
        <x:v>Notice 17; (8) Mediterranean and Black Seas</x:v>
      </x:c>
      <x:c r="N85" s="26" t="str">
        <x:v>https://www.scribd.com/document/1014775753/1-1-IMO-Adopted-Traffic-Separation-Schemes-on-the-ADMIRALTY-Chart-Series</x:v>
      </x:c>
      <x:c r="O85" s="23" t="str">
        <x:v>Not assessed</x:v>
      </x:c>
      <x:c r="P85" s="26" t="str">
        <x:v>Not assessed</x:v>
      </x:c>
      <x:c r="Q85" s="23" t="str">
        <x:v>2026-09-29</x:v>
      </x:c>
      <x:c r="R85" s="23" t="str">
        <x:v>Reconcile name, adoption, implementation and current status against the primary baseline.</x:v>
      </x:c>
    </x:row>
    <x:row r="86" ht="59" customHeight="1">
      <x:c r="A86" s="23" t="str">
        <x:v>TSS-081</x:v>
      </x:c>
      <x:c r="B86" s="23" t="str">
        <x:v>Mediterranean and Black Seas</x:v>
      </x:c>
      <x:c r="C86" s="23" t="str">
        <x:v>Strait of Istanbul</x:v>
      </x:c>
      <x:c r="D86" s="23" t="str">
        <x:v>Single source-list record</x:v>
      </x:c>
      <x:c r="E86" s="23" t="str">
        <x:v>Provisional: primary baseline pending</x:v>
      </x:c>
      <x:c r="F86" s="23" t="str">
        <x:v>Not assessed</x:v>
      </x:c>
      <x:c r="G86" s="23" t="str">
        <x:v>Not assessed</x:v>
      </x:c>
      <x:c r="H86" s="23" t="str">
        <x:v>Not assessed</x:v>
      </x:c>
      <x:c r="I86" s="23" t="str">
        <x:v>Not assessed</x:v>
      </x:c>
      <x:c r="J86" s="23" t="str">
        <x:v>Not started</x:v>
      </x:c>
      <x:c r="K86" s="23" t="str">
        <x:v>B17</x:v>
      </x:c>
      <x:c r="L86" s="23" t="str">
        <x:v>S02</x:v>
      </x:c>
      <x:c r="M86" s="23" t="str">
        <x:v>Notice 17; (8) Mediterranean and Black Seas</x:v>
      </x:c>
      <x:c r="N86" s="26" t="str">
        <x:v>https://www.scribd.com/document/1014775753/1-1-IMO-Adopted-Traffic-Separation-Schemes-on-the-ADMIRALTY-Chart-Series</x:v>
      </x:c>
      <x:c r="O86" s="23" t="str">
        <x:v>Not assessed</x:v>
      </x:c>
      <x:c r="P86" s="26" t="str">
        <x:v>Not assessed</x:v>
      </x:c>
      <x:c r="Q86" s="23" t="str">
        <x:v>2026-09-29</x:v>
      </x:c>
      <x:c r="R86" s="23" t="str">
        <x:v>Reconcile name, adoption, implementation and current status against the primary baseline.</x:v>
      </x:c>
    </x:row>
    <x:row r="87" ht="59" customHeight="1">
      <x:c r="A87" s="23" t="str">
        <x:v>TSS-082</x:v>
      </x:c>
      <x:c r="B87" s="23" t="str">
        <x:v>Mediterranean and Black Seas</x:v>
      </x:c>
      <x:c r="C87" s="23" t="str">
        <x:v>Strait of Istanbul - South Approach and Sea of Marmara</x:v>
      </x:c>
      <x:c r="D87" s="23" t="str">
        <x:v>Grouping check required</x:v>
      </x:c>
      <x:c r="E87" s="23" t="str">
        <x:v>Provisional: primary baseline pending</x:v>
      </x:c>
      <x:c r="F87" s="23" t="str">
        <x:v>Not assessed</x:v>
      </x:c>
      <x:c r="G87" s="23" t="str">
        <x:v>Not assessed</x:v>
      </x:c>
      <x:c r="H87" s="23" t="str">
        <x:v>Not assessed</x:v>
      </x:c>
      <x:c r="I87" s="23" t="str">
        <x:v>Not assessed</x:v>
      </x:c>
      <x:c r="J87" s="23" t="str">
        <x:v>Not started</x:v>
      </x:c>
      <x:c r="K87" s="23" t="str">
        <x:v>B17</x:v>
      </x:c>
      <x:c r="L87" s="23" t="str">
        <x:v>S02</x:v>
      </x:c>
      <x:c r="M87" s="23" t="str">
        <x:v>Notice 17; (8) Mediterranean and Black Seas</x:v>
      </x:c>
      <x:c r="N87" s="26" t="str">
        <x:v>https://www.scribd.com/document/1014775753/1-1-IMO-Adopted-Traffic-Separation-Schemes-on-the-ADMIRALTY-Chart-Series</x:v>
      </x:c>
      <x:c r="O87" s="23" t="str">
        <x:v>Not assessed</x:v>
      </x:c>
      <x:c r="P87" s="26" t="str">
        <x:v>Not assessed</x:v>
      </x:c>
      <x:c r="Q87" s="23" t="str">
        <x:v>2026-09-29</x:v>
      </x:c>
      <x:c r="R87" s="23" t="str">
        <x:v>Combined strait/Sea of Marmara heading. Confirm individual measures.</x:v>
      </x:c>
    </x:row>
    <x:row r="88" ht="59" customHeight="1">
      <x:c r="A88" s="23" t="str">
        <x:v>TSS-083</x:v>
      </x:c>
      <x:c r="B88" s="23" t="str">
        <x:v>Mediterranean and Black Seas</x:v>
      </x:c>
      <x:c r="C88" s="23" t="str">
        <x:v>Strait of Canakkale</x:v>
      </x:c>
      <x:c r="D88" s="23" t="str">
        <x:v>Single source-list record</x:v>
      </x:c>
      <x:c r="E88" s="23" t="str">
        <x:v>Provisional: primary baseline pending</x:v>
      </x:c>
      <x:c r="F88" s="23" t="str">
        <x:v>Not assessed</x:v>
      </x:c>
      <x:c r="G88" s="23" t="str">
        <x:v>Not assessed</x:v>
      </x:c>
      <x:c r="H88" s="23" t="str">
        <x:v>Not assessed</x:v>
      </x:c>
      <x:c r="I88" s="23" t="str">
        <x:v>Not assessed</x:v>
      </x:c>
      <x:c r="J88" s="23" t="str">
        <x:v>Not started</x:v>
      </x:c>
      <x:c r="K88" s="23" t="str">
        <x:v>B17</x:v>
      </x:c>
      <x:c r="L88" s="23" t="str">
        <x:v>S02</x:v>
      </x:c>
      <x:c r="M88" s="23" t="str">
        <x:v>Notice 17; (8) Mediterranean and Black Seas</x:v>
      </x:c>
      <x:c r="N88" s="26" t="str">
        <x:v>https://www.scribd.com/document/1014775753/1-1-IMO-Adopted-Traffic-Separation-Schemes-on-the-ADMIRALTY-Chart-Series</x:v>
      </x:c>
      <x:c r="O88" s="23" t="str">
        <x:v>Not assessed</x:v>
      </x:c>
      <x:c r="P88" s="26" t="str">
        <x:v>Not assessed</x:v>
      </x:c>
      <x:c r="Q88" s="23" t="str">
        <x:v>2026-09-29</x:v>
      </x:c>
      <x:c r="R88" s="23" t="str">
        <x:v>Reconcile name, adoption, implementation and current status against the primary baseline.</x:v>
      </x:c>
    </x:row>
    <x:row r="89" ht="59" customHeight="1">
      <x:c r="A89" s="23" t="str">
        <x:v>TSS-084</x:v>
      </x:c>
      <x:c r="B89" s="23" t="str">
        <x:v>Mediterranean and Black Seas</x:v>
      </x:c>
      <x:c r="C89" s="23" t="str">
        <x:v>Strait of Canakkale - South-west Approach</x:v>
      </x:c>
      <x:c r="D89" s="23" t="str">
        <x:v>Single source-list record</x:v>
      </x:c>
      <x:c r="E89" s="23" t="str">
        <x:v>Provisional: primary baseline pending</x:v>
      </x:c>
      <x:c r="F89" s="23" t="str">
        <x:v>Not assessed</x:v>
      </x:c>
      <x:c r="G89" s="23" t="str">
        <x:v>Not assessed</x:v>
      </x:c>
      <x:c r="H89" s="23" t="str">
        <x:v>Not assessed</x:v>
      </x:c>
      <x:c r="I89" s="23" t="str">
        <x:v>Not assessed</x:v>
      </x:c>
      <x:c r="J89" s="23" t="str">
        <x:v>Not started</x:v>
      </x:c>
      <x:c r="K89" s="23" t="str">
        <x:v>B17</x:v>
      </x:c>
      <x:c r="L89" s="23" t="str">
        <x:v>S02</x:v>
      </x:c>
      <x:c r="M89" s="23" t="str">
        <x:v>Notice 17; (8) Mediterranean and Black Seas</x:v>
      </x:c>
      <x:c r="N89" s="26" t="str">
        <x:v>https://www.scribd.com/document/1014775753/1-1-IMO-Adopted-Traffic-Separation-Schemes-on-the-ADMIRALTY-Chart-Series</x:v>
      </x:c>
      <x:c r="O89" s="23" t="str">
        <x:v>Not assessed</x:v>
      </x:c>
      <x:c r="P89" s="26" t="str">
        <x:v>Not assessed</x:v>
      </x:c>
      <x:c r="Q89" s="23" t="str">
        <x:v>2026-09-29</x:v>
      </x:c>
      <x:c r="R89" s="23" t="str">
        <x:v>Reconcile name, adoption, implementation and current status against the primary baseline.</x:v>
      </x:c>
    </x:row>
    <x:row r="90" ht="59" customHeight="1">
      <x:c r="A90" s="23" t="str">
        <x:v>TSS-085</x:v>
      </x:c>
      <x:c r="B90" s="23" t="str">
        <x:v>Mediterranean and Black Seas</x:v>
      </x:c>
      <x:c r="C90" s="23" t="str">
        <x:v>In the Approaches to the Ports of Odessa and Ilichevsk</x:v>
      </x:c>
      <x:c r="D90" s="23" t="str">
        <x:v>Single source-list record</x:v>
      </x:c>
      <x:c r="E90" s="23" t="str">
        <x:v>Provisional: primary baseline pending</x:v>
      </x:c>
      <x:c r="F90" s="23" t="str">
        <x:v>Not assessed</x:v>
      </x:c>
      <x:c r="G90" s="23" t="str">
        <x:v>Not assessed</x:v>
      </x:c>
      <x:c r="H90" s="23" t="str">
        <x:v>Not assessed</x:v>
      </x:c>
      <x:c r="I90" s="23" t="str">
        <x:v>Not assessed</x:v>
      </x:c>
      <x:c r="J90" s="23" t="str">
        <x:v>Not started</x:v>
      </x:c>
      <x:c r="K90" s="23" t="str">
        <x:v>B17</x:v>
      </x:c>
      <x:c r="L90" s="23" t="str">
        <x:v>S02</x:v>
      </x:c>
      <x:c r="M90" s="23" t="str">
        <x:v>Notice 17; (8) Mediterranean and Black Seas</x:v>
      </x:c>
      <x:c r="N90" s="26" t="str">
        <x:v>https://www.scribd.com/document/1014775753/1-1-IMO-Adopted-Traffic-Separation-Schemes-on-the-ADMIRALTY-Chart-Series</x:v>
      </x:c>
      <x:c r="O90" s="23" t="str">
        <x:v>Not assessed</x:v>
      </x:c>
      <x:c r="P90" s="26" t="str">
        <x:v>Not assessed</x:v>
      </x:c>
      <x:c r="Q90" s="23" t="str">
        <x:v>2026-09-29</x:v>
      </x:c>
      <x:c r="R90" s="23" t="str">
        <x:v>Retains source names 'Odessa' and 'Ilichevsk'. Verify current official names and status.</x:v>
      </x:c>
    </x:row>
    <x:row r="91" ht="59" customHeight="1">
      <x:c r="A91" s="23" t="str">
        <x:v>TSS-086</x:v>
      </x:c>
      <x:c r="B91" s="23" t="str">
        <x:v>Mediterranean and Black Seas</x:v>
      </x:c>
      <x:c r="C91" s="23" t="str">
        <x:v>Between the Ports of Odessa and Ilichevsk</x:v>
      </x:c>
      <x:c r="D91" s="23" t="str">
        <x:v>Single source-list record</x:v>
      </x:c>
      <x:c r="E91" s="23" t="str">
        <x:v>Provisional: primary baseline pending</x:v>
      </x:c>
      <x:c r="F91" s="23" t="str">
        <x:v>Not assessed</x:v>
      </x:c>
      <x:c r="G91" s="23" t="str">
        <x:v>Not assessed</x:v>
      </x:c>
      <x:c r="H91" s="23" t="str">
        <x:v>Not assessed</x:v>
      </x:c>
      <x:c r="I91" s="23" t="str">
        <x:v>Not assessed</x:v>
      </x:c>
      <x:c r="J91" s="23" t="str">
        <x:v>Not started</x:v>
      </x:c>
      <x:c r="K91" s="23" t="str">
        <x:v>B18</x:v>
      </x:c>
      <x:c r="L91" s="23" t="str">
        <x:v>S02</x:v>
      </x:c>
      <x:c r="M91" s="23" t="str">
        <x:v>Notice 17; (8) Mediterranean and Black Seas</x:v>
      </x:c>
      <x:c r="N91" s="26" t="str">
        <x:v>https://www.scribd.com/document/1014775753/1-1-IMO-Adopted-Traffic-Separation-Schemes-on-the-ADMIRALTY-Chart-Series</x:v>
      </x:c>
      <x:c r="O91" s="23" t="str">
        <x:v>Not assessed</x:v>
      </x:c>
      <x:c r="P91" s="26" t="str">
        <x:v>Not assessed</x:v>
      </x:c>
      <x:c r="Q91" s="23" t="str">
        <x:v>2026-09-29</x:v>
      </x:c>
      <x:c r="R91" s="23" t="str">
        <x:v>Retains source names 'Odessa' and 'Ilichevsk'. Verify current official names and status.</x:v>
      </x:c>
    </x:row>
    <x:row r="92" ht="59" customHeight="1">
      <x:c r="A92" s="23" t="str">
        <x:v>TSS-087</x:v>
      </x:c>
      <x:c r="B92" s="23" t="str">
        <x:v>Mediterranean and Black Seas</x:v>
      </x:c>
      <x:c r="C92" s="23" t="str">
        <x:v>In the area Off the South-western Coast of the Crimea</x:v>
      </x:c>
      <x:c r="D92" s="23" t="str">
        <x:v>Single source-list record</x:v>
      </x:c>
      <x:c r="E92" s="23" t="str">
        <x:v>Provisional: primary baseline pending</x:v>
      </x:c>
      <x:c r="F92" s="23" t="str">
        <x:v>Not assessed</x:v>
      </x:c>
      <x:c r="G92" s="23" t="str">
        <x:v>Not assessed</x:v>
      </x:c>
      <x:c r="H92" s="23" t="str">
        <x:v>Not assessed</x:v>
      </x:c>
      <x:c r="I92" s="23" t="str">
        <x:v>Not assessed</x:v>
      </x:c>
      <x:c r="J92" s="23" t="str">
        <x:v>Not started</x:v>
      </x:c>
      <x:c r="K92" s="23" t="str">
        <x:v>B18</x:v>
      </x:c>
      <x:c r="L92" s="23" t="str">
        <x:v>S02</x:v>
      </x:c>
      <x:c r="M92" s="23" t="str">
        <x:v>Notice 17; (8) Mediterranean and Black Seas</x:v>
      </x:c>
      <x:c r="N92" s="26" t="str">
        <x:v>https://www.scribd.com/document/1014775753/1-1-IMO-Adopted-Traffic-Separation-Schemes-on-the-ADMIRALTY-Chart-Series</x:v>
      </x:c>
      <x:c r="O92" s="23" t="str">
        <x:v>Not assessed</x:v>
      </x:c>
      <x:c r="P92" s="26" t="str">
        <x:v>Not assessed</x:v>
      </x:c>
      <x:c r="Q92" s="23" t="str">
        <x:v>2026-09-29</x:v>
      </x:c>
      <x:c r="R92" s="23" t="str">
        <x:v>Reconcile name, adoption, implementation and current status against the primary baseline.</x:v>
      </x:c>
    </x:row>
    <x:row r="93" ht="59" customHeight="1">
      <x:c r="A93" s="23" t="str">
        <x:v>TSS-088</x:v>
      </x:c>
      <x:c r="B93" s="23" t="str">
        <x:v>Mediterranean and Black Seas</x:v>
      </x:c>
      <x:c r="C93" s="23" t="str">
        <x:v>In the Southern Approaches to the Kerch Strait</x:v>
      </x:c>
      <x:c r="D93" s="23" t="str">
        <x:v>Single source-list record</x:v>
      </x:c>
      <x:c r="E93" s="23" t="str">
        <x:v>Provisional: primary baseline pending</x:v>
      </x:c>
      <x:c r="F93" s="23" t="str">
        <x:v>Not assessed</x:v>
      </x:c>
      <x:c r="G93" s="23" t="str">
        <x:v>Not assessed</x:v>
      </x:c>
      <x:c r="H93" s="23" t="str">
        <x:v>Not assessed</x:v>
      </x:c>
      <x:c r="I93" s="23" t="str">
        <x:v>Not assessed</x:v>
      </x:c>
      <x:c r="J93" s="23" t="str">
        <x:v>Not started</x:v>
      </x:c>
      <x:c r="K93" s="23" t="str">
        <x:v>B18</x:v>
      </x:c>
      <x:c r="L93" s="23" t="str">
        <x:v>S02</x:v>
      </x:c>
      <x:c r="M93" s="23" t="str">
        <x:v>Notice 17; (8) Mediterranean and Black Seas</x:v>
      </x:c>
      <x:c r="N93" s="26" t="str">
        <x:v>https://www.scribd.com/document/1014775753/1-1-IMO-Adopted-Traffic-Separation-Schemes-on-the-ADMIRALTY-Chart-Series</x:v>
      </x:c>
      <x:c r="O93" s="23" t="str">
        <x:v>Not assessed</x:v>
      </x:c>
      <x:c r="P93" s="26" t="str">
        <x:v>Not assessed</x:v>
      </x:c>
      <x:c r="Q93" s="23" t="str">
        <x:v>2026-09-29</x:v>
      </x:c>
      <x:c r="R93" s="23" t="str">
        <x:v>Reconcile name, adoption, implementation and current status against the primary baseline.</x:v>
      </x:c>
    </x:row>
    <x:row r="94" ht="59" customHeight="1">
      <x:c r="A94" s="23" t="str">
        <x:v>TSS-089</x:v>
      </x:c>
      <x:c r="B94" s="23" t="str">
        <x:v>Mediterranean and Black Seas</x:v>
      </x:c>
      <x:c r="C94" s="23" t="str">
        <x:v>Off the Mediterranean Coast of Egypt</x:v>
      </x:c>
      <x:c r="D94" s="23" t="str">
        <x:v>Grouping check required</x:v>
      </x:c>
      <x:c r="E94" s="23" t="str">
        <x:v>Provisional: primary baseline pending</x:v>
      </x:c>
      <x:c r="F94" s="23" t="str">
        <x:v>Not assessed</x:v>
      </x:c>
      <x:c r="G94" s="23" t="str">
        <x:v>Not assessed</x:v>
      </x:c>
      <x:c r="H94" s="23" t="str">
        <x:v>Not assessed</x:v>
      </x:c>
      <x:c r="I94" s="23" t="str">
        <x:v>Not assessed</x:v>
      </x:c>
      <x:c r="J94" s="23" t="str">
        <x:v>Not started</x:v>
      </x:c>
      <x:c r="K94" s="23" t="str">
        <x:v>B18</x:v>
      </x:c>
      <x:c r="L94" s="23" t="str">
        <x:v>S02</x:v>
      </x:c>
      <x:c r="M94" s="23" t="str">
        <x:v>Notice 17; (8) Mediterranean and Black Seas</x:v>
      </x:c>
      <x:c r="N94" s="26" t="str">
        <x:v>https://www.scribd.com/document/1014775753/1-1-IMO-Adopted-Traffic-Separation-Schemes-on-the-ADMIRALTY-Chart-Series</x:v>
      </x:c>
      <x:c r="O94" s="23" t="str">
        <x:v>Not assessed</x:v>
      </x:c>
      <x:c r="P94" s="26" t="str">
        <x:v>Not assessed</x:v>
      </x:c>
      <x:c r="Q94" s="23" t="str">
        <x:v>2026-09-29</x:v>
      </x:c>
      <x:c r="R94" s="23" t="str">
        <x:v>Regional heading. Establish constituent schemes and present status.</x:v>
      </x:c>
    </x:row>
    <x:row r="95" ht="59" customHeight="1">
      <x:c r="A95" s="23" t="str">
        <x:v>TSS-090</x:v>
      </x:c>
      <x:c r="B95" s="23" t="str">
        <x:v>Southern Africa</x:v>
      </x:c>
      <x:c r="C95" s="23" t="str">
        <x:v>Off Alphard Banks, 34 miles south of Cape Infanta</x:v>
      </x:c>
      <x:c r="D95" s="23" t="str">
        <x:v>Single source-list record</x:v>
      </x:c>
      <x:c r="E95" s="23" t="str">
        <x:v>Provisional: primary baseline pending</x:v>
      </x:c>
      <x:c r="F95" s="23" t="str">
        <x:v>Not assessed</x:v>
      </x:c>
      <x:c r="G95" s="23" t="str">
        <x:v>Not assessed</x:v>
      </x:c>
      <x:c r="H95" s="23" t="str">
        <x:v>Not assessed</x:v>
      </x:c>
      <x:c r="I95" s="23" t="str">
        <x:v>Not assessed</x:v>
      </x:c>
      <x:c r="J95" s="23" t="str">
        <x:v>Not started</x:v>
      </x:c>
      <x:c r="K95" s="23" t="str">
        <x:v>B18</x:v>
      </x:c>
      <x:c r="L95" s="23" t="str">
        <x:v>S02</x:v>
      </x:c>
      <x:c r="M95" s="23" t="str">
        <x:v>Notice 17; (10) Africa south/east coasts</x:v>
      </x:c>
      <x:c r="N95" s="26" t="str">
        <x:v>https://www.scribd.com/document/1014775753/1-1-IMO-Adopted-Traffic-Separation-Schemes-on-the-ADMIRALTY-Chart-Series</x:v>
      </x:c>
      <x:c r="O95" s="23" t="str">
        <x:v>Not assessed</x:v>
      </x:c>
      <x:c r="P95" s="26" t="str">
        <x:v>Not assessed</x:v>
      </x:c>
      <x:c r="Q95" s="23" t="str">
        <x:v>2026-09-29</x:v>
      </x:c>
      <x:c r="R95" s="23" t="str">
        <x:v>Reconcile name, adoption, implementation and current status against the primary baseline.</x:v>
      </x:c>
    </x:row>
    <x:row r="96" ht="59" customHeight="1">
      <x:c r="A96" s="23" t="str">
        <x:v>TSS-091</x:v>
      </x:c>
      <x:c r="B96" s="23" t="str">
        <x:v>Southern Africa</x:v>
      </x:c>
      <x:c r="C96" s="23" t="str">
        <x:v>Off the FA Platform, 47 miles south of Mossel Bay</x:v>
      </x:c>
      <x:c r="D96" s="23" t="str">
        <x:v>Single source-list record</x:v>
      </x:c>
      <x:c r="E96" s="23" t="str">
        <x:v>Provisional: primary baseline pending</x:v>
      </x:c>
      <x:c r="F96" s="23" t="str">
        <x:v>Not assessed</x:v>
      </x:c>
      <x:c r="G96" s="23" t="str">
        <x:v>Not assessed</x:v>
      </x:c>
      <x:c r="H96" s="23" t="str">
        <x:v>Not assessed</x:v>
      </x:c>
      <x:c r="I96" s="23" t="str">
        <x:v>Not assessed</x:v>
      </x:c>
      <x:c r="J96" s="23" t="str">
        <x:v>Not started</x:v>
      </x:c>
      <x:c r="K96" s="23" t="str">
        <x:v>B19</x:v>
      </x:c>
      <x:c r="L96" s="23" t="str">
        <x:v>S02</x:v>
      </x:c>
      <x:c r="M96" s="23" t="str">
        <x:v>Notice 17; (10) Africa south/east coasts</x:v>
      </x:c>
      <x:c r="N96" s="26" t="str">
        <x:v>https://www.scribd.com/document/1014775753/1-1-IMO-Adopted-Traffic-Separation-Schemes-on-the-ADMIRALTY-Chart-Series</x:v>
      </x:c>
      <x:c r="O96" s="23" t="str">
        <x:v>Not assessed</x:v>
      </x:c>
      <x:c r="P96" s="26" t="str">
        <x:v>Not assessed</x:v>
      </x:c>
      <x:c r="Q96" s="23" t="str">
        <x:v>2026-09-29</x:v>
      </x:c>
      <x:c r="R96" s="23" t="str">
        <x:v>Platform-related measure. Check whether infrastructure or scheme status has changed.</x:v>
      </x:c>
    </x:row>
    <x:row r="97" ht="59" customHeight="1">
      <x:c r="A97" s="23" t="str">
        <x:v>TSS-092</x:v>
      </x:c>
      <x:c r="B97" s="23" t="str">
        <x:v>Red Sea and Arabian region</x:v>
      </x:c>
      <x:c r="C97" s="23" t="str">
        <x:v>In the Gulf of Suez</x:v>
      </x:c>
      <x:c r="D97" s="23" t="str">
        <x:v>Grouping check required</x:v>
      </x:c>
      <x:c r="E97" s="23" t="str">
        <x:v>Provisional: primary baseline pending</x:v>
      </x:c>
      <x:c r="F97" s="23" t="str">
        <x:v>Not assessed</x:v>
      </x:c>
      <x:c r="G97" s="23" t="str">
        <x:v>Not assessed</x:v>
      </x:c>
      <x:c r="H97" s="23" t="str">
        <x:v>Not assessed</x:v>
      </x:c>
      <x:c r="I97" s="23" t="str">
        <x:v>Not assessed</x:v>
      </x:c>
      <x:c r="J97" s="23" t="str">
        <x:v>Not started</x:v>
      </x:c>
      <x:c r="K97" s="23" t="str">
        <x:v>B19</x:v>
      </x:c>
      <x:c r="L97" s="23" t="str">
        <x:v>S02</x:v>
      </x:c>
      <x:c r="M97" s="23" t="str">
        <x:v>Notice 17; (11) Red Sea and Arabian region</x:v>
      </x:c>
      <x:c r="N97" s="26" t="str">
        <x:v>https://www.scribd.com/document/1014775753/1-1-IMO-Adopted-Traffic-Separation-Schemes-on-the-ADMIRALTY-Chart-Series</x:v>
      </x:c>
      <x:c r="O97" s="23" t="str">
        <x:v>Not assessed</x:v>
      </x:c>
      <x:c r="P97" s="26" t="str">
        <x:v>Not assessed</x:v>
      </x:c>
      <x:c r="Q97" s="23" t="str">
        <x:v>2026-09-29</x:v>
      </x:c>
      <x:c r="R97" s="23" t="str">
        <x:v>Regional heading. Establish Gulf of Suez constituent schemes.</x:v>
      </x:c>
    </x:row>
    <x:row r="98" ht="59" customHeight="1">
      <x:c r="A98" s="23" t="str">
        <x:v>TSS-093</x:v>
      </x:c>
      <x:c r="B98" s="23" t="str">
        <x:v>Red Sea and Arabian region</x:v>
      </x:c>
      <x:c r="C98" s="23" t="str">
        <x:v>In the Entrance to the Gulf of Aqaba</x:v>
      </x:c>
      <x:c r="D98" s="23" t="str">
        <x:v>Single source-list record</x:v>
      </x:c>
      <x:c r="E98" s="23" t="str">
        <x:v>Provisional: primary baseline pending</x:v>
      </x:c>
      <x:c r="F98" s="23" t="str">
        <x:v>Not assessed</x:v>
      </x:c>
      <x:c r="G98" s="23" t="str">
        <x:v>Not assessed</x:v>
      </x:c>
      <x:c r="H98" s="23" t="str">
        <x:v>Not assessed</x:v>
      </x:c>
      <x:c r="I98" s="23" t="str">
        <x:v>Not assessed</x:v>
      </x:c>
      <x:c r="J98" s="23" t="str">
        <x:v>Not started</x:v>
      </x:c>
      <x:c r="K98" s="23" t="str">
        <x:v>B19</x:v>
      </x:c>
      <x:c r="L98" s="23" t="str">
        <x:v>S02</x:v>
      </x:c>
      <x:c r="M98" s="23" t="str">
        <x:v>Notice 17; (11) Red Sea and Arabian region</x:v>
      </x:c>
      <x:c r="N98" s="26" t="str">
        <x:v>https://www.scribd.com/document/1014775753/1-1-IMO-Adopted-Traffic-Separation-Schemes-on-the-ADMIRALTY-Chart-Series</x:v>
      </x:c>
      <x:c r="O98" s="23" t="str">
        <x:v>Not assessed</x:v>
      </x:c>
      <x:c r="P98" s="26" t="str">
        <x:v>Not assessed</x:v>
      </x:c>
      <x:c r="Q98" s="23" t="str">
        <x:v>2026-09-29</x:v>
      </x:c>
      <x:c r="R98" s="23" t="str">
        <x:v>Reconcile name, adoption, implementation and current status against the primary baseline.</x:v>
      </x:c>
    </x:row>
    <x:row r="99" ht="59" customHeight="1">
      <x:c r="A99" s="23" t="str">
        <x:v>TSS-094</x:v>
      </x:c>
      <x:c r="B99" s="23" t="str">
        <x:v>Red Sea and Arabian region</x:v>
      </x:c>
      <x:c r="C99" s="23" t="str">
        <x:v>In the Southern Red Sea - West and South of Hanish al Kubra</x:v>
      </x:c>
      <x:c r="D99" s="23" t="str">
        <x:v>Single source-list record</x:v>
      </x:c>
      <x:c r="E99" s="23" t="str">
        <x:v>Provisional: primary baseline pending</x:v>
      </x:c>
      <x:c r="F99" s="23" t="str">
        <x:v>Not assessed</x:v>
      </x:c>
      <x:c r="G99" s="23" t="str">
        <x:v>Not assessed</x:v>
      </x:c>
      <x:c r="H99" s="23" t="str">
        <x:v>Not assessed</x:v>
      </x:c>
      <x:c r="I99" s="23" t="str">
        <x:v>Not assessed</x:v>
      </x:c>
      <x:c r="J99" s="23" t="str">
        <x:v>Not started</x:v>
      </x:c>
      <x:c r="K99" s="23" t="str">
        <x:v>B19</x:v>
      </x:c>
      <x:c r="L99" s="23" t="str">
        <x:v>S02</x:v>
      </x:c>
      <x:c r="M99" s="23" t="str">
        <x:v>Notice 17; (11) Red Sea and Arabian region</x:v>
      </x:c>
      <x:c r="N99" s="26" t="str">
        <x:v>https://www.scribd.com/document/1014775753/1-1-IMO-Adopted-Traffic-Separation-Schemes-on-the-ADMIRALTY-Chart-Series</x:v>
      </x:c>
      <x:c r="O99" s="23" t="str">
        <x:v>Not assessed</x:v>
      </x:c>
      <x:c r="P99" s="26" t="str">
        <x:v>Not assessed</x:v>
      </x:c>
      <x:c r="Q99" s="23" t="str">
        <x:v>2026-09-29</x:v>
      </x:c>
      <x:c r="R99" s="23" t="str">
        <x:v>Reconcile name, adoption, implementation and current status against the primary baseline.</x:v>
      </x:c>
    </x:row>
    <x:row r="100" ht="59" customHeight="1">
      <x:c r="A100" s="23" t="str">
        <x:v>TSS-095</x:v>
      </x:c>
      <x:c r="B100" s="23" t="str">
        <x:v>Red Sea and Arabian region</x:v>
      </x:c>
      <x:c r="C100" s="23" t="str">
        <x:v>In the Southern Red Sea - East of Jabal Zuqar Island</x:v>
      </x:c>
      <x:c r="D100" s="23" t="str">
        <x:v>Single source-list record</x:v>
      </x:c>
      <x:c r="E100" s="23" t="str">
        <x:v>Provisional: primary baseline pending</x:v>
      </x:c>
      <x:c r="F100" s="23" t="str">
        <x:v>Not assessed</x:v>
      </x:c>
      <x:c r="G100" s="23" t="str">
        <x:v>Not assessed</x:v>
      </x:c>
      <x:c r="H100" s="23" t="str">
        <x:v>Not assessed</x:v>
      </x:c>
      <x:c r="I100" s="23" t="str">
        <x:v>Not assessed</x:v>
      </x:c>
      <x:c r="J100" s="23" t="str">
        <x:v>Not started</x:v>
      </x:c>
      <x:c r="K100" s="23" t="str">
        <x:v>B19</x:v>
      </x:c>
      <x:c r="L100" s="23" t="str">
        <x:v>S02</x:v>
      </x:c>
      <x:c r="M100" s="23" t="str">
        <x:v>Notice 17; (11) Red Sea and Arabian region</x:v>
      </x:c>
      <x:c r="N100" s="26" t="str">
        <x:v>https://www.scribd.com/document/1014775753/1-1-IMO-Adopted-Traffic-Separation-Schemes-on-the-ADMIRALTY-Chart-Series</x:v>
      </x:c>
      <x:c r="O100" s="23" t="str">
        <x:v>Not assessed</x:v>
      </x:c>
      <x:c r="P100" s="26" t="str">
        <x:v>Not assessed</x:v>
      </x:c>
      <x:c r="Q100" s="23" t="str">
        <x:v>2026-09-29</x:v>
      </x:c>
      <x:c r="R100" s="23" t="str">
        <x:v>Reconcile name, adoption, implementation and current status against the primary baseline.</x:v>
      </x:c>
    </x:row>
    <x:row r="101" ht="59" customHeight="1">
      <x:c r="A101" s="23" t="str">
        <x:v>TSS-096</x:v>
      </x:c>
      <x:c r="B101" s="23" t="str">
        <x:v>Red Sea and Arabian region</x:v>
      </x:c>
      <x:c r="C101" s="23" t="str">
        <x:v>In the Strait of Bab-el-Mandeb</x:v>
      </x:c>
      <x:c r="D101" s="23" t="str">
        <x:v>Single source-list record</x:v>
      </x:c>
      <x:c r="E101" s="23" t="str">
        <x:v>Provisional: primary baseline pending</x:v>
      </x:c>
      <x:c r="F101" s="23" t="str">
        <x:v>Not assessed</x:v>
      </x:c>
      <x:c r="G101" s="23" t="str">
        <x:v>Not assessed</x:v>
      </x:c>
      <x:c r="H101" s="23" t="str">
        <x:v>Not assessed</x:v>
      </x:c>
      <x:c r="I101" s="23" t="str">
        <x:v>Not assessed</x:v>
      </x:c>
      <x:c r="J101" s="23" t="str">
        <x:v>Not started</x:v>
      </x:c>
      <x:c r="K101" s="23" t="str">
        <x:v>B20</x:v>
      </x:c>
      <x:c r="L101" s="23" t="str">
        <x:v>S02</x:v>
      </x:c>
      <x:c r="M101" s="23" t="str">
        <x:v>Notice 17; (11) Red Sea and Arabian region</x:v>
      </x:c>
      <x:c r="N101" s="26" t="str">
        <x:v>https://www.scribd.com/document/1014775753/1-1-IMO-Adopted-Traffic-Separation-Schemes-on-the-ADMIRALTY-Chart-Series</x:v>
      </x:c>
      <x:c r="O101" s="23" t="str">
        <x:v>Not assessed</x:v>
      </x:c>
      <x:c r="P101" s="26" t="str">
        <x:v>Not assessed</x:v>
      </x:c>
      <x:c r="Q101" s="23" t="str">
        <x:v>2026-09-29</x:v>
      </x:c>
      <x:c r="R101" s="23" t="str">
        <x:v>Reconcile name, adoption, implementation and current status against the primary baseline.</x:v>
      </x:c>
    </x:row>
    <x:row r="102" ht="59" customHeight="1">
      <x:c r="A102" s="23" t="str">
        <x:v>TSS-097</x:v>
      </x:c>
      <x:c r="B102" s="23" t="str">
        <x:v>Red Sea and Arabian region</x:v>
      </x:c>
      <x:c r="C102" s="23" t="str">
        <x:v>Off Ras al Hadd</x:v>
      </x:c>
      <x:c r="D102" s="23" t="str">
        <x:v>Single source-list record</x:v>
      </x:c>
      <x:c r="E102" s="23" t="str">
        <x:v>Provisional: primary baseline pending</x:v>
      </x:c>
      <x:c r="F102" s="23" t="str">
        <x:v>Not assessed</x:v>
      </x:c>
      <x:c r="G102" s="23" t="str">
        <x:v>Not assessed</x:v>
      </x:c>
      <x:c r="H102" s="23" t="str">
        <x:v>Not assessed</x:v>
      </x:c>
      <x:c r="I102" s="23" t="str">
        <x:v>Not assessed</x:v>
      </x:c>
      <x:c r="J102" s="23" t="str">
        <x:v>Not started</x:v>
      </x:c>
      <x:c r="K102" s="23" t="str">
        <x:v>B20</x:v>
      </x:c>
      <x:c r="L102" s="23" t="str">
        <x:v>S02</x:v>
      </x:c>
      <x:c r="M102" s="23" t="str">
        <x:v>Notice 17; (11) Red Sea and Arabian region</x:v>
      </x:c>
      <x:c r="N102" s="26" t="str">
        <x:v>https://www.scribd.com/document/1014775753/1-1-IMO-Adopted-Traffic-Separation-Schemes-on-the-ADMIRALTY-Chart-Series</x:v>
      </x:c>
      <x:c r="O102" s="23" t="str">
        <x:v>Not assessed</x:v>
      </x:c>
      <x:c r="P102" s="26" t="str">
        <x:v>Not assessed</x:v>
      </x:c>
      <x:c r="Q102" s="23" t="str">
        <x:v>2026-09-29</x:v>
      </x:c>
      <x:c r="R102" s="23" t="str">
        <x:v>Reconcile name, adoption, implementation and current status against the primary baseline.</x:v>
      </x:c>
    </x:row>
    <x:row r="103" ht="59" customHeight="1">
      <x:c r="A103" s="23" t="str">
        <x:v>TSS-098</x:v>
      </x:c>
      <x:c r="B103" s="23" t="str">
        <x:v>Red Sea and Arabian region</x:v>
      </x:c>
      <x:c r="C103" s="23" t="str">
        <x:v>Off Ra's al Kuh</x:v>
      </x:c>
      <x:c r="D103" s="23" t="str">
        <x:v>Single source-list record</x:v>
      </x:c>
      <x:c r="E103" s="23" t="str">
        <x:v>Provisional: primary baseline pending</x:v>
      </x:c>
      <x:c r="F103" s="23" t="str">
        <x:v>Not assessed</x:v>
      </x:c>
      <x:c r="G103" s="23" t="str">
        <x:v>Not assessed</x:v>
      </x:c>
      <x:c r="H103" s="23" t="str">
        <x:v>Not assessed</x:v>
      </x:c>
      <x:c r="I103" s="23" t="str">
        <x:v>Not assessed</x:v>
      </x:c>
      <x:c r="J103" s="23" t="str">
        <x:v>Not started</x:v>
      </x:c>
      <x:c r="K103" s="23" t="str">
        <x:v>B20</x:v>
      </x:c>
      <x:c r="L103" s="23" t="str">
        <x:v>S02</x:v>
      </x:c>
      <x:c r="M103" s="23" t="str">
        <x:v>Notice 17; (11) Red Sea and Arabian region</x:v>
      </x:c>
      <x:c r="N103" s="26" t="str">
        <x:v>https://www.scribd.com/document/1014775753/1-1-IMO-Adopted-Traffic-Separation-Schemes-on-the-ADMIRALTY-Chart-Series</x:v>
      </x:c>
      <x:c r="O103" s="23" t="str">
        <x:v>Not assessed</x:v>
      </x:c>
      <x:c r="P103" s="26" t="str">
        <x:v>Not assessed</x:v>
      </x:c>
      <x:c r="Q103" s="23" t="str">
        <x:v>2026-09-29</x:v>
      </x:c>
      <x:c r="R103" s="23" t="str">
        <x:v>Reconcile name, adoption, implementation and current status against the primary baseline.</x:v>
      </x:c>
    </x:row>
    <x:row r="104" ht="59" customHeight="1">
      <x:c r="A104" s="23" t="str">
        <x:v>TSS-099</x:v>
      </x:c>
      <x:c r="B104" s="23" t="str">
        <x:v>Red Sea and Arabian region</x:v>
      </x:c>
      <x:c r="C104" s="23" t="str">
        <x:v>In the Strait of Hormuz</x:v>
      </x:c>
      <x:c r="D104" s="23" t="str">
        <x:v>Single source-list record</x:v>
      </x:c>
      <x:c r="E104" s="23" t="str">
        <x:v>Provisional: primary baseline pending</x:v>
      </x:c>
      <x:c r="F104" s="23" t="str">
        <x:v>Not assessed</x:v>
      </x:c>
      <x:c r="G104" s="23" t="str">
        <x:v>Not assessed</x:v>
      </x:c>
      <x:c r="H104" s="23" t="str">
        <x:v>Not assessed</x:v>
      </x:c>
      <x:c r="I104" s="23" t="str">
        <x:v>Not assessed</x:v>
      </x:c>
      <x:c r="J104" s="23" t="str">
        <x:v>Not started</x:v>
      </x:c>
      <x:c r="K104" s="23" t="str">
        <x:v>B20</x:v>
      </x:c>
      <x:c r="L104" s="23" t="str">
        <x:v>S02</x:v>
      </x:c>
      <x:c r="M104" s="23" t="str">
        <x:v>Notice 17; (11) Red Sea and Arabian region</x:v>
      </x:c>
      <x:c r="N104" s="26" t="str">
        <x:v>https://www.scribd.com/document/1014775753/1-1-IMO-Adopted-Traffic-Separation-Schemes-on-the-ADMIRALTY-Chart-Series</x:v>
      </x:c>
      <x:c r="O104" s="23" t="str">
        <x:v>Not assessed</x:v>
      </x:c>
      <x:c r="P104" s="26" t="str">
        <x:v>Not assessed</x:v>
      </x:c>
      <x:c r="Q104" s="23" t="str">
        <x:v>2026-09-29</x:v>
      </x:c>
      <x:c r="R104" s="23" t="str">
        <x:v>Reconcile name, adoption, implementation and current status against the primary baseline.</x:v>
      </x:c>
    </x:row>
    <x:row r="105" ht="59" customHeight="1">
      <x:c r="A105" s="23" t="str">
        <x:v>TSS-100</x:v>
      </x:c>
      <x:c r="B105" s="23" t="str">
        <x:v>Red Sea and Arabian region</x:v>
      </x:c>
      <x:c r="C105" s="23" t="str">
        <x:v>Tunb-Farur</x:v>
      </x:c>
      <x:c r="D105" s="23" t="str">
        <x:v>Single source-list record</x:v>
      </x:c>
      <x:c r="E105" s="23" t="str">
        <x:v>Provisional: primary baseline pending</x:v>
      </x:c>
      <x:c r="F105" s="23" t="str">
        <x:v>Not assessed</x:v>
      </x:c>
      <x:c r="G105" s="23" t="str">
        <x:v>Not assessed</x:v>
      </x:c>
      <x:c r="H105" s="23" t="str">
        <x:v>Not assessed</x:v>
      </x:c>
      <x:c r="I105" s="23" t="str">
        <x:v>Not assessed</x:v>
      </x:c>
      <x:c r="J105" s="23" t="str">
        <x:v>Not started</x:v>
      </x:c>
      <x:c r="K105" s="23" t="str">
        <x:v>B20</x:v>
      </x:c>
      <x:c r="L105" s="23" t="str">
        <x:v>S02</x:v>
      </x:c>
      <x:c r="M105" s="23" t="str">
        <x:v>Notice 17; (11) Red Sea and Arabian region</x:v>
      </x:c>
      <x:c r="N105" s="26" t="str">
        <x:v>https://www.scribd.com/document/1014775753/1-1-IMO-Adopted-Traffic-Separation-Schemes-on-the-ADMIRALTY-Chart-Series</x:v>
      </x:c>
      <x:c r="O105" s="23" t="str">
        <x:v>Not assessed</x:v>
      </x:c>
      <x:c r="P105" s="26" t="str">
        <x:v>Not assessed</x:v>
      </x:c>
      <x:c r="Q105" s="23" t="str">
        <x:v>2026-09-29</x:v>
      </x:c>
      <x:c r="R105" s="23" t="str">
        <x:v>Reconcile name, adoption, implementation and current status against the primary baseline.</x:v>
      </x:c>
    </x:row>
    <x:row r="106" ht="59" customHeight="1">
      <x:c r="A106" s="23" t="str">
        <x:v>TSS-101</x:v>
      </x:c>
      <x:c r="B106" s="23" t="str">
        <x:v>Red Sea and Arabian region</x:v>
      </x:c>
      <x:c r="C106" s="23" t="str">
        <x:v>Between Zaqqum and Umm Shaif</x:v>
      </x:c>
      <x:c r="D106" s="23" t="str">
        <x:v>Single source-list record</x:v>
      </x:c>
      <x:c r="E106" s="23" t="str">
        <x:v>Provisional: primary baseline pending</x:v>
      </x:c>
      <x:c r="F106" s="23" t="str">
        <x:v>Not assessed</x:v>
      </x:c>
      <x:c r="G106" s="23" t="str">
        <x:v>Not assessed</x:v>
      </x:c>
      <x:c r="H106" s="23" t="str">
        <x:v>Not assessed</x:v>
      </x:c>
      <x:c r="I106" s="23" t="str">
        <x:v>Not assessed</x:v>
      </x:c>
      <x:c r="J106" s="23" t="str">
        <x:v>Not started</x:v>
      </x:c>
      <x:c r="K106" s="23" t="str">
        <x:v>B21</x:v>
      </x:c>
      <x:c r="L106" s="23" t="str">
        <x:v>S02</x:v>
      </x:c>
      <x:c r="M106" s="23" t="str">
        <x:v>Notice 17; (11) Red Sea and Arabian region</x:v>
      </x:c>
      <x:c r="N106" s="26" t="str">
        <x:v>https://www.scribd.com/document/1014775753/1-1-IMO-Adopted-Traffic-Separation-Schemes-on-the-ADMIRALTY-Chart-Series</x:v>
      </x:c>
      <x:c r="O106" s="23" t="str">
        <x:v>Not assessed</x:v>
      </x:c>
      <x:c r="P106" s="26" t="str">
        <x:v>Not assessed</x:v>
      </x:c>
      <x:c r="Q106" s="23" t="str">
        <x:v>2026-09-29</x:v>
      </x:c>
      <x:c r="R106" s="23" t="str">
        <x:v>Reconcile name, adoption, implementation and current status against the primary baseline.</x:v>
      </x:c>
    </x:row>
    <x:row r="107" ht="59" customHeight="1">
      <x:c r="A107" s="23" t="str">
        <x:v>TSS-102</x:v>
      </x:c>
      <x:c r="B107" s="23" t="str">
        <x:v>Red Sea and Arabian region</x:v>
      </x:c>
      <x:c r="C107" s="23" t="str">
        <x:v>In the Approaches to Ras Tanura and Ju'aymah</x:v>
      </x:c>
      <x:c r="D107" s="23" t="str">
        <x:v>Grouping check required</x:v>
      </x:c>
      <x:c r="E107" s="23" t="str">
        <x:v>Provisional: primary baseline pending</x:v>
      </x:c>
      <x:c r="F107" s="23" t="str">
        <x:v>Not assessed</x:v>
      </x:c>
      <x:c r="G107" s="23" t="str">
        <x:v>Not assessed</x:v>
      </x:c>
      <x:c r="H107" s="23" t="str">
        <x:v>Not assessed</x:v>
      </x:c>
      <x:c r="I107" s="23" t="str">
        <x:v>Not assessed</x:v>
      </x:c>
      <x:c r="J107" s="23" t="str">
        <x:v>Not started</x:v>
      </x:c>
      <x:c r="K107" s="23" t="str">
        <x:v>B21</x:v>
      </x:c>
      <x:c r="L107" s="23" t="str">
        <x:v>S02</x:v>
      </x:c>
      <x:c r="M107" s="23" t="str">
        <x:v>Notice 17; (11) Red Sea and Arabian region</x:v>
      </x:c>
      <x:c r="N107" s="26" t="str">
        <x:v>https://www.scribd.com/document/1014775753/1-1-IMO-Adopted-Traffic-Separation-Schemes-on-the-ADMIRALTY-Chart-Series</x:v>
      </x:c>
      <x:c r="O107" s="23" t="str">
        <x:v>Not assessed</x:v>
      </x:c>
      <x:c r="P107" s="26" t="str">
        <x:v>Not assessed</x:v>
      </x:c>
      <x:c r="Q107" s="23" t="str">
        <x:v>2026-09-29</x:v>
      </x:c>
      <x:c r="R107" s="23" t="str">
        <x:v>Combined approach name. Confirm legal granularity.</x:v>
      </x:c>
    </x:row>
    <x:row r="108" ht="59" customHeight="1">
      <x:c r="A108" s="23" t="str">
        <x:v>TSS-103</x:v>
      </x:c>
      <x:c r="B108" s="23" t="str">
        <x:v>Red Sea and Arabian region</x:v>
      </x:c>
      <x:c r="C108" s="23" t="str">
        <x:v>Marjan/Zuluf</x:v>
      </x:c>
      <x:c r="D108" s="23" t="str">
        <x:v>Single source-list record</x:v>
      </x:c>
      <x:c r="E108" s="23" t="str">
        <x:v>Provisional: primary baseline pending</x:v>
      </x:c>
      <x:c r="F108" s="23" t="str">
        <x:v>Not assessed</x:v>
      </x:c>
      <x:c r="G108" s="23" t="str">
        <x:v>Not assessed</x:v>
      </x:c>
      <x:c r="H108" s="23" t="str">
        <x:v>Not assessed</x:v>
      </x:c>
      <x:c r="I108" s="23" t="str">
        <x:v>Not assessed</x:v>
      </x:c>
      <x:c r="J108" s="23" t="str">
        <x:v>Not started</x:v>
      </x:c>
      <x:c r="K108" s="23" t="str">
        <x:v>B21</x:v>
      </x:c>
      <x:c r="L108" s="23" t="str">
        <x:v>S02</x:v>
      </x:c>
      <x:c r="M108" s="23" t="str">
        <x:v>Notice 17; (11) Red Sea and Arabian region</x:v>
      </x:c>
      <x:c r="N108" s="26" t="str">
        <x:v>https://www.scribd.com/document/1014775753/1-1-IMO-Adopted-Traffic-Separation-Schemes-on-the-ADMIRALTY-Chart-Series</x:v>
      </x:c>
      <x:c r="O108" s="23" t="str">
        <x:v>Not assessed</x:v>
      </x:c>
      <x:c r="P108" s="26" t="str">
        <x:v>Not assessed</x:v>
      </x:c>
      <x:c r="Q108" s="23" t="str">
        <x:v>2026-09-29</x:v>
      </x:c>
      <x:c r="R108" s="23" t="str">
        <x:v>Reconcile name, adoption, implementation and current status against the primary baseline.</x:v>
      </x:c>
    </x:row>
    <x:row r="109" ht="59" customHeight="1">
      <x:c r="A109" s="23" t="str">
        <x:v>TSS-104</x:v>
      </x:c>
      <x:c r="B109" s="23" t="str">
        <x:v>Red Sea and Arabian region</x:v>
      </x:c>
      <x:c r="C109" s="23" t="str">
        <x:v>Approaches to the Port of Ra's al Khafji</x:v>
      </x:c>
      <x:c r="D109" s="23" t="str">
        <x:v>Single source-list record</x:v>
      </x:c>
      <x:c r="E109" s="23" t="str">
        <x:v>Provisional: primary baseline pending</x:v>
      </x:c>
      <x:c r="F109" s="23" t="str">
        <x:v>Not assessed</x:v>
      </x:c>
      <x:c r="G109" s="23" t="str">
        <x:v>Not assessed</x:v>
      </x:c>
      <x:c r="H109" s="23" t="str">
        <x:v>Not assessed</x:v>
      </x:c>
      <x:c r="I109" s="23" t="str">
        <x:v>Not assessed</x:v>
      </x:c>
      <x:c r="J109" s="23" t="str">
        <x:v>Not started</x:v>
      </x:c>
      <x:c r="K109" s="23" t="str">
        <x:v>B21</x:v>
      </x:c>
      <x:c r="L109" s="23" t="str">
        <x:v>S02</x:v>
      </x:c>
      <x:c r="M109" s="23" t="str">
        <x:v>Notice 17; (11) Red Sea and Arabian region</x:v>
      </x:c>
      <x:c r="N109" s="26" t="str">
        <x:v>https://www.scribd.com/document/1014775753/1-1-IMO-Adopted-Traffic-Separation-Schemes-on-the-ADMIRALTY-Chart-Series</x:v>
      </x:c>
      <x:c r="O109" s="23" t="str">
        <x:v>Not assessed</x:v>
      </x:c>
      <x:c r="P109" s="26" t="str">
        <x:v>Not assessed</x:v>
      </x:c>
      <x:c r="Q109" s="23" t="str">
        <x:v>2026-09-29</x:v>
      </x:c>
      <x:c r="R109" s="23" t="str">
        <x:v>Reconcile name, adoption, implementation and current status against the primary baseline.</x:v>
      </x:c>
    </x:row>
    <x:row r="110" ht="59" customHeight="1">
      <x:c r="A110" s="23" t="str">
        <x:v>TSS-105</x:v>
      </x:c>
      <x:c r="B110" s="23" t="str">
        <x:v>Red Sea and Arabian region</x:v>
      </x:c>
      <x:c r="C110" s="23" t="str">
        <x:v>Off Mina'Al Ahmadi</x:v>
      </x:c>
      <x:c r="D110" s="23" t="str">
        <x:v>Single source-list record</x:v>
      </x:c>
      <x:c r="E110" s="23" t="str">
        <x:v>Provisional: primary baseline pending</x:v>
      </x:c>
      <x:c r="F110" s="23" t="str">
        <x:v>Not assessed</x:v>
      </x:c>
      <x:c r="G110" s="23" t="str">
        <x:v>Not assessed</x:v>
      </x:c>
      <x:c r="H110" s="23" t="str">
        <x:v>Not assessed</x:v>
      </x:c>
      <x:c r="I110" s="23" t="str">
        <x:v>Not assessed</x:v>
      </x:c>
      <x:c r="J110" s="23" t="str">
        <x:v>Not started</x:v>
      </x:c>
      <x:c r="K110" s="23" t="str">
        <x:v>B21</x:v>
      </x:c>
      <x:c r="L110" s="23" t="str">
        <x:v>S02</x:v>
      </x:c>
      <x:c r="M110" s="23" t="str">
        <x:v>Notice 17; (11) Red Sea and Arabian region</x:v>
      </x:c>
      <x:c r="N110" s="26" t="str">
        <x:v>https://www.scribd.com/document/1014775753/1-1-IMO-Adopted-Traffic-Separation-Schemes-on-the-ADMIRALTY-Chart-Series</x:v>
      </x:c>
      <x:c r="O110" s="23" t="str">
        <x:v>Not assessed</x:v>
      </x:c>
      <x:c r="P110" s="26" t="str">
        <x:v>Not assessed</x:v>
      </x:c>
      <x:c r="Q110" s="23" t="str">
        <x:v>2026-09-29</x:v>
      </x:c>
      <x:c r="R110" s="23" t="str">
        <x:v>Reconcile name, adoption, implementation and current status against the primary baseline.</x:v>
      </x:c>
    </x:row>
    <x:row r="111" ht="59" customHeight="1">
      <x:c r="A111" s="23" t="str">
        <x:v>TSS-106</x:v>
      </x:c>
      <x:c r="B111" s="23" t="str">
        <x:v>Indian Ocean and South Asia</x:v>
      </x:c>
      <x:c r="C111" s="23" t="str">
        <x:v>Off Dondra Head</x:v>
      </x:c>
      <x:c r="D111" s="23" t="str">
        <x:v>Single source-list record</x:v>
      </x:c>
      <x:c r="E111" s="23" t="str">
        <x:v>Provisional: primary baseline pending</x:v>
      </x:c>
      <x:c r="F111" s="23" t="str">
        <x:v>Not assessed</x:v>
      </x:c>
      <x:c r="G111" s="23" t="str">
        <x:v>Not assessed</x:v>
      </x:c>
      <x:c r="H111" s="23" t="str">
        <x:v>Not assessed</x:v>
      </x:c>
      <x:c r="I111" s="23" t="str">
        <x:v>Not assessed</x:v>
      </x:c>
      <x:c r="J111" s="23" t="str">
        <x:v>Not started</x:v>
      </x:c>
      <x:c r="K111" s="23" t="str">
        <x:v>B22</x:v>
      </x:c>
      <x:c r="L111" s="23" t="str">
        <x:v>S02</x:v>
      </x:c>
      <x:c r="M111" s="23" t="str">
        <x:v>Notice 17; (12) Indian Ocean and South Asia</x:v>
      </x:c>
      <x:c r="N111" s="26" t="str">
        <x:v>https://www.scribd.com/document/1014775753/1-1-IMO-Adopted-Traffic-Separation-Schemes-on-the-ADMIRALTY-Chart-Series</x:v>
      </x:c>
      <x:c r="O111" s="23" t="str">
        <x:v>Not assessed</x:v>
      </x:c>
      <x:c r="P111" s="26" t="str">
        <x:v>Not assessed</x:v>
      </x:c>
      <x:c r="Q111" s="23" t="str">
        <x:v>2026-09-29</x:v>
      </x:c>
      <x:c r="R111" s="23" t="str">
        <x:v>Reconcile name, adoption, implementation and current status against the primary baseline.</x:v>
      </x:c>
    </x:row>
    <x:row r="112" ht="59" customHeight="1">
      <x:c r="A112" s="23" t="str">
        <x:v>TSS-107</x:v>
      </x:c>
      <x:c r="B112" s="23" t="str">
        <x:v>Malacca, Singapore and Indonesia</x:v>
      </x:c>
      <x:c r="C112" s="23" t="str">
        <x:v>At One Fathom Bank</x:v>
      </x:c>
      <x:c r="D112" s="23" t="str">
        <x:v>Single source-list record</x:v>
      </x:c>
      <x:c r="E112" s="23" t="str">
        <x:v>Provisional: primary baseline pending</x:v>
      </x:c>
      <x:c r="F112" s="23" t="str">
        <x:v>Service lead found</x:v>
      </x:c>
      <x:c r="G112" s="23" t="str">
        <x:v>VTS-004; VTS-005; VTS-006</x:v>
      </x:c>
      <x:c r="H112" s="23" t="str">
        <x:v>Scheme lead found</x:v>
      </x:c>
      <x:c r="I112" s="23" t="str">
        <x:v>RPT-004</x:v>
      </x:c>
      <x:c r="J112" s="23" t="str">
        <x:v>Initial screening</x:v>
      </x:c>
      <x:c r="K112" s="23" t="str">
        <x:v>B22</x:v>
      </x:c>
      <x:c r="L112" s="23" t="str">
        <x:v>S02</x:v>
      </x:c>
      <x:c r="M112" s="23" t="str">
        <x:v>Notice 17; (13) Malacca, Singapore and Indonesia</x:v>
      </x:c>
      <x:c r="N112" s="26" t="str">
        <x:v>https://www.scribd.com/document/1014775753/1-1-IMO-Adopted-Traffic-Separation-Schemes-on-the-ADMIRALTY-Chart-Series</x:v>
      </x:c>
      <x:c r="O112" s="23" t="str">
        <x:v>S08; S09</x:v>
      </x:c>
      <x:c r="P112" s="26" t="str">
        <x:v>https://www.mpa.gov.sg/port-marine-ops/operations/vessel-traffic-information-system
https://www.mpa.gov.sg/port-marine-ops/operations/vessel-traffic-information-system/operational-areas</x:v>
      </x:c>
      <x:c r="Q112" s="23" t="str">
        <x:v>2026-09-29</x:v>
      </x:c>
      <x:c r="R112" s="23" t="str">
        <x:v>Reconcile name, adoption, implementation and current status against the primary baseline.</x:v>
      </x:c>
    </x:row>
    <x:row r="113" ht="59" customHeight="1">
      <x:c r="A113" s="23" t="str">
        <x:v>TSS-108</x:v>
      </x:c>
      <x:c r="B113" s="23" t="str">
        <x:v>Malacca, Singapore and Indonesia</x:v>
      </x:c>
      <x:c r="C113" s="23" t="str">
        <x:v>Port Klang to Port Dickson</x:v>
      </x:c>
      <x:c r="D113" s="23" t="str">
        <x:v>Single source-list record</x:v>
      </x:c>
      <x:c r="E113" s="23" t="str">
        <x:v>Provisional: primary baseline pending</x:v>
      </x:c>
      <x:c r="F113" s="23" t="str">
        <x:v>Service lead found</x:v>
      </x:c>
      <x:c r="G113" s="23" t="str">
        <x:v>VTS-004; VTS-005; VTS-006</x:v>
      </x:c>
      <x:c r="H113" s="23" t="str">
        <x:v>Scheme lead found</x:v>
      </x:c>
      <x:c r="I113" s="23" t="str">
        <x:v>RPT-004</x:v>
      </x:c>
      <x:c r="J113" s="23" t="str">
        <x:v>Initial screening</x:v>
      </x:c>
      <x:c r="K113" s="23" t="str">
        <x:v>B22</x:v>
      </x:c>
      <x:c r="L113" s="23" t="str">
        <x:v>S02</x:v>
      </x:c>
      <x:c r="M113" s="23" t="str">
        <x:v>Notice 17; (13) Malacca, Singapore and Indonesia</x:v>
      </x:c>
      <x:c r="N113" s="26" t="str">
        <x:v>https://www.scribd.com/document/1014775753/1-1-IMO-Adopted-Traffic-Separation-Schemes-on-the-ADMIRALTY-Chart-Series</x:v>
      </x:c>
      <x:c r="O113" s="23" t="str">
        <x:v>S08; S09</x:v>
      </x:c>
      <x:c r="P113" s="26" t="str">
        <x:v>https://www.mpa.gov.sg/port-marine-ops/operations/vessel-traffic-information-system
https://www.mpa.gov.sg/port-marine-ops/operations/vessel-traffic-information-system/operational-areas</x:v>
      </x:c>
      <x:c r="Q113" s="23" t="str">
        <x:v>2026-09-29</x:v>
      </x:c>
      <x:c r="R113" s="23" t="str">
        <x:v>Reconcile name, adoption, implementation and current status against the primary baseline.</x:v>
      </x:c>
    </x:row>
    <x:row r="114" ht="59" customHeight="1">
      <x:c r="A114" s="23" t="str">
        <x:v>TSS-109</x:v>
      </x:c>
      <x:c r="B114" s="23" t="str">
        <x:v>Malacca, Singapore and Indonesia</x:v>
      </x:c>
      <x:c r="C114" s="23" t="str">
        <x:v>Port Dickson to Tanjung Keling</x:v>
      </x:c>
      <x:c r="D114" s="23" t="str">
        <x:v>Single source-list record</x:v>
      </x:c>
      <x:c r="E114" s="23" t="str">
        <x:v>Provisional: primary baseline pending</x:v>
      </x:c>
      <x:c r="F114" s="23" t="str">
        <x:v>Service lead found</x:v>
      </x:c>
      <x:c r="G114" s="23" t="str">
        <x:v>VTS-004; VTS-005; VTS-006</x:v>
      </x:c>
      <x:c r="H114" s="23" t="str">
        <x:v>Scheme lead found</x:v>
      </x:c>
      <x:c r="I114" s="23" t="str">
        <x:v>RPT-004</x:v>
      </x:c>
      <x:c r="J114" s="23" t="str">
        <x:v>Initial screening</x:v>
      </x:c>
      <x:c r="K114" s="23" t="str">
        <x:v>B22</x:v>
      </x:c>
      <x:c r="L114" s="23" t="str">
        <x:v>S02</x:v>
      </x:c>
      <x:c r="M114" s="23" t="str">
        <x:v>Notice 17; (13) Malacca, Singapore and Indonesia</x:v>
      </x:c>
      <x:c r="N114" s="26" t="str">
        <x:v>https://www.scribd.com/document/1014775753/1-1-IMO-Adopted-Traffic-Separation-Schemes-on-the-ADMIRALTY-Chart-Series</x:v>
      </x:c>
      <x:c r="O114" s="23" t="str">
        <x:v>S08; S09</x:v>
      </x:c>
      <x:c r="P114" s="26" t="str">
        <x:v>https://www.mpa.gov.sg/port-marine-ops/operations/vessel-traffic-information-system
https://www.mpa.gov.sg/port-marine-ops/operations/vessel-traffic-information-system/operational-areas</x:v>
      </x:c>
      <x:c r="Q114" s="23" t="str">
        <x:v>2026-09-29</x:v>
      </x:c>
      <x:c r="R114" s="23" t="str">
        <x:v>Reconcile name, adoption, implementation and current status against the primary baseline.</x:v>
      </x:c>
    </x:row>
    <x:row r="115" ht="59" customHeight="1">
      <x:c r="A115" s="23" t="str">
        <x:v>TSS-110</x:v>
      </x:c>
      <x:c r="B115" s="23" t="str">
        <x:v>Malacca, Singapore and Indonesia</x:v>
      </x:c>
      <x:c r="C115" s="23" t="str">
        <x:v>Malacca to Iyu Kecil</x:v>
      </x:c>
      <x:c r="D115" s="23" t="str">
        <x:v>Single source-list record</x:v>
      </x:c>
      <x:c r="E115" s="23" t="str">
        <x:v>Provisional: primary baseline pending</x:v>
      </x:c>
      <x:c r="F115" s="23" t="str">
        <x:v>Service lead found</x:v>
      </x:c>
      <x:c r="G115" s="23" t="str">
        <x:v>VTS-004; VTS-005; VTS-006</x:v>
      </x:c>
      <x:c r="H115" s="23" t="str">
        <x:v>Scheme lead found</x:v>
      </x:c>
      <x:c r="I115" s="23" t="str">
        <x:v>RPT-004</x:v>
      </x:c>
      <x:c r="J115" s="23" t="str">
        <x:v>Initial screening</x:v>
      </x:c>
      <x:c r="K115" s="23" t="str">
        <x:v>B22</x:v>
      </x:c>
      <x:c r="L115" s="23" t="str">
        <x:v>S02</x:v>
      </x:c>
      <x:c r="M115" s="23" t="str">
        <x:v>Notice 17; (13) Malacca, Singapore and Indonesia</x:v>
      </x:c>
      <x:c r="N115" s="26" t="str">
        <x:v>https://www.scribd.com/document/1014775753/1-1-IMO-Adopted-Traffic-Separation-Schemes-on-the-ADMIRALTY-Chart-Series</x:v>
      </x:c>
      <x:c r="O115" s="23" t="str">
        <x:v>S08; S09</x:v>
      </x:c>
      <x:c r="P115" s="26" t="str">
        <x:v>https://www.mpa.gov.sg/port-marine-ops/operations/vessel-traffic-information-system
https://www.mpa.gov.sg/port-marine-ops/operations/vessel-traffic-information-system/operational-areas</x:v>
      </x:c>
      <x:c r="Q115" s="23" t="str">
        <x:v>2026-09-29</x:v>
      </x:c>
      <x:c r="R115" s="23" t="str">
        <x:v>Reconcile name, adoption, implementation and current status against the primary baseline.</x:v>
      </x:c>
    </x:row>
    <x:row r="116" ht="59" customHeight="1">
      <x:c r="A116" s="23" t="str">
        <x:v>TSS-111</x:v>
      </x:c>
      <x:c r="B116" s="23" t="str">
        <x:v>Malacca, Singapore and Indonesia</x:v>
      </x:c>
      <x:c r="C116" s="23" t="str">
        <x:v>In the Singapore Strait (Main Strait)</x:v>
      </x:c>
      <x:c r="D116" s="23" t="str">
        <x:v>Single source-list record</x:v>
      </x:c>
      <x:c r="E116" s="23" t="str">
        <x:v>Provisional: primary baseline pending</x:v>
      </x:c>
      <x:c r="F116" s="23" t="str">
        <x:v>Service lead found</x:v>
      </x:c>
      <x:c r="G116" s="23" t="str">
        <x:v>VTS-004; VTS-005; VTS-006</x:v>
      </x:c>
      <x:c r="H116" s="23" t="str">
        <x:v>Scheme lead found</x:v>
      </x:c>
      <x:c r="I116" s="23" t="str">
        <x:v>RPT-004</x:v>
      </x:c>
      <x:c r="J116" s="23" t="str">
        <x:v>Initial screening</x:v>
      </x:c>
      <x:c r="K116" s="23" t="str">
        <x:v>B23</x:v>
      </x:c>
      <x:c r="L116" s="23" t="str">
        <x:v>S02</x:v>
      </x:c>
      <x:c r="M116" s="23" t="str">
        <x:v>Notice 17; (13) Malacca, Singapore and Indonesia</x:v>
      </x:c>
      <x:c r="N116" s="26" t="str">
        <x:v>https://www.scribd.com/document/1014775753/1-1-IMO-Adopted-Traffic-Separation-Schemes-on-the-ADMIRALTY-Chart-Series</x:v>
      </x:c>
      <x:c r="O116" s="23" t="str">
        <x:v>S08; S09</x:v>
      </x:c>
      <x:c r="P116" s="26" t="str">
        <x:v>https://www.mpa.gov.sg/port-marine-ops/operations/vessel-traffic-information-system
https://www.mpa.gov.sg/port-marine-ops/operations/vessel-traffic-information-system/operational-areas</x:v>
      </x:c>
      <x:c r="Q116" s="23" t="str">
        <x:v>2026-09-29</x:v>
      </x:c>
      <x:c r="R116" s="23" t="str">
        <x:v>Reconcile name, adoption, implementation and current status against the primary baseline.</x:v>
      </x:c>
    </x:row>
    <x:row r="117" ht="59" customHeight="1">
      <x:c r="A117" s="23" t="str">
        <x:v>TSS-112</x:v>
      </x:c>
      <x:c r="B117" s="23" t="str">
        <x:v>Malacca, Singapore and Indonesia</x:v>
      </x:c>
      <x:c r="C117" s="23" t="str">
        <x:v>Singapore Strait (Off St. John's Island)</x:v>
      </x:c>
      <x:c r="D117" s="23" t="str">
        <x:v>Single source-list record</x:v>
      </x:c>
      <x:c r="E117" s="23" t="str">
        <x:v>Provisional: primary baseline pending</x:v>
      </x:c>
      <x:c r="F117" s="23" t="str">
        <x:v>Service lead found</x:v>
      </x:c>
      <x:c r="G117" s="23" t="str">
        <x:v>VTS-004; VTS-005; VTS-006</x:v>
      </x:c>
      <x:c r="H117" s="23" t="str">
        <x:v>Scheme lead found</x:v>
      </x:c>
      <x:c r="I117" s="23" t="str">
        <x:v>RPT-004</x:v>
      </x:c>
      <x:c r="J117" s="23" t="str">
        <x:v>Initial screening</x:v>
      </x:c>
      <x:c r="K117" s="23" t="str">
        <x:v>B23</x:v>
      </x:c>
      <x:c r="L117" s="23" t="str">
        <x:v>S02</x:v>
      </x:c>
      <x:c r="M117" s="23" t="str">
        <x:v>Notice 17; (13) Malacca, Singapore and Indonesia</x:v>
      </x:c>
      <x:c r="N117" s="26" t="str">
        <x:v>https://www.scribd.com/document/1014775753/1-1-IMO-Adopted-Traffic-Separation-Schemes-on-the-ADMIRALTY-Chart-Series</x:v>
      </x:c>
      <x:c r="O117" s="23" t="str">
        <x:v>S08; S09</x:v>
      </x:c>
      <x:c r="P117" s="26" t="str">
        <x:v>https://www.mpa.gov.sg/port-marine-ops/operations/vessel-traffic-information-system
https://www.mpa.gov.sg/port-marine-ops/operations/vessel-traffic-information-system/operational-areas</x:v>
      </x:c>
      <x:c r="Q117" s="23" t="str">
        <x:v>2026-09-29</x:v>
      </x:c>
      <x:c r="R117" s="23" t="str">
        <x:v>Reconcile name, adoption, implementation and current status against the primary baseline.</x:v>
      </x:c>
    </x:row>
    <x:row r="118" ht="59" customHeight="1">
      <x:c r="A118" s="23" t="str">
        <x:v>TSS-113</x:v>
      </x:c>
      <x:c r="B118" s="23" t="str">
        <x:v>Malacca, Singapore and Indonesia</x:v>
      </x:c>
      <x:c r="C118" s="23" t="str">
        <x:v>Singapore Strait (Off Changi/Pulau Batam)</x:v>
      </x:c>
      <x:c r="D118" s="23" t="str">
        <x:v>Single source-list record</x:v>
      </x:c>
      <x:c r="E118" s="23" t="str">
        <x:v>Provisional: primary baseline pending</x:v>
      </x:c>
      <x:c r="F118" s="23" t="str">
        <x:v>Service lead found</x:v>
      </x:c>
      <x:c r="G118" s="23" t="str">
        <x:v>VTS-004; VTS-005; VTS-006</x:v>
      </x:c>
      <x:c r="H118" s="23" t="str">
        <x:v>Scheme lead found</x:v>
      </x:c>
      <x:c r="I118" s="23" t="str">
        <x:v>RPT-004</x:v>
      </x:c>
      <x:c r="J118" s="23" t="str">
        <x:v>Initial screening</x:v>
      </x:c>
      <x:c r="K118" s="23" t="str">
        <x:v>B23</x:v>
      </x:c>
      <x:c r="L118" s="23" t="str">
        <x:v>S02</x:v>
      </x:c>
      <x:c r="M118" s="23" t="str">
        <x:v>Notice 17; (13) Malacca, Singapore and Indonesia</x:v>
      </x:c>
      <x:c r="N118" s="26" t="str">
        <x:v>https://www.scribd.com/document/1014775753/1-1-IMO-Adopted-Traffic-Separation-Schemes-on-the-ADMIRALTY-Chart-Series</x:v>
      </x:c>
      <x:c r="O118" s="23" t="str">
        <x:v>S08; S09</x:v>
      </x:c>
      <x:c r="P118" s="26" t="str">
        <x:v>https://www.mpa.gov.sg/port-marine-ops/operations/vessel-traffic-information-system
https://www.mpa.gov.sg/port-marine-ops/operations/vessel-traffic-information-system/operational-areas</x:v>
      </x:c>
      <x:c r="Q118" s="23" t="str">
        <x:v>2026-09-29</x:v>
      </x:c>
      <x:c r="R118" s="23" t="str">
        <x:v>Reconcile name, adoption, implementation and current status against the primary baseline.</x:v>
      </x:c>
    </x:row>
    <x:row r="119" ht="59" customHeight="1">
      <x:c r="A119" s="23" t="str">
        <x:v>TSS-114</x:v>
      </x:c>
      <x:c r="B119" s="23" t="str">
        <x:v>Malacca, Singapore and Indonesia</x:v>
      </x:c>
      <x:c r="C119" s="23" t="str">
        <x:v>At Horsburgh Lighthouse Area</x:v>
      </x:c>
      <x:c r="D119" s="23" t="str">
        <x:v>Single source-list record</x:v>
      </x:c>
      <x:c r="E119" s="23" t="str">
        <x:v>Provisional: primary baseline pending</x:v>
      </x:c>
      <x:c r="F119" s="23" t="str">
        <x:v>Service lead found</x:v>
      </x:c>
      <x:c r="G119" s="23" t="str">
        <x:v>VTS-004; VTS-005; VTS-006</x:v>
      </x:c>
      <x:c r="H119" s="23" t="str">
        <x:v>Scheme lead found</x:v>
      </x:c>
      <x:c r="I119" s="23" t="str">
        <x:v>RPT-004</x:v>
      </x:c>
      <x:c r="J119" s="23" t="str">
        <x:v>Initial screening</x:v>
      </x:c>
      <x:c r="K119" s="23" t="str">
        <x:v>B23</x:v>
      </x:c>
      <x:c r="L119" s="23" t="str">
        <x:v>S02</x:v>
      </x:c>
      <x:c r="M119" s="23" t="str">
        <x:v>Notice 17; (13) Malacca, Singapore and Indonesia</x:v>
      </x:c>
      <x:c r="N119" s="26" t="str">
        <x:v>https://www.scribd.com/document/1014775753/1-1-IMO-Adopted-Traffic-Separation-Schemes-on-the-ADMIRALTY-Chart-Series</x:v>
      </x:c>
      <x:c r="O119" s="23" t="str">
        <x:v>S08; S09</x:v>
      </x:c>
      <x:c r="P119" s="26" t="str">
        <x:v>https://www.mpa.gov.sg/port-marine-ops/operations/vessel-traffic-information-system
https://www.mpa.gov.sg/port-marine-ops/operations/vessel-traffic-information-system/operational-areas</x:v>
      </x:c>
      <x:c r="Q119" s="23" t="str">
        <x:v>2026-09-29</x:v>
      </x:c>
      <x:c r="R119" s="23" t="str">
        <x:v>Reconcile name, adoption, implementation and current status against the primary baseline.</x:v>
      </x:c>
    </x:row>
    <x:row r="120" ht="59" customHeight="1">
      <x:c r="A120" s="23" t="str">
        <x:v>TSS-115</x:v>
      </x:c>
      <x:c r="B120" s="23" t="str">
        <x:v>Malacca, Singapore and Indonesia</x:v>
      </x:c>
      <x:c r="C120" s="23" t="str">
        <x:v>In the Sunda Strait</x:v>
      </x:c>
      <x:c r="D120" s="23" t="str">
        <x:v>Single source-list record</x:v>
      </x:c>
      <x:c r="E120" s="23" t="str">
        <x:v>Provisional: primary baseline pending</x:v>
      </x:c>
      <x:c r="F120" s="23" t="str">
        <x:v>Not assessed</x:v>
      </x:c>
      <x:c r="G120" s="23" t="str">
        <x:v>Not assessed</x:v>
      </x:c>
      <x:c r="H120" s="23" t="str">
        <x:v>Not assessed</x:v>
      </x:c>
      <x:c r="I120" s="23" t="str">
        <x:v>Not assessed</x:v>
      </x:c>
      <x:c r="J120" s="23" t="str">
        <x:v>Not started</x:v>
      </x:c>
      <x:c r="K120" s="23" t="str">
        <x:v>B23</x:v>
      </x:c>
      <x:c r="L120" s="23" t="str">
        <x:v>S02</x:v>
      </x:c>
      <x:c r="M120" s="23" t="str">
        <x:v>Notice 17; (13) Malacca, Singapore and Indonesia</x:v>
      </x:c>
      <x:c r="N120" s="26" t="str">
        <x:v>https://www.scribd.com/document/1014775753/1-1-IMO-Adopted-Traffic-Separation-Schemes-on-the-ADMIRALTY-Chart-Series</x:v>
      </x:c>
      <x:c r="O120" s="23" t="str">
        <x:v>Not assessed</x:v>
      </x:c>
      <x:c r="P120" s="26" t="str">
        <x:v>Not assessed</x:v>
      </x:c>
      <x:c r="Q120" s="23" t="str">
        <x:v>2026-09-29</x:v>
      </x:c>
      <x:c r="R120" s="23" t="str">
        <x:v>Reconcile name, adoption, implementation and current status against the primary baseline.</x:v>
      </x:c>
    </x:row>
    <x:row r="121" ht="59" customHeight="1">
      <x:c r="A121" s="23" t="str">
        <x:v>TSS-116</x:v>
      </x:c>
      <x:c r="B121" s="23" t="str">
        <x:v>Malacca, Singapore and Indonesia</x:v>
      </x:c>
      <x:c r="C121" s="23" t="str">
        <x:v>In the Lombok Strait</x:v>
      </x:c>
      <x:c r="D121" s="23" t="str">
        <x:v>Single source-list record</x:v>
      </x:c>
      <x:c r="E121" s="23" t="str">
        <x:v>Provisional: primary baseline pending</x:v>
      </x:c>
      <x:c r="F121" s="23" t="str">
        <x:v>Not assessed</x:v>
      </x:c>
      <x:c r="G121" s="23" t="str">
        <x:v>Not assessed</x:v>
      </x:c>
      <x:c r="H121" s="23" t="str">
        <x:v>Not assessed</x:v>
      </x:c>
      <x:c r="I121" s="23" t="str">
        <x:v>Not assessed</x:v>
      </x:c>
      <x:c r="J121" s="23" t="str">
        <x:v>Not started</x:v>
      </x:c>
      <x:c r="K121" s="23" t="str">
        <x:v>B24</x:v>
      </x:c>
      <x:c r="L121" s="23" t="str">
        <x:v>S02</x:v>
      </x:c>
      <x:c r="M121" s="23" t="str">
        <x:v>Notice 17; (13) Malacca, Singapore and Indonesia</x:v>
      </x:c>
      <x:c r="N121" s="26" t="str">
        <x:v>https://www.scribd.com/document/1014775753/1-1-IMO-Adopted-Traffic-Separation-Schemes-on-the-ADMIRALTY-Chart-Series</x:v>
      </x:c>
      <x:c r="O121" s="23" t="str">
        <x:v>Not assessed</x:v>
      </x:c>
      <x:c r="P121" s="26" t="str">
        <x:v>Not assessed</x:v>
      </x:c>
      <x:c r="Q121" s="23" t="str">
        <x:v>2026-09-29</x:v>
      </x:c>
      <x:c r="R121" s="23" t="str">
        <x:v>Reconcile name, adoption, implementation and current status against the primary baseline.</x:v>
      </x:c>
    </x:row>
    <x:row r="122" ht="59" customHeight="1">
      <x:c r="A122" s="23" t="str">
        <x:v>TSS-117</x:v>
      </x:c>
      <x:c r="B122" s="23" t="str">
        <x:v>China Sea and China</x:v>
      </x:c>
      <x:c r="C122" s="23" t="str">
        <x:v>In the East Lamma Channel</x:v>
      </x:c>
      <x:c r="D122" s="23" t="str">
        <x:v>Single source-list record</x:v>
      </x:c>
      <x:c r="E122" s="23" t="str">
        <x:v>Provisional: primary baseline pending</x:v>
      </x:c>
      <x:c r="F122" s="23" t="str">
        <x:v>Not assessed</x:v>
      </x:c>
      <x:c r="G122" s="23" t="str">
        <x:v>Not assessed</x:v>
      </x:c>
      <x:c r="H122" s="23" t="str">
        <x:v>Not assessed</x:v>
      </x:c>
      <x:c r="I122" s="23" t="str">
        <x:v>Not assessed</x:v>
      </x:c>
      <x:c r="J122" s="23" t="str">
        <x:v>Not started</x:v>
      </x:c>
      <x:c r="K122" s="23" t="str">
        <x:v>B24</x:v>
      </x:c>
      <x:c r="L122" s="23" t="str">
        <x:v>S02</x:v>
      </x:c>
      <x:c r="M122" s="23" t="str">
        <x:v>Notice 17; (14) China Sea and China</x:v>
      </x:c>
      <x:c r="N122" s="26" t="str">
        <x:v>https://www.scribd.com/document/1014775753/1-1-IMO-Adopted-Traffic-Separation-Schemes-on-the-ADMIRALTY-Chart-Series</x:v>
      </x:c>
      <x:c r="O122" s="23" t="str">
        <x:v>Not assessed</x:v>
      </x:c>
      <x:c r="P122" s="26" t="str">
        <x:v>Not assessed</x:v>
      </x:c>
      <x:c r="Q122" s="23" t="str">
        <x:v>2026-09-29</x:v>
      </x:c>
      <x:c r="R122" s="23" t="str">
        <x:v>Reconcile name, adoption, implementation and current status against the primary baseline.</x:v>
      </x:c>
    </x:row>
    <x:row r="123" ht="59" customHeight="1">
      <x:c r="A123" s="23" t="str">
        <x:v>TSS-118</x:v>
      </x:c>
      <x:c r="B123" s="23" t="str">
        <x:v>China Sea and China</x:v>
      </x:c>
      <x:c r="C123" s="23" t="str">
        <x:v>In the Tathong Channel</x:v>
      </x:c>
      <x:c r="D123" s="23" t="str">
        <x:v>Single source-list record</x:v>
      </x:c>
      <x:c r="E123" s="23" t="str">
        <x:v>Provisional: primary baseline pending</x:v>
      </x:c>
      <x:c r="F123" s="23" t="str">
        <x:v>Not assessed</x:v>
      </x:c>
      <x:c r="G123" s="23" t="str">
        <x:v>Not assessed</x:v>
      </x:c>
      <x:c r="H123" s="23" t="str">
        <x:v>Not assessed</x:v>
      </x:c>
      <x:c r="I123" s="23" t="str">
        <x:v>Not assessed</x:v>
      </x:c>
      <x:c r="J123" s="23" t="str">
        <x:v>Not started</x:v>
      </x:c>
      <x:c r="K123" s="23" t="str">
        <x:v>B24</x:v>
      </x:c>
      <x:c r="L123" s="23" t="str">
        <x:v>S02</x:v>
      </x:c>
      <x:c r="M123" s="23" t="str">
        <x:v>Notice 17; (14) China Sea and China</x:v>
      </x:c>
      <x:c r="N123" s="26" t="str">
        <x:v>https://www.scribd.com/document/1014775753/1-1-IMO-Adopted-Traffic-Separation-Schemes-on-the-ADMIRALTY-Chart-Series</x:v>
      </x:c>
      <x:c r="O123" s="23" t="str">
        <x:v>Not assessed</x:v>
      </x:c>
      <x:c r="P123" s="26" t="str">
        <x:v>Not assessed</x:v>
      </x:c>
      <x:c r="Q123" s="23" t="str">
        <x:v>2026-09-29</x:v>
      </x:c>
      <x:c r="R123" s="23" t="str">
        <x:v>Reconcile name, adoption, implementation and current status against the primary baseline.</x:v>
      </x:c>
    </x:row>
    <x:row r="124" ht="59" customHeight="1">
      <x:c r="A124" s="23" t="str">
        <x:v>TSS-119</x:v>
      </x:c>
      <x:c r="B124" s="23" t="str">
        <x:v>China Sea and China</x:v>
      </x:c>
      <x:c r="C124" s="23" t="str">
        <x:v>In the Dangan Channel</x:v>
      </x:c>
      <x:c r="D124" s="23" t="str">
        <x:v>Single source-list record</x:v>
      </x:c>
      <x:c r="E124" s="23" t="str">
        <x:v>Provisional: primary baseline pending</x:v>
      </x:c>
      <x:c r="F124" s="23" t="str">
        <x:v>Not assessed</x:v>
      </x:c>
      <x:c r="G124" s="23" t="str">
        <x:v>Not assessed</x:v>
      </x:c>
      <x:c r="H124" s="23" t="str">
        <x:v>Not assessed</x:v>
      </x:c>
      <x:c r="I124" s="23" t="str">
        <x:v>Not assessed</x:v>
      </x:c>
      <x:c r="J124" s="23" t="str">
        <x:v>Not started</x:v>
      </x:c>
      <x:c r="K124" s="23" t="str">
        <x:v>B24</x:v>
      </x:c>
      <x:c r="L124" s="23" t="str">
        <x:v>S02</x:v>
      </x:c>
      <x:c r="M124" s="23" t="str">
        <x:v>Notice 17; (14) China Sea and China</x:v>
      </x:c>
      <x:c r="N124" s="26" t="str">
        <x:v>https://www.scribd.com/document/1014775753/1-1-IMO-Adopted-Traffic-Separation-Schemes-on-the-ADMIRALTY-Chart-Series</x:v>
      </x:c>
      <x:c r="O124" s="23" t="str">
        <x:v>Not assessed</x:v>
      </x:c>
      <x:c r="P124" s="26" t="str">
        <x:v>Not assessed</x:v>
      </x:c>
      <x:c r="Q124" s="23" t="str">
        <x:v>2026-09-29</x:v>
      </x:c>
      <x:c r="R124" s="23" t="str">
        <x:v>Reconcile name, adoption, implementation and current status against the primary baseline.</x:v>
      </x:c>
    </x:row>
    <x:row r="125" ht="59" customHeight="1">
      <x:c r="A125" s="23" t="str">
        <x:v>TSS-120</x:v>
      </x:c>
      <x:c r="B125" s="23" t="str">
        <x:v>China Sea and China</x:v>
      </x:c>
      <x:c r="C125" s="23" t="str">
        <x:v>In the waters off the Chengshan Jiao Promontory</x:v>
      </x:c>
      <x:c r="D125" s="23" t="str">
        <x:v>Single source-list record</x:v>
      </x:c>
      <x:c r="E125" s="23" t="str">
        <x:v>Provisional: primary baseline pending</x:v>
      </x:c>
      <x:c r="F125" s="23" t="str">
        <x:v>Not assessed</x:v>
      </x:c>
      <x:c r="G125" s="23" t="str">
        <x:v>Not assessed</x:v>
      </x:c>
      <x:c r="H125" s="23" t="str">
        <x:v>Not assessed</x:v>
      </x:c>
      <x:c r="I125" s="23" t="str">
        <x:v>Not assessed</x:v>
      </x:c>
      <x:c r="J125" s="23" t="str">
        <x:v>Not started</x:v>
      </x:c>
      <x:c r="K125" s="23" t="str">
        <x:v>B24</x:v>
      </x:c>
      <x:c r="L125" s="23" t="str">
        <x:v>S02</x:v>
      </x:c>
      <x:c r="M125" s="23" t="str">
        <x:v>Notice 17; (14) China Sea and China</x:v>
      </x:c>
      <x:c r="N125" s="26" t="str">
        <x:v>https://www.scribd.com/document/1014775753/1-1-IMO-Adopted-Traffic-Separation-Schemes-on-the-ADMIRALTY-Chart-Series</x:v>
      </x:c>
      <x:c r="O125" s="23" t="str">
        <x:v>Not assessed</x:v>
      </x:c>
      <x:c r="P125" s="26" t="str">
        <x:v>Not assessed</x:v>
      </x:c>
      <x:c r="Q125" s="23" t="str">
        <x:v>2026-09-29</x:v>
      </x:c>
      <x:c r="R125" s="23" t="str">
        <x:v>Reconcile name, adoption, implementation and current status against the primary baseline.</x:v>
      </x:c>
    </x:row>
    <x:row r="126" ht="59" customHeight="1">
      <x:c r="A126" s="23" t="str">
        <x:v>TSS-121</x:v>
      </x:c>
      <x:c r="B126" s="23" t="str">
        <x:v>North-west Pacific</x:v>
      </x:c>
      <x:c r="C126" s="23" t="str">
        <x:v>In the Approaches to the Gulf of Nakhodka</x:v>
      </x:c>
      <x:c r="D126" s="23" t="str">
        <x:v>Single source-list record</x:v>
      </x:c>
      <x:c r="E126" s="23" t="str">
        <x:v>Provisional: primary baseline pending</x:v>
      </x:c>
      <x:c r="F126" s="23" t="str">
        <x:v>Not assessed</x:v>
      </x:c>
      <x:c r="G126" s="23" t="str">
        <x:v>Not assessed</x:v>
      </x:c>
      <x:c r="H126" s="23" t="str">
        <x:v>Not assessed</x:v>
      </x:c>
      <x:c r="I126" s="23" t="str">
        <x:v>Not assessed</x:v>
      </x:c>
      <x:c r="J126" s="23" t="str">
        <x:v>Not started</x:v>
      </x:c>
      <x:c r="K126" s="23" t="str">
        <x:v>B25</x:v>
      </x:c>
      <x:c r="L126" s="23" t="str">
        <x:v>S02</x:v>
      </x:c>
      <x:c r="M126" s="23" t="str">
        <x:v>Notice 17; (16) Korea and Pacific coast of Russia</x:v>
      </x:c>
      <x:c r="N126" s="26" t="str">
        <x:v>https://www.scribd.com/document/1014775753/1-1-IMO-Adopted-Traffic-Separation-Schemes-on-the-ADMIRALTY-Chart-Series</x:v>
      </x:c>
      <x:c r="O126" s="23" t="str">
        <x:v>Not assessed</x:v>
      </x:c>
      <x:c r="P126" s="26" t="str">
        <x:v>Not assessed</x:v>
      </x:c>
      <x:c r="Q126" s="23" t="str">
        <x:v>2026-09-29</x:v>
      </x:c>
      <x:c r="R126" s="23" t="str">
        <x:v>Reconcile name, adoption, implementation and current status against the primary baseline.</x:v>
      </x:c>
    </x:row>
    <x:row r="127" ht="59" customHeight="1">
      <x:c r="A127" s="23" t="str">
        <x:v>TSS-122</x:v>
      </x:c>
      <x:c r="B127" s="23" t="str">
        <x:v>North-west Pacific</x:v>
      </x:c>
      <x:c r="C127" s="23" t="str">
        <x:v>Off the Ostrovnoi Point</x:v>
      </x:c>
      <x:c r="D127" s="23" t="str">
        <x:v>Single source-list record</x:v>
      </x:c>
      <x:c r="E127" s="23" t="str">
        <x:v>Provisional: primary baseline pending</x:v>
      </x:c>
      <x:c r="F127" s="23" t="str">
        <x:v>Not assessed</x:v>
      </x:c>
      <x:c r="G127" s="23" t="str">
        <x:v>Not assessed</x:v>
      </x:c>
      <x:c r="H127" s="23" t="str">
        <x:v>Not assessed</x:v>
      </x:c>
      <x:c r="I127" s="23" t="str">
        <x:v>Not assessed</x:v>
      </x:c>
      <x:c r="J127" s="23" t="str">
        <x:v>Not started</x:v>
      </x:c>
      <x:c r="K127" s="23" t="str">
        <x:v>B25</x:v>
      </x:c>
      <x:c r="L127" s="23" t="str">
        <x:v>S02</x:v>
      </x:c>
      <x:c r="M127" s="23" t="str">
        <x:v>Notice 17; (16) Korea and Pacific coast of Russia</x:v>
      </x:c>
      <x:c r="N127" s="26" t="str">
        <x:v>https://www.scribd.com/document/1014775753/1-1-IMO-Adopted-Traffic-Separation-Schemes-on-the-ADMIRALTY-Chart-Series</x:v>
      </x:c>
      <x:c r="O127" s="23" t="str">
        <x:v>Not assessed</x:v>
      </x:c>
      <x:c r="P127" s="26" t="str">
        <x:v>Not assessed</x:v>
      </x:c>
      <x:c r="Q127" s="23" t="str">
        <x:v>2026-09-29</x:v>
      </x:c>
      <x:c r="R127" s="23" t="str">
        <x:v>Reconcile name, adoption, implementation and current status against the primary baseline.</x:v>
      </x:c>
    </x:row>
    <x:row r="128" ht="59" customHeight="1">
      <x:c r="A128" s="23" t="str">
        <x:v>TSS-123</x:v>
      </x:c>
      <x:c r="B128" s="23" t="str">
        <x:v>North-west Pacific</x:v>
      </x:c>
      <x:c r="C128" s="23" t="str">
        <x:v>Off Mys Aniva (Off the Aniwa Cape)</x:v>
      </x:c>
      <x:c r="D128" s="23" t="str">
        <x:v>Single source-list record</x:v>
      </x:c>
      <x:c r="E128" s="23" t="str">
        <x:v>Provisional: primary baseline pending</x:v>
      </x:c>
      <x:c r="F128" s="23" t="str">
        <x:v>Not assessed</x:v>
      </x:c>
      <x:c r="G128" s="23" t="str">
        <x:v>Not assessed</x:v>
      </x:c>
      <x:c r="H128" s="23" t="str">
        <x:v>Not assessed</x:v>
      </x:c>
      <x:c r="I128" s="23" t="str">
        <x:v>Not assessed</x:v>
      </x:c>
      <x:c r="J128" s="23" t="str">
        <x:v>Not started</x:v>
      </x:c>
      <x:c r="K128" s="23" t="str">
        <x:v>B25</x:v>
      </x:c>
      <x:c r="L128" s="23" t="str">
        <x:v>S02</x:v>
      </x:c>
      <x:c r="M128" s="23" t="str">
        <x:v>Notice 17; (16) Korea and Pacific coast of Russia</x:v>
      </x:c>
      <x:c r="N128" s="26" t="str">
        <x:v>https://www.scribd.com/document/1014775753/1-1-IMO-Adopted-Traffic-Separation-Schemes-on-the-ADMIRALTY-Chart-Series</x:v>
      </x:c>
      <x:c r="O128" s="23" t="str">
        <x:v>Not assessed</x:v>
      </x:c>
      <x:c r="P128" s="26" t="str">
        <x:v>Not assessed</x:v>
      </x:c>
      <x:c r="Q128" s="23" t="str">
        <x:v>2026-09-29</x:v>
      </x:c>
      <x:c r="R128" s="23" t="str">
        <x:v>Reconcile name, adoption, implementation and current status against the primary baseline.</x:v>
      </x:c>
    </x:row>
    <x:row r="129" ht="59" customHeight="1">
      <x:c r="A129" s="23" t="str">
        <x:v>TSS-124</x:v>
      </x:c>
      <x:c r="B129" s="23" t="str">
        <x:v>North-west Pacific</x:v>
      </x:c>
      <x:c r="C129" s="23" t="str">
        <x:v>In the Proliv Bussol'</x:v>
      </x:c>
      <x:c r="D129" s="23" t="str">
        <x:v>Single source-list record</x:v>
      </x:c>
      <x:c r="E129" s="23" t="str">
        <x:v>Provisional: primary baseline pending</x:v>
      </x:c>
      <x:c r="F129" s="23" t="str">
        <x:v>Not assessed</x:v>
      </x:c>
      <x:c r="G129" s="23" t="str">
        <x:v>Not assessed</x:v>
      </x:c>
      <x:c r="H129" s="23" t="str">
        <x:v>Not assessed</x:v>
      </x:c>
      <x:c r="I129" s="23" t="str">
        <x:v>Not assessed</x:v>
      </x:c>
      <x:c r="J129" s="23" t="str">
        <x:v>Not started</x:v>
      </x:c>
      <x:c r="K129" s="23" t="str">
        <x:v>B25</x:v>
      </x:c>
      <x:c r="L129" s="23" t="str">
        <x:v>S02</x:v>
      </x:c>
      <x:c r="M129" s="23" t="str">
        <x:v>Notice 17; (16) Korea and Pacific coast of Russia</x:v>
      </x:c>
      <x:c r="N129" s="26" t="str">
        <x:v>https://www.scribd.com/document/1014775753/1-1-IMO-Adopted-Traffic-Separation-Schemes-on-the-ADMIRALTY-Chart-Series</x:v>
      </x:c>
      <x:c r="O129" s="23" t="str">
        <x:v>Not assessed</x:v>
      </x:c>
      <x:c r="P129" s="26" t="str">
        <x:v>Not assessed</x:v>
      </x:c>
      <x:c r="Q129" s="23" t="str">
        <x:v>2026-09-29</x:v>
      </x:c>
      <x:c r="R129" s="23" t="str">
        <x:v>Reconcile name, adoption, implementation and current status against the primary baseline.</x:v>
      </x:c>
    </x:row>
    <x:row r="130" ht="59" customHeight="1">
      <x:c r="A130" s="23" t="str">
        <x:v>TSS-125</x:v>
      </x:c>
      <x:c r="B130" s="23" t="str">
        <x:v>North-west Pacific</x:v>
      </x:c>
      <x:c r="C130" s="23" t="str">
        <x:v>Chetvertyy Kuril'skiy Proliv (In the Fourth Kuril Strait)</x:v>
      </x:c>
      <x:c r="D130" s="23" t="str">
        <x:v>Single source-list record</x:v>
      </x:c>
      <x:c r="E130" s="23" t="str">
        <x:v>Provisional: primary baseline pending</x:v>
      </x:c>
      <x:c r="F130" s="23" t="str">
        <x:v>Not assessed</x:v>
      </x:c>
      <x:c r="G130" s="23" t="str">
        <x:v>Not assessed</x:v>
      </x:c>
      <x:c r="H130" s="23" t="str">
        <x:v>Not assessed</x:v>
      </x:c>
      <x:c r="I130" s="23" t="str">
        <x:v>Not assessed</x:v>
      </x:c>
      <x:c r="J130" s="23" t="str">
        <x:v>Not started</x:v>
      </x:c>
      <x:c r="K130" s="23" t="str">
        <x:v>B25</x:v>
      </x:c>
      <x:c r="L130" s="23" t="str">
        <x:v>S02</x:v>
      </x:c>
      <x:c r="M130" s="23" t="str">
        <x:v>Notice 17; (16) Korea and Pacific coast of Russia</x:v>
      </x:c>
      <x:c r="N130" s="26" t="str">
        <x:v>https://www.scribd.com/document/1014775753/1-1-IMO-Adopted-Traffic-Separation-Schemes-on-the-ADMIRALTY-Chart-Series</x:v>
      </x:c>
      <x:c r="O130" s="23" t="str">
        <x:v>Not assessed</x:v>
      </x:c>
      <x:c r="P130" s="26" t="str">
        <x:v>Not assessed</x:v>
      </x:c>
      <x:c r="Q130" s="23" t="str">
        <x:v>2026-09-29</x:v>
      </x:c>
      <x:c r="R130" s="23" t="str">
        <x:v>Reconcile name, adoption, implementation and current status against the primary baseline.</x:v>
      </x:c>
    </x:row>
    <x:row r="131" ht="59" customHeight="1">
      <x:c r="A131" s="23" t="str">
        <x:v>TSS-126</x:v>
      </x:c>
      <x:c r="B131" s="23" t="str">
        <x:v>Australia</x:v>
      </x:c>
      <x:c r="C131" s="23" t="str">
        <x:v>Off Southwest Australia</x:v>
      </x:c>
      <x:c r="D131" s="23" t="str">
        <x:v>Grouping check required</x:v>
      </x:c>
      <x:c r="E131" s="23" t="str">
        <x:v>Provisional: primary baseline pending</x:v>
      </x:c>
      <x:c r="F131" s="23" t="str">
        <x:v>Not assessed</x:v>
      </x:c>
      <x:c r="G131" s="23" t="str">
        <x:v>Not assessed</x:v>
      </x:c>
      <x:c r="H131" s="23" t="str">
        <x:v>Not assessed</x:v>
      </x:c>
      <x:c r="I131" s="23" t="str">
        <x:v>Not assessed</x:v>
      </x:c>
      <x:c r="J131" s="23" t="str">
        <x:v>Not started</x:v>
      </x:c>
      <x:c r="K131" s="23" t="str">
        <x:v>B26</x:v>
      </x:c>
      <x:c r="L131" s="23" t="str">
        <x:v>S02</x:v>
      </x:c>
      <x:c r="M131" s="23" t="str">
        <x:v>Notice 17; (18) Australia and Papua New Guinea</x:v>
      </x:c>
      <x:c r="N131" s="26" t="str">
        <x:v>https://www.scribd.com/document/1014775753/1-1-IMO-Adopted-Traffic-Separation-Schemes-on-the-ADMIRALTY-Chart-Series</x:v>
      </x:c>
      <x:c r="O131" s="23" t="str">
        <x:v>Not assessed</x:v>
      </x:c>
      <x:c r="P131" s="26" t="str">
        <x:v>Not assessed</x:v>
      </x:c>
      <x:c r="Q131" s="23" t="str">
        <x:v>2026-09-29</x:v>
      </x:c>
      <x:c r="R131" s="23" t="str">
        <x:v>Regional heading. Source states ENC-only coverage; obtain current Australian source.</x:v>
      </x:c>
    </x:row>
    <x:row r="132" ht="59" customHeight="1">
      <x:c r="A132" s="23" t="str">
        <x:v>TSS-127</x:v>
      </x:c>
      <x:c r="B132" s="23" t="str">
        <x:v>Australia</x:v>
      </x:c>
      <x:c r="C132" s="23" t="str">
        <x:v>South of Wilsons Promontory in the Bass Strait</x:v>
      </x:c>
      <x:c r="D132" s="23" t="str">
        <x:v>Single source-list record</x:v>
      </x:c>
      <x:c r="E132" s="23" t="str">
        <x:v>Provisional: primary baseline pending</x:v>
      </x:c>
      <x:c r="F132" s="23" t="str">
        <x:v>Not assessed</x:v>
      </x:c>
      <x:c r="G132" s="23" t="str">
        <x:v>Not assessed</x:v>
      </x:c>
      <x:c r="H132" s="23" t="str">
        <x:v>Not assessed</x:v>
      </x:c>
      <x:c r="I132" s="23" t="str">
        <x:v>Not assessed</x:v>
      </x:c>
      <x:c r="J132" s="23" t="str">
        <x:v>Not started</x:v>
      </x:c>
      <x:c r="K132" s="23" t="str">
        <x:v>B26</x:v>
      </x:c>
      <x:c r="L132" s="23" t="str">
        <x:v>S02</x:v>
      </x:c>
      <x:c r="M132" s="23" t="str">
        <x:v>Notice 17; (18) Australia and Papua New Guinea</x:v>
      </x:c>
      <x:c r="N132" s="26" t="str">
        <x:v>https://www.scribd.com/document/1014775753/1-1-IMO-Adopted-Traffic-Separation-Schemes-on-the-ADMIRALTY-Chart-Series</x:v>
      </x:c>
      <x:c r="O132" s="23" t="str">
        <x:v>Not assessed</x:v>
      </x:c>
      <x:c r="P132" s="26" t="str">
        <x:v>Not assessed</x:v>
      </x:c>
      <x:c r="Q132" s="23" t="str">
        <x:v>2026-09-29</x:v>
      </x:c>
      <x:c r="R132" s="23" t="str">
        <x:v>Reconcile name, adoption, implementation and current status against the primary baseline.</x:v>
      </x:c>
    </x:row>
    <x:row r="133" ht="59" customHeight="1">
      <x:c r="A133" s="23" t="str">
        <x:v>TSS-128</x:v>
      </x:c>
      <x:c r="B133" s="23" t="str">
        <x:v>Australia</x:v>
      </x:c>
      <x:c r="C133" s="23" t="str">
        <x:v>In the Bass Strait</x:v>
      </x:c>
      <x:c r="D133" s="23" t="str">
        <x:v>Single source-list record</x:v>
      </x:c>
      <x:c r="E133" s="23" t="str">
        <x:v>Provisional: primary baseline pending</x:v>
      </x:c>
      <x:c r="F133" s="23" t="str">
        <x:v>Not assessed</x:v>
      </x:c>
      <x:c r="G133" s="23" t="str">
        <x:v>Not assessed</x:v>
      </x:c>
      <x:c r="H133" s="23" t="str">
        <x:v>Not assessed</x:v>
      </x:c>
      <x:c r="I133" s="23" t="str">
        <x:v>Not assessed</x:v>
      </x:c>
      <x:c r="J133" s="23" t="str">
        <x:v>Not started</x:v>
      </x:c>
      <x:c r="K133" s="23" t="str">
        <x:v>B26</x:v>
      </x:c>
      <x:c r="L133" s="23" t="str">
        <x:v>S02</x:v>
      </x:c>
      <x:c r="M133" s="23" t="str">
        <x:v>Notice 17; (18) Australia and Papua New Guinea</x:v>
      </x:c>
      <x:c r="N133" s="26" t="str">
        <x:v>https://www.scribd.com/document/1014775753/1-1-IMO-Adopted-Traffic-Separation-Schemes-on-the-ADMIRALTY-Chart-Series</x:v>
      </x:c>
      <x:c r="O133" s="23" t="str">
        <x:v>Not assessed</x:v>
      </x:c>
      <x:c r="P133" s="26" t="str">
        <x:v>Not assessed</x:v>
      </x:c>
      <x:c r="Q133" s="23" t="str">
        <x:v>2026-09-29</x:v>
      </x:c>
      <x:c r="R133" s="23" t="str">
        <x:v>Reconcile name, adoption, implementation and current status against the primary baseline.</x:v>
      </x:c>
    </x:row>
    <x:row r="134" ht="59" customHeight="1">
      <x:c r="A134" s="23" t="str">
        <x:v>TSS-129</x:v>
      </x:c>
      <x:c r="B134" s="23" t="str">
        <x:v>North America Pacific coast</x:v>
      </x:c>
      <x:c r="C134" s="23" t="str">
        <x:v>In Prince William Sound</x:v>
      </x:c>
      <x:c r="D134" s="23" t="str">
        <x:v>Single source-list record</x:v>
      </x:c>
      <x:c r="E134" s="23" t="str">
        <x:v>Provisional: primary baseline pending</x:v>
      </x:c>
      <x:c r="F134" s="23" t="str">
        <x:v>Service lead found</x:v>
      </x:c>
      <x:c r="G134" s="23" t="str">
        <x:v>VTS-009</x:v>
      </x:c>
      <x:c r="H134" s="23" t="str">
        <x:v>Not assessed</x:v>
      </x:c>
      <x:c r="I134" s="23" t="str">
        <x:v>Not assessed</x:v>
      </x:c>
      <x:c r="J134" s="23" t="str">
        <x:v>Initial screening</x:v>
      </x:c>
      <x:c r="K134" s="23" t="str">
        <x:v>B26</x:v>
      </x:c>
      <x:c r="L134" s="23" t="str">
        <x:v>S02</x:v>
      </x:c>
      <x:c r="M134" s="23" t="str">
        <x:v>Notice 17; (21) Alaska and west coast of North America</x:v>
      </x:c>
      <x:c r="N134" s="26" t="str">
        <x:v>https://www.scribd.com/document/1014775753/1-1-IMO-Adopted-Traffic-Separation-Schemes-on-the-ADMIRALTY-Chart-Series</x:v>
      </x:c>
      <x:c r="O134" s="23" t="str">
        <x:v>S11</x:v>
      </x:c>
      <x:c r="P134" s="26" t="str">
        <x:v>https://www.navcen.uscg.gov/vessel-traffic-services-locations</x:v>
      </x:c>
      <x:c r="Q134" s="23" t="str">
        <x:v>2026-09-29</x:v>
      </x:c>
      <x:c r="R134" s="23" t="str">
        <x:v>Reconcile name, adoption, implementation and current status against the primary baseline.</x:v>
      </x:c>
    </x:row>
    <x:row r="135" ht="59" customHeight="1">
      <x:c r="A135" s="23" t="str">
        <x:v>TSS-130</x:v>
      </x:c>
      <x:c r="B135" s="23" t="str">
        <x:v>North America Pacific coast</x:v>
      </x:c>
      <x:c r="C135" s="23" t="str">
        <x:v>In the Strait of Juan de Fuca and its Approaches</x:v>
      </x:c>
      <x:c r="D135" s="23" t="str">
        <x:v>Grouping check required</x:v>
      </x:c>
      <x:c r="E135" s="23" t="str">
        <x:v>Provisional: primary baseline pending</x:v>
      </x:c>
      <x:c r="F135" s="23" t="str">
        <x:v>Service lead found</x:v>
      </x:c>
      <x:c r="G135" s="23" t="str">
        <x:v>VTS-010</x:v>
      </x:c>
      <x:c r="H135" s="23" t="str">
        <x:v>Not assessed</x:v>
      </x:c>
      <x:c r="I135" s="23" t="str">
        <x:v>Not assessed</x:v>
      </x:c>
      <x:c r="J135" s="23" t="str">
        <x:v>Initial screening</x:v>
      </x:c>
      <x:c r="K135" s="23" t="str">
        <x:v>B26</x:v>
      </x:c>
      <x:c r="L135" s="23" t="str">
        <x:v>S02</x:v>
      </x:c>
      <x:c r="M135" s="23" t="str">
        <x:v>Notice 17; (21) Alaska and west coast of North America</x:v>
      </x:c>
      <x:c r="N135" s="26" t="str">
        <x:v>https://www.scribd.com/document/1014775753/1-1-IMO-Adopted-Traffic-Separation-Schemes-on-the-ADMIRALTY-Chart-Series</x:v>
      </x:c>
      <x:c r="O135" s="23" t="str">
        <x:v>S11; S12</x:v>
      </x:c>
      <x:c r="P135" s="26" t="str">
        <x:v>https://www.navcen.uscg.gov/vessel-traffic-services-locations
https://www.pacificarea.uscg.mil/VTSPugetSound/</x:v>
      </x:c>
      <x:c r="Q135" s="23" t="str">
        <x:v>2026-09-29</x:v>
      </x:c>
      <x:c r="R135" s="23" t="str">
        <x:v>Approach grouping and cross-border services require reconciliation.</x:v>
      </x:c>
    </x:row>
    <x:row r="136" ht="59" customHeight="1">
      <x:c r="A136" s="23" t="str">
        <x:v>TSS-131</x:v>
      </x:c>
      <x:c r="B136" s="23" t="str">
        <x:v>North America Pacific coast</x:v>
      </x:c>
      <x:c r="C136" s="23" t="str">
        <x:v>In Puget Sound and approaches in Haro Strait, Boundary Pass and in the Strait of Georgia</x:v>
      </x:c>
      <x:c r="D136" s="23" t="str">
        <x:v>Grouping check required</x:v>
      </x:c>
      <x:c r="E136" s="23" t="str">
        <x:v>Provisional: primary baseline pending</x:v>
      </x:c>
      <x:c r="F136" s="23" t="str">
        <x:v>Service lead found</x:v>
      </x:c>
      <x:c r="G136" s="23" t="str">
        <x:v>VTS-010</x:v>
      </x:c>
      <x:c r="H136" s="23" t="str">
        <x:v>Not assessed</x:v>
      </x:c>
      <x:c r="I136" s="23" t="str">
        <x:v>Not assessed</x:v>
      </x:c>
      <x:c r="J136" s="23" t="str">
        <x:v>Initial screening</x:v>
      </x:c>
      <x:c r="K136" s="23" t="str">
        <x:v>B27</x:v>
      </x:c>
      <x:c r="L136" s="23" t="str">
        <x:v>S02</x:v>
      </x:c>
      <x:c r="M136" s="23" t="str">
        <x:v>Notice 17; (21) Alaska and west coast of North America</x:v>
      </x:c>
      <x:c r="N136" s="26" t="str">
        <x:v>https://www.scribd.com/document/1014775753/1-1-IMO-Adopted-Traffic-Separation-Schemes-on-the-ADMIRALTY-Chart-Series</x:v>
      </x:c>
      <x:c r="O136" s="23" t="str">
        <x:v>S11; S12</x:v>
      </x:c>
      <x:c r="P136" s="26" t="str">
        <x:v>https://www.navcen.uscg.gov/vessel-traffic-services-locations
https://www.pacificarea.uscg.mil/VTSPugetSound/</x:v>
      </x:c>
      <x:c r="Q136" s="23" t="str">
        <x:v>2026-09-29</x:v>
      </x:c>
      <x:c r="R136" s="23" t="str">
        <x:v>Several waterways and jurisdictions. Decompose before counting areas.</x:v>
      </x:c>
    </x:row>
    <x:row r="137" ht="59" customHeight="1">
      <x:c r="A137" s="23" t="str">
        <x:v>TSS-132</x:v>
      </x:c>
      <x:c r="B137" s="23" t="str">
        <x:v>North America Pacific coast</x:v>
      </x:c>
      <x:c r="C137" s="23" t="str">
        <x:v>Off San Francisco</x:v>
      </x:c>
      <x:c r="D137" s="23" t="str">
        <x:v>Single source-list record</x:v>
      </x:c>
      <x:c r="E137" s="23" t="str">
        <x:v>Provisional: primary baseline pending</x:v>
      </x:c>
      <x:c r="F137" s="23" t="str">
        <x:v>Service lead found</x:v>
      </x:c>
      <x:c r="G137" s="23" t="str">
        <x:v>VTS-011</x:v>
      </x:c>
      <x:c r="H137" s="23" t="str">
        <x:v>Scheme lead found</x:v>
      </x:c>
      <x:c r="I137" s="23" t="str">
        <x:v>RPT-008</x:v>
      </x:c>
      <x:c r="J137" s="23" t="str">
        <x:v>Initial screening</x:v>
      </x:c>
      <x:c r="K137" s="23" t="str">
        <x:v>B27</x:v>
      </x:c>
      <x:c r="L137" s="23" t="str">
        <x:v>S02</x:v>
      </x:c>
      <x:c r="M137" s="23" t="str">
        <x:v>Notice 17; (21) Alaska and west coast of North America</x:v>
      </x:c>
      <x:c r="N137" s="26" t="str">
        <x:v>https://www.scribd.com/document/1014775753/1-1-IMO-Adopted-Traffic-Separation-Schemes-on-the-ADMIRALTY-Chart-Series</x:v>
      </x:c>
      <x:c r="O137" s="23" t="str">
        <x:v>S11</x:v>
      </x:c>
      <x:c r="P137" s="26" t="str">
        <x:v>https://www.navcen.uscg.gov/vessel-traffic-services-locations</x:v>
      </x:c>
      <x:c r="Q137" s="23" t="str">
        <x:v>2026-09-29</x:v>
      </x:c>
      <x:c r="R137" s="23" t="str">
        <x:v>Reconcile name, adoption, implementation and current status against the primary baseline.</x:v>
      </x:c>
    </x:row>
    <x:row r="138" ht="59" customHeight="1">
      <x:c r="A138" s="23" t="str">
        <x:v>TSS-133</x:v>
      </x:c>
      <x:c r="B138" s="23" t="str">
        <x:v>North America Pacific coast</x:v>
      </x:c>
      <x:c r="C138" s="23" t="str">
        <x:v>In the Santa Barbara Channel and in the Approaches to Los Angeles - Long Beach</x:v>
      </x:c>
      <x:c r="D138" s="23" t="str">
        <x:v>Grouping check required</x:v>
      </x:c>
      <x:c r="E138" s="23" t="str">
        <x:v>Provisional: primary baseline pending</x:v>
      </x:c>
      <x:c r="F138" s="23" t="str">
        <x:v>Service lead found</x:v>
      </x:c>
      <x:c r="G138" s="23" t="str">
        <x:v>VTS-012</x:v>
      </x:c>
      <x:c r="H138" s="23" t="str">
        <x:v>Not assessed</x:v>
      </x:c>
      <x:c r="I138" s="23" t="str">
        <x:v>Not assessed</x:v>
      </x:c>
      <x:c r="J138" s="23" t="str">
        <x:v>Initial screening</x:v>
      </x:c>
      <x:c r="K138" s="23" t="str">
        <x:v>B27</x:v>
      </x:c>
      <x:c r="L138" s="23" t="str">
        <x:v>S02</x:v>
      </x:c>
      <x:c r="M138" s="23" t="str">
        <x:v>Notice 17; (21) Alaska and west coast of North America</x:v>
      </x:c>
      <x:c r="N138" s="26" t="str">
        <x:v>https://www.scribd.com/document/1014775753/1-1-IMO-Adopted-Traffic-Separation-Schemes-on-the-ADMIRALTY-Chart-Series</x:v>
      </x:c>
      <x:c r="O138" s="23" t="str">
        <x:v>S11</x:v>
      </x:c>
      <x:c r="P138" s="26" t="str">
        <x:v>https://www.navcen.uscg.gov/vessel-traffic-services-locations</x:v>
      </x:c>
      <x:c r="Q138" s="23" t="str">
        <x:v>2026-09-29</x:v>
      </x:c>
      <x:c r="R138" s="23" t="str">
        <x:v>Combined Santa Barbara and Los Angeles–Long Beach heading. Coverage may differ.</x:v>
      </x:c>
    </x:row>
    <x:row r="139" ht="59" customHeight="1">
      <x:c r="A139" s="23" t="str">
        <x:v>TSS-134</x:v>
      </x:c>
      <x:c r="B139" s="23" t="str">
        <x:v>North America Pacific coast</x:v>
      </x:c>
      <x:c r="C139" s="23" t="str">
        <x:v>In the Approaches to Salina Cruz</x:v>
      </x:c>
      <x:c r="D139" s="23" t="str">
        <x:v>Single source-list record</x:v>
      </x:c>
      <x:c r="E139" s="23" t="str">
        <x:v>Provisional: primary baseline pending</x:v>
      </x:c>
      <x:c r="F139" s="23" t="str">
        <x:v>Not assessed</x:v>
      </x:c>
      <x:c r="G139" s="23" t="str">
        <x:v>Not assessed</x:v>
      </x:c>
      <x:c r="H139" s="23" t="str">
        <x:v>Not assessed</x:v>
      </x:c>
      <x:c r="I139" s="23" t="str">
        <x:v>Not assessed</x:v>
      </x:c>
      <x:c r="J139" s="23" t="str">
        <x:v>Not started</x:v>
      </x:c>
      <x:c r="K139" s="23" t="str">
        <x:v>B27</x:v>
      </x:c>
      <x:c r="L139" s="23" t="str">
        <x:v>S02</x:v>
      </x:c>
      <x:c r="M139" s="23" t="str">
        <x:v>Notice 17; (21) Alaska and west coast of North America</x:v>
      </x:c>
      <x:c r="N139" s="26" t="str">
        <x:v>https://www.scribd.com/document/1014775753/1-1-IMO-Adopted-Traffic-Separation-Schemes-on-the-ADMIRALTY-Chart-Series</x:v>
      </x:c>
      <x:c r="O139" s="23" t="str">
        <x:v>Not assessed</x:v>
      </x:c>
      <x:c r="P139" s="26" t="str">
        <x:v>Not assessed</x:v>
      </x:c>
      <x:c r="Q139" s="23" t="str">
        <x:v>2026-09-29</x:v>
      </x:c>
      <x:c r="R139" s="23" t="str">
        <x:v>Reconcile name, adoption, implementation and current status against the primary baseline.</x:v>
      </x:c>
    </x:row>
    <x:row r="140" ht="59" customHeight="1">
      <x:c r="A140" s="23" t="str">
        <x:v>TSS-135</x:v>
      </x:c>
      <x:c r="B140" s="23" t="str">
        <x:v>Central and South America Pacific coast</x:v>
      </x:c>
      <x:c r="C140" s="23" t="str">
        <x:v>Landfall and Approaches to Talara Bay</x:v>
      </x:c>
      <x:c r="D140" s="23" t="str">
        <x:v>Single source-list record</x:v>
      </x:c>
      <x:c r="E140" s="23" t="str">
        <x:v>Provisional: primary baseline pending</x:v>
      </x:c>
      <x:c r="F140" s="23" t="str">
        <x:v>Not assessed</x:v>
      </x:c>
      <x:c r="G140" s="23" t="str">
        <x:v>Not assessed</x:v>
      </x:c>
      <x:c r="H140" s="23" t="str">
        <x:v>Not assessed</x:v>
      </x:c>
      <x:c r="I140" s="23" t="str">
        <x:v>Not assessed</x:v>
      </x:c>
      <x:c r="J140" s="23" t="str">
        <x:v>Not started</x:v>
      </x:c>
      <x:c r="K140" s="23" t="str">
        <x:v>B27</x:v>
      </x:c>
      <x:c r="L140" s="23" t="str">
        <x:v>S02</x:v>
      </x:c>
      <x:c r="M140" s="23" t="str">
        <x:v>Notice 17; (22) West coasts of Central and South America</x:v>
      </x:c>
      <x:c r="N140" s="26" t="str">
        <x:v>https://www.scribd.com/document/1014775753/1-1-IMO-Adopted-Traffic-Separation-Schemes-on-the-ADMIRALTY-Chart-Series</x:v>
      </x:c>
      <x:c r="O140" s="23" t="str">
        <x:v>Not assessed</x:v>
      </x:c>
      <x:c r="P140" s="26" t="str">
        <x:v>Not assessed</x:v>
      </x:c>
      <x:c r="Q140" s="23" t="str">
        <x:v>2026-09-29</x:v>
      </x:c>
      <x:c r="R140" s="23" t="str">
        <x:v>Reconcile name, adoption, implementation and current status against the primary baseline.</x:v>
      </x:c>
    </x:row>
    <x:row r="141" ht="59" customHeight="1">
      <x:c r="A141" s="23" t="str">
        <x:v>TSS-136</x:v>
      </x:c>
      <x:c r="B141" s="23" t="str">
        <x:v>Central and South America Pacific coast</x:v>
      </x:c>
      <x:c r="C141" s="23" t="str">
        <x:v>Landfall and Approaches to Bahía de Paita</x:v>
      </x:c>
      <x:c r="D141" s="23" t="str">
        <x:v>Single source-list record</x:v>
      </x:c>
      <x:c r="E141" s="23" t="str">
        <x:v>Provisional: primary baseline pending</x:v>
      </x:c>
      <x:c r="F141" s="23" t="str">
        <x:v>Not assessed</x:v>
      </x:c>
      <x:c r="G141" s="23" t="str">
        <x:v>Not assessed</x:v>
      </x:c>
      <x:c r="H141" s="23" t="str">
        <x:v>Not assessed</x:v>
      </x:c>
      <x:c r="I141" s="23" t="str">
        <x:v>Not assessed</x:v>
      </x:c>
      <x:c r="J141" s="23" t="str">
        <x:v>Not started</x:v>
      </x:c>
      <x:c r="K141" s="23" t="str">
        <x:v>B28</x:v>
      </x:c>
      <x:c r="L141" s="23" t="str">
        <x:v>S02</x:v>
      </x:c>
      <x:c r="M141" s="23" t="str">
        <x:v>Notice 17; (22) West coasts of Central and South America</x:v>
      </x:c>
      <x:c r="N141" s="26" t="str">
        <x:v>https://www.scribd.com/document/1014775753/1-1-IMO-Adopted-Traffic-Separation-Schemes-on-the-ADMIRALTY-Chart-Series</x:v>
      </x:c>
      <x:c r="O141" s="23" t="str">
        <x:v>Not assessed</x:v>
      </x:c>
      <x:c r="P141" s="26" t="str">
        <x:v>Not assessed</x:v>
      </x:c>
      <x:c r="Q141" s="23" t="str">
        <x:v>2026-09-29</x:v>
      </x:c>
      <x:c r="R141" s="23" t="str">
        <x:v>Reconcile name, adoption, implementation and current status against the primary baseline.</x:v>
      </x:c>
    </x:row>
    <x:row r="142" ht="59" customHeight="1">
      <x:c r="A142" s="23" t="str">
        <x:v>TSS-137</x:v>
      </x:c>
      <x:c r="B142" s="23" t="str">
        <x:v>Central and South America Pacific coast</x:v>
      </x:c>
      <x:c r="C142" s="23" t="str">
        <x:v>Landfall off Puerto Salaverry</x:v>
      </x:c>
      <x:c r="D142" s="23" t="str">
        <x:v>Single source-list record</x:v>
      </x:c>
      <x:c r="E142" s="23" t="str">
        <x:v>Provisional: primary baseline pending</x:v>
      </x:c>
      <x:c r="F142" s="23" t="str">
        <x:v>Not assessed</x:v>
      </x:c>
      <x:c r="G142" s="23" t="str">
        <x:v>Not assessed</x:v>
      </x:c>
      <x:c r="H142" s="23" t="str">
        <x:v>Not assessed</x:v>
      </x:c>
      <x:c r="I142" s="23" t="str">
        <x:v>Not assessed</x:v>
      </x:c>
      <x:c r="J142" s="23" t="str">
        <x:v>Not started</x:v>
      </x:c>
      <x:c r="K142" s="23" t="str">
        <x:v>B28</x:v>
      </x:c>
      <x:c r="L142" s="23" t="str">
        <x:v>S02</x:v>
      </x:c>
      <x:c r="M142" s="23" t="str">
        <x:v>Notice 17; (22) West coasts of Central and South America</x:v>
      </x:c>
      <x:c r="N142" s="26" t="str">
        <x:v>https://www.scribd.com/document/1014775753/1-1-IMO-Adopted-Traffic-Separation-Schemes-on-the-ADMIRALTY-Chart-Series</x:v>
      </x:c>
      <x:c r="O142" s="23" t="str">
        <x:v>Not assessed</x:v>
      </x:c>
      <x:c r="P142" s="26" t="str">
        <x:v>Not assessed</x:v>
      </x:c>
      <x:c r="Q142" s="23" t="str">
        <x:v>2026-09-29</x:v>
      </x:c>
      <x:c r="R142" s="23" t="str">
        <x:v>Reconcile name, adoption, implementation and current status against the primary baseline.</x:v>
      </x:c>
    </x:row>
    <x:row r="143" ht="59" customHeight="1">
      <x:c r="A143" s="23" t="str">
        <x:v>TSS-138</x:v>
      </x:c>
      <x:c r="B143" s="23" t="str">
        <x:v>Central and South America Pacific coast</x:v>
      </x:c>
      <x:c r="C143" s="23" t="str">
        <x:v>Landfall and Approaches to Ferrol Bay (Puerto Chimbote)</x:v>
      </x:c>
      <x:c r="D143" s="23" t="str">
        <x:v>Single source-list record</x:v>
      </x:c>
      <x:c r="E143" s="23" t="str">
        <x:v>Provisional: primary baseline pending</x:v>
      </x:c>
      <x:c r="F143" s="23" t="str">
        <x:v>Not assessed</x:v>
      </x:c>
      <x:c r="G143" s="23" t="str">
        <x:v>Not assessed</x:v>
      </x:c>
      <x:c r="H143" s="23" t="str">
        <x:v>Not assessed</x:v>
      </x:c>
      <x:c r="I143" s="23" t="str">
        <x:v>Not assessed</x:v>
      </x:c>
      <x:c r="J143" s="23" t="str">
        <x:v>Not started</x:v>
      </x:c>
      <x:c r="K143" s="23" t="str">
        <x:v>B28</x:v>
      </x:c>
      <x:c r="L143" s="23" t="str">
        <x:v>S02</x:v>
      </x:c>
      <x:c r="M143" s="23" t="str">
        <x:v>Notice 17; (22) West coasts of Central and South America</x:v>
      </x:c>
      <x:c r="N143" s="26" t="str">
        <x:v>https://www.scribd.com/document/1014775753/1-1-IMO-Adopted-Traffic-Separation-Schemes-on-the-ADMIRALTY-Chart-Series</x:v>
      </x:c>
      <x:c r="O143" s="23" t="str">
        <x:v>Not assessed</x:v>
      </x:c>
      <x:c r="P143" s="26" t="str">
        <x:v>Not assessed</x:v>
      </x:c>
      <x:c r="Q143" s="23" t="str">
        <x:v>2026-09-29</x:v>
      </x:c>
      <x:c r="R143" s="23" t="str">
        <x:v>Reconcile name, adoption, implementation and current status against the primary baseline.</x:v>
      </x:c>
    </x:row>
    <x:row r="144" ht="59" customHeight="1">
      <x:c r="A144" s="23" t="str">
        <x:v>TSS-139</x:v>
      </x:c>
      <x:c r="B144" s="23" t="str">
        <x:v>Central and South America Pacific coast</x:v>
      </x:c>
      <x:c r="C144" s="23" t="str">
        <x:v>Approaches to Puerto Callao</x:v>
      </x:c>
      <x:c r="D144" s="23" t="str">
        <x:v>Single source-list record</x:v>
      </x:c>
      <x:c r="E144" s="23" t="str">
        <x:v>Provisional: primary baseline pending</x:v>
      </x:c>
      <x:c r="F144" s="23" t="str">
        <x:v>Not assessed</x:v>
      </x:c>
      <x:c r="G144" s="23" t="str">
        <x:v>Not assessed</x:v>
      </x:c>
      <x:c r="H144" s="23" t="str">
        <x:v>Not assessed</x:v>
      </x:c>
      <x:c r="I144" s="23" t="str">
        <x:v>Not assessed</x:v>
      </x:c>
      <x:c r="J144" s="23" t="str">
        <x:v>Not started</x:v>
      </x:c>
      <x:c r="K144" s="23" t="str">
        <x:v>B28</x:v>
      </x:c>
      <x:c r="L144" s="23" t="str">
        <x:v>S02</x:v>
      </x:c>
      <x:c r="M144" s="23" t="str">
        <x:v>Notice 17; (22) West coasts of Central and South America</x:v>
      </x:c>
      <x:c r="N144" s="26" t="str">
        <x:v>https://www.scribd.com/document/1014775753/1-1-IMO-Adopted-Traffic-Separation-Schemes-on-the-ADMIRALTY-Chart-Series</x:v>
      </x:c>
      <x:c r="O144" s="23" t="str">
        <x:v>Not assessed</x:v>
      </x:c>
      <x:c r="P144" s="26" t="str">
        <x:v>Not assessed</x:v>
      </x:c>
      <x:c r="Q144" s="23" t="str">
        <x:v>2026-09-29</x:v>
      </x:c>
      <x:c r="R144" s="23" t="str">
        <x:v>Reconcile name, adoption, implementation and current status against the primary baseline.</x:v>
      </x:c>
    </x:row>
    <x:row r="145" ht="59" customHeight="1">
      <x:c r="A145" s="23" t="str">
        <x:v>TSS-140</x:v>
      </x:c>
      <x:c r="B145" s="23" t="str">
        <x:v>Central and South America Pacific coast</x:v>
      </x:c>
      <x:c r="C145" s="23" t="str">
        <x:v>In the Approaches to Puerto Pisco</x:v>
      </x:c>
      <x:c r="D145" s="23" t="str">
        <x:v>Single source-list record</x:v>
      </x:c>
      <x:c r="E145" s="23" t="str">
        <x:v>Provisional: primary baseline pending</x:v>
      </x:c>
      <x:c r="F145" s="23" t="str">
        <x:v>Not assessed</x:v>
      </x:c>
      <x:c r="G145" s="23" t="str">
        <x:v>Not assessed</x:v>
      </x:c>
      <x:c r="H145" s="23" t="str">
        <x:v>Not assessed</x:v>
      </x:c>
      <x:c r="I145" s="23" t="str">
        <x:v>Not assessed</x:v>
      </x:c>
      <x:c r="J145" s="23" t="str">
        <x:v>Not started</x:v>
      </x:c>
      <x:c r="K145" s="23" t="str">
        <x:v>B28</x:v>
      </x:c>
      <x:c r="L145" s="23" t="str">
        <x:v>S02</x:v>
      </x:c>
      <x:c r="M145" s="23" t="str">
        <x:v>Notice 17; (22) West coasts of Central and South America</x:v>
      </x:c>
      <x:c r="N145" s="26" t="str">
        <x:v>https://www.scribd.com/document/1014775753/1-1-IMO-Adopted-Traffic-Separation-Schemes-on-the-ADMIRALTY-Chart-Series</x:v>
      </x:c>
      <x:c r="O145" s="23" t="str">
        <x:v>Not assessed</x:v>
      </x:c>
      <x:c r="P145" s="26" t="str">
        <x:v>Not assessed</x:v>
      </x:c>
      <x:c r="Q145" s="23" t="str">
        <x:v>2026-09-29</x:v>
      </x:c>
      <x:c r="R145" s="23" t="str">
        <x:v>Reconcile name, adoption, implementation and current status against the primary baseline.</x:v>
      </x:c>
    </x:row>
    <x:row r="146" ht="59" customHeight="1">
      <x:c r="A146" s="23" t="str">
        <x:v>TSS-141</x:v>
      </x:c>
      <x:c r="B146" s="23" t="str">
        <x:v>Central and South America Pacific coast</x:v>
      </x:c>
      <x:c r="C146" s="23" t="str">
        <x:v>Landfall and Approaches to San Nicolás Bay</x:v>
      </x:c>
      <x:c r="D146" s="23" t="str">
        <x:v>Single source-list record</x:v>
      </x:c>
      <x:c r="E146" s="23" t="str">
        <x:v>Provisional: primary baseline pending</x:v>
      </x:c>
      <x:c r="F146" s="23" t="str">
        <x:v>Not assessed</x:v>
      </x:c>
      <x:c r="G146" s="23" t="str">
        <x:v>Not assessed</x:v>
      </x:c>
      <x:c r="H146" s="23" t="str">
        <x:v>Not assessed</x:v>
      </x:c>
      <x:c r="I146" s="23" t="str">
        <x:v>Not assessed</x:v>
      </x:c>
      <x:c r="J146" s="23" t="str">
        <x:v>Not started</x:v>
      </x:c>
      <x:c r="K146" s="23" t="str">
        <x:v>B29</x:v>
      </x:c>
      <x:c r="L146" s="23" t="str">
        <x:v>S02</x:v>
      </x:c>
      <x:c r="M146" s="23" t="str">
        <x:v>Notice 17; (22) West coasts of Central and South America</x:v>
      </x:c>
      <x:c r="N146" s="26" t="str">
        <x:v>https://www.scribd.com/document/1014775753/1-1-IMO-Adopted-Traffic-Separation-Schemes-on-the-ADMIRALTY-Chart-Series</x:v>
      </x:c>
      <x:c r="O146" s="23" t="str">
        <x:v>Not assessed</x:v>
      </x:c>
      <x:c r="P146" s="26" t="str">
        <x:v>Not assessed</x:v>
      </x:c>
      <x:c r="Q146" s="23" t="str">
        <x:v>2026-09-29</x:v>
      </x:c>
      <x:c r="R146" s="23" t="str">
        <x:v>Reconcile name, adoption, implementation and current status against the primary baseline.</x:v>
      </x:c>
    </x:row>
    <x:row r="147" ht="59" customHeight="1">
      <x:c r="A147" s="23" t="str">
        <x:v>TSS-142</x:v>
      </x:c>
      <x:c r="B147" s="23" t="str">
        <x:v>Central and South America Pacific coast</x:v>
      </x:c>
      <x:c r="C147" s="23" t="str">
        <x:v>Landfall and Approaches to Puerto Ilo</x:v>
      </x:c>
      <x:c r="D147" s="23" t="str">
        <x:v>Single source-list record</x:v>
      </x:c>
      <x:c r="E147" s="23" t="str">
        <x:v>Provisional: primary baseline pending</x:v>
      </x:c>
      <x:c r="F147" s="23" t="str">
        <x:v>Not assessed</x:v>
      </x:c>
      <x:c r="G147" s="23" t="str">
        <x:v>Not assessed</x:v>
      </x:c>
      <x:c r="H147" s="23" t="str">
        <x:v>Not assessed</x:v>
      </x:c>
      <x:c r="I147" s="23" t="str">
        <x:v>Not assessed</x:v>
      </x:c>
      <x:c r="J147" s="23" t="str">
        <x:v>Not started</x:v>
      </x:c>
      <x:c r="K147" s="23" t="str">
        <x:v>B29</x:v>
      </x:c>
      <x:c r="L147" s="23" t="str">
        <x:v>S02</x:v>
      </x:c>
      <x:c r="M147" s="23" t="str">
        <x:v>Notice 17; (22) West coasts of Central and South America</x:v>
      </x:c>
      <x:c r="N147" s="26" t="str">
        <x:v>https://www.scribd.com/document/1014775753/1-1-IMO-Adopted-Traffic-Separation-Schemes-on-the-ADMIRALTY-Chart-Series</x:v>
      </x:c>
      <x:c r="O147" s="23" t="str">
        <x:v>Not assessed</x:v>
      </x:c>
      <x:c r="P147" s="26" t="str">
        <x:v>Not assessed</x:v>
      </x:c>
      <x:c r="Q147" s="23" t="str">
        <x:v>2026-09-29</x:v>
      </x:c>
      <x:c r="R147" s="23" t="str">
        <x:v>Reconcile name, adoption, implementation and current status against the primary baseline.</x:v>
      </x:c>
    </x:row>
    <x:row r="148" ht="59" customHeight="1">
      <x:c r="A148" s="23" t="str">
        <x:v>TSS-143</x:v>
      </x:c>
      <x:c r="B148" s="23" t="str">
        <x:v>Central and South America Pacific coast</x:v>
      </x:c>
      <x:c r="C148" s="23" t="str">
        <x:v>In the Approaches to Arica</x:v>
      </x:c>
      <x:c r="D148" s="23" t="str">
        <x:v>Single source-list record</x:v>
      </x:c>
      <x:c r="E148" s="23" t="str">
        <x:v>Provisional: primary baseline pending</x:v>
      </x:c>
      <x:c r="F148" s="23" t="str">
        <x:v>Not assessed</x:v>
      </x:c>
      <x:c r="G148" s="23" t="str">
        <x:v>Not assessed</x:v>
      </x:c>
      <x:c r="H148" s="23" t="str">
        <x:v>Not assessed</x:v>
      </x:c>
      <x:c r="I148" s="23" t="str">
        <x:v>Not assessed</x:v>
      </x:c>
      <x:c r="J148" s="23" t="str">
        <x:v>Not started</x:v>
      </x:c>
      <x:c r="K148" s="23" t="str">
        <x:v>B29</x:v>
      </x:c>
      <x:c r="L148" s="23" t="str">
        <x:v>S02</x:v>
      </x:c>
      <x:c r="M148" s="23" t="str">
        <x:v>Notice 17; (22) West coasts of Central and South America</x:v>
      </x:c>
      <x:c r="N148" s="26" t="str">
        <x:v>https://www.scribd.com/document/1014775753/1-1-IMO-Adopted-Traffic-Separation-Schemes-on-the-ADMIRALTY-Chart-Series</x:v>
      </x:c>
      <x:c r="O148" s="23" t="str">
        <x:v>Not assessed</x:v>
      </x:c>
      <x:c r="P148" s="26" t="str">
        <x:v>Not assessed</x:v>
      </x:c>
      <x:c r="Q148" s="23" t="str">
        <x:v>2026-09-29</x:v>
      </x:c>
      <x:c r="R148" s="23" t="str">
        <x:v>Reconcile name, adoption, implementation and current status against the primary baseline.</x:v>
      </x:c>
    </x:row>
    <x:row r="149" ht="59" customHeight="1">
      <x:c r="A149" s="23" t="str">
        <x:v>TSS-144</x:v>
      </x:c>
      <x:c r="B149" s="23" t="str">
        <x:v>Central and South America Pacific coast</x:v>
      </x:c>
      <x:c r="C149" s="23" t="str">
        <x:v>In the Approaches to Iquique</x:v>
      </x:c>
      <x:c r="D149" s="23" t="str">
        <x:v>Single source-list record</x:v>
      </x:c>
      <x:c r="E149" s="23" t="str">
        <x:v>Provisional: primary baseline pending</x:v>
      </x:c>
      <x:c r="F149" s="23" t="str">
        <x:v>Not assessed</x:v>
      </x:c>
      <x:c r="G149" s="23" t="str">
        <x:v>Not assessed</x:v>
      </x:c>
      <x:c r="H149" s="23" t="str">
        <x:v>Not assessed</x:v>
      </x:c>
      <x:c r="I149" s="23" t="str">
        <x:v>Not assessed</x:v>
      </x:c>
      <x:c r="J149" s="23" t="str">
        <x:v>Not started</x:v>
      </x:c>
      <x:c r="K149" s="23" t="str">
        <x:v>B29</x:v>
      </x:c>
      <x:c r="L149" s="23" t="str">
        <x:v>S02</x:v>
      </x:c>
      <x:c r="M149" s="23" t="str">
        <x:v>Notice 17; (22) West coasts of Central and South America</x:v>
      </x:c>
      <x:c r="N149" s="26" t="str">
        <x:v>https://www.scribd.com/document/1014775753/1-1-IMO-Adopted-Traffic-Separation-Schemes-on-the-ADMIRALTY-Chart-Series</x:v>
      </x:c>
      <x:c r="O149" s="23" t="str">
        <x:v>Not assessed</x:v>
      </x:c>
      <x:c r="P149" s="26" t="str">
        <x:v>Not assessed</x:v>
      </x:c>
      <x:c r="Q149" s="23" t="str">
        <x:v>2026-09-29</x:v>
      </x:c>
      <x:c r="R149" s="23" t="str">
        <x:v>Reconcile name, adoption, implementation and current status against the primary baseline.</x:v>
      </x:c>
    </x:row>
    <x:row r="150" ht="59" customHeight="1">
      <x:c r="A150" s="23" t="str">
        <x:v>TSS-145</x:v>
      </x:c>
      <x:c r="B150" s="23" t="str">
        <x:v>Central and South America Pacific coast</x:v>
      </x:c>
      <x:c r="C150" s="23" t="str">
        <x:v>In the Approaches to Antofagasta</x:v>
      </x:c>
      <x:c r="D150" s="23" t="str">
        <x:v>Single source-list record</x:v>
      </x:c>
      <x:c r="E150" s="23" t="str">
        <x:v>Provisional: primary baseline pending</x:v>
      </x:c>
      <x:c r="F150" s="23" t="str">
        <x:v>Not assessed</x:v>
      </x:c>
      <x:c r="G150" s="23" t="str">
        <x:v>Not assessed</x:v>
      </x:c>
      <x:c r="H150" s="23" t="str">
        <x:v>Not assessed</x:v>
      </x:c>
      <x:c r="I150" s="23" t="str">
        <x:v>Not assessed</x:v>
      </x:c>
      <x:c r="J150" s="23" t="str">
        <x:v>Not started</x:v>
      </x:c>
      <x:c r="K150" s="23" t="str">
        <x:v>B29</x:v>
      </x:c>
      <x:c r="L150" s="23" t="str">
        <x:v>S02</x:v>
      </x:c>
      <x:c r="M150" s="23" t="str">
        <x:v>Notice 17; (22) West coasts of Central and South America</x:v>
      </x:c>
      <x:c r="N150" s="26" t="str">
        <x:v>https://www.scribd.com/document/1014775753/1-1-IMO-Adopted-Traffic-Separation-Schemes-on-the-ADMIRALTY-Chart-Series</x:v>
      </x:c>
      <x:c r="O150" s="23" t="str">
        <x:v>Not assessed</x:v>
      </x:c>
      <x:c r="P150" s="26" t="str">
        <x:v>Not assessed</x:v>
      </x:c>
      <x:c r="Q150" s="23" t="str">
        <x:v>2026-09-29</x:v>
      </x:c>
      <x:c r="R150" s="23" t="str">
        <x:v>Reconcile name, adoption, implementation and current status against the primary baseline.</x:v>
      </x:c>
    </x:row>
    <x:row r="151" ht="59" customHeight="1">
      <x:c r="A151" s="23" t="str">
        <x:v>TSS-146</x:v>
      </x:c>
      <x:c r="B151" s="23" t="str">
        <x:v>Central and South America Pacific coast</x:v>
      </x:c>
      <x:c r="C151" s="23" t="str">
        <x:v>In the Approaches to Quintero Bay</x:v>
      </x:c>
      <x:c r="D151" s="23" t="str">
        <x:v>Single source-list record</x:v>
      </x:c>
      <x:c r="E151" s="23" t="str">
        <x:v>Provisional: primary baseline pending</x:v>
      </x:c>
      <x:c r="F151" s="23" t="str">
        <x:v>Not assessed</x:v>
      </x:c>
      <x:c r="G151" s="23" t="str">
        <x:v>Not assessed</x:v>
      </x:c>
      <x:c r="H151" s="23" t="str">
        <x:v>Not assessed</x:v>
      </x:c>
      <x:c r="I151" s="23" t="str">
        <x:v>Not assessed</x:v>
      </x:c>
      <x:c r="J151" s="23" t="str">
        <x:v>Not started</x:v>
      </x:c>
      <x:c r="K151" s="23" t="str">
        <x:v>B30</x:v>
      </x:c>
      <x:c r="L151" s="23" t="str">
        <x:v>S02</x:v>
      </x:c>
      <x:c r="M151" s="23" t="str">
        <x:v>Notice 17; (22) West coasts of Central and South America</x:v>
      </x:c>
      <x:c r="N151" s="26" t="str">
        <x:v>https://www.scribd.com/document/1014775753/1-1-IMO-Adopted-Traffic-Separation-Schemes-on-the-ADMIRALTY-Chart-Series</x:v>
      </x:c>
      <x:c r="O151" s="23" t="str">
        <x:v>Not assessed</x:v>
      </x:c>
      <x:c r="P151" s="26" t="str">
        <x:v>Not assessed</x:v>
      </x:c>
      <x:c r="Q151" s="23" t="str">
        <x:v>2026-09-29</x:v>
      </x:c>
      <x:c r="R151" s="23" t="str">
        <x:v>Reconcile name, adoption, implementation and current status against the primary baseline.</x:v>
      </x:c>
    </x:row>
    <x:row r="152" ht="59" customHeight="1">
      <x:c r="A152" s="23" t="str">
        <x:v>TSS-147</x:v>
      </x:c>
      <x:c r="B152" s="23" t="str">
        <x:v>Central and South America Pacific coast</x:v>
      </x:c>
      <x:c r="C152" s="23" t="str">
        <x:v>In the Approaches to Valparaíso</x:v>
      </x:c>
      <x:c r="D152" s="23" t="str">
        <x:v>Single source-list record</x:v>
      </x:c>
      <x:c r="E152" s="23" t="str">
        <x:v>Provisional: primary baseline pending</x:v>
      </x:c>
      <x:c r="F152" s="23" t="str">
        <x:v>Not assessed</x:v>
      </x:c>
      <x:c r="G152" s="23" t="str">
        <x:v>Not assessed</x:v>
      </x:c>
      <x:c r="H152" s="23" t="str">
        <x:v>Not assessed</x:v>
      </x:c>
      <x:c r="I152" s="23" t="str">
        <x:v>Not assessed</x:v>
      </x:c>
      <x:c r="J152" s="23" t="str">
        <x:v>Not started</x:v>
      </x:c>
      <x:c r="K152" s="23" t="str">
        <x:v>B30</x:v>
      </x:c>
      <x:c r="L152" s="23" t="str">
        <x:v>S02</x:v>
      </x:c>
      <x:c r="M152" s="23" t="str">
        <x:v>Notice 17; (22) West coasts of Central and South America</x:v>
      </x:c>
      <x:c r="N152" s="26" t="str">
        <x:v>https://www.scribd.com/document/1014775753/1-1-IMO-Adopted-Traffic-Separation-Schemes-on-the-ADMIRALTY-Chart-Series</x:v>
      </x:c>
      <x:c r="O152" s="23" t="str">
        <x:v>Not assessed</x:v>
      </x:c>
      <x:c r="P152" s="26" t="str">
        <x:v>Not assessed</x:v>
      </x:c>
      <x:c r="Q152" s="23" t="str">
        <x:v>2026-09-29</x:v>
      </x:c>
      <x:c r="R152" s="23" t="str">
        <x:v>Reconcile name, adoption, implementation and current status against the primary baseline.</x:v>
      </x:c>
    </x:row>
    <x:row r="153" ht="59" customHeight="1">
      <x:c r="A153" s="23" t="str">
        <x:v>TSS-148</x:v>
      </x:c>
      <x:c r="B153" s="23" t="str">
        <x:v>Central and South America Pacific coast</x:v>
      </x:c>
      <x:c r="C153" s="23" t="str">
        <x:v>In the Approaches to Concepción Bay (Bahía Concepción)</x:v>
      </x:c>
      <x:c r="D153" s="23" t="str">
        <x:v>Single source-list record</x:v>
      </x:c>
      <x:c r="E153" s="23" t="str">
        <x:v>Provisional: primary baseline pending</x:v>
      </x:c>
      <x:c r="F153" s="23" t="str">
        <x:v>Not assessed</x:v>
      </x:c>
      <x:c r="G153" s="23" t="str">
        <x:v>Not assessed</x:v>
      </x:c>
      <x:c r="H153" s="23" t="str">
        <x:v>Not assessed</x:v>
      </x:c>
      <x:c r="I153" s="23" t="str">
        <x:v>Not assessed</x:v>
      </x:c>
      <x:c r="J153" s="23" t="str">
        <x:v>Not started</x:v>
      </x:c>
      <x:c r="K153" s="23" t="str">
        <x:v>B30</x:v>
      </x:c>
      <x:c r="L153" s="23" t="str">
        <x:v>S02</x:v>
      </x:c>
      <x:c r="M153" s="23" t="str">
        <x:v>Notice 17; (22) West coasts of Central and South America</x:v>
      </x:c>
      <x:c r="N153" s="26" t="str">
        <x:v>https://www.scribd.com/document/1014775753/1-1-IMO-Adopted-Traffic-Separation-Schemes-on-the-ADMIRALTY-Chart-Series</x:v>
      </x:c>
      <x:c r="O153" s="23" t="str">
        <x:v>Not assessed</x:v>
      </x:c>
      <x:c r="P153" s="26" t="str">
        <x:v>Not assessed</x:v>
      </x:c>
      <x:c r="Q153" s="23" t="str">
        <x:v>2026-09-29</x:v>
      </x:c>
      <x:c r="R153" s="23" t="str">
        <x:v>Reconcile name, adoption, implementation and current status against the primary baseline.</x:v>
      </x:c>
    </x:row>
    <x:row r="154" ht="59" customHeight="1">
      <x:c r="A154" s="23" t="str">
        <x:v>TSS-149</x:v>
      </x:c>
      <x:c r="B154" s="23" t="str">
        <x:v>Central and South America Pacific coast</x:v>
      </x:c>
      <x:c r="C154" s="23" t="str">
        <x:v>In the Approaches to San Vicente Bay (Bahía San Vicente)</x:v>
      </x:c>
      <x:c r="D154" s="23" t="str">
        <x:v>Single source-list record</x:v>
      </x:c>
      <x:c r="E154" s="23" t="str">
        <x:v>Provisional: primary baseline pending</x:v>
      </x:c>
      <x:c r="F154" s="23" t="str">
        <x:v>Not assessed</x:v>
      </x:c>
      <x:c r="G154" s="23" t="str">
        <x:v>Not assessed</x:v>
      </x:c>
      <x:c r="H154" s="23" t="str">
        <x:v>Not assessed</x:v>
      </x:c>
      <x:c r="I154" s="23" t="str">
        <x:v>Not assessed</x:v>
      </x:c>
      <x:c r="J154" s="23" t="str">
        <x:v>Not started</x:v>
      </x:c>
      <x:c r="K154" s="23" t="str">
        <x:v>B30</x:v>
      </x:c>
      <x:c r="L154" s="23" t="str">
        <x:v>S02</x:v>
      </x:c>
      <x:c r="M154" s="23" t="str">
        <x:v>Notice 17; (22) West coasts of Central and South America</x:v>
      </x:c>
      <x:c r="N154" s="26" t="str">
        <x:v>https://www.scribd.com/document/1014775753/1-1-IMO-Adopted-Traffic-Separation-Schemes-on-the-ADMIRALTY-Chart-Series</x:v>
      </x:c>
      <x:c r="O154" s="23" t="str">
        <x:v>Not assessed</x:v>
      </x:c>
      <x:c r="P154" s="26" t="str">
        <x:v>Not assessed</x:v>
      </x:c>
      <x:c r="Q154" s="23" t="str">
        <x:v>2026-09-29</x:v>
      </x:c>
      <x:c r="R154" s="23" t="str">
        <x:v>Reconcile name, adoption, implementation and current status against the primary baseline.</x:v>
      </x:c>
    </x:row>
    <x:row r="155" ht="59" customHeight="1">
      <x:c r="A155" s="23" t="str">
        <x:v>TSS-150</x:v>
      </x:c>
      <x:c r="B155" s="23" t="str">
        <x:v>Central and South America Pacific coast</x:v>
      </x:c>
      <x:c r="C155" s="23" t="str">
        <x:v>In the Approaches to Puntas Arenas</x:v>
      </x:c>
      <x:c r="D155" s="23" t="str">
        <x:v>Single source-list record</x:v>
      </x:c>
      <x:c r="E155" s="23" t="str">
        <x:v>Provisional: primary baseline pending</x:v>
      </x:c>
      <x:c r="F155" s="23" t="str">
        <x:v>Not assessed</x:v>
      </x:c>
      <x:c r="G155" s="23" t="str">
        <x:v>Not assessed</x:v>
      </x:c>
      <x:c r="H155" s="23" t="str">
        <x:v>Not assessed</x:v>
      </x:c>
      <x:c r="I155" s="23" t="str">
        <x:v>Not assessed</x:v>
      </x:c>
      <x:c r="J155" s="23" t="str">
        <x:v>Not started</x:v>
      </x:c>
      <x:c r="K155" s="23" t="str">
        <x:v>B30</x:v>
      </x:c>
      <x:c r="L155" s="23" t="str">
        <x:v>S02</x:v>
      </x:c>
      <x:c r="M155" s="23" t="str">
        <x:v>Notice 17; (22) West coasts of Central and South America</x:v>
      </x:c>
      <x:c r="N155" s="26" t="str">
        <x:v>https://www.scribd.com/document/1014775753/1-1-IMO-Adopted-Traffic-Separation-Schemes-on-the-ADMIRALTY-Chart-Series</x:v>
      </x:c>
      <x:c r="O155" s="23" t="str">
        <x:v>Not assessed</x:v>
      </x:c>
      <x:c r="P155" s="26" t="str">
        <x:v>Not assessed</x:v>
      </x:c>
      <x:c r="Q155" s="23" t="str">
        <x:v>2026-09-29</x:v>
      </x:c>
      <x:c r="R155" s="23" t="str">
        <x:v>Source transcription uses 'Puntas Arenas'. Verify official name before publication.</x:v>
      </x:c>
    </x:row>
    <x:row r="156" ht="59" customHeight="1">
      <x:c r="A156" s="23" t="str">
        <x:v>TSS-151</x:v>
      </x:c>
      <x:c r="B156" s="23" t="str">
        <x:v>Caribbean, Gulf of Mexico and Panama</x:v>
      </x:c>
      <x:c r="C156" s="23" t="str">
        <x:v>At the approaches to Puerto Cristobal</x:v>
      </x:c>
      <x:c r="D156" s="23" t="str">
        <x:v>Single source-list record</x:v>
      </x:c>
      <x:c r="E156" s="23" t="str">
        <x:v>Provisional: primary baseline pending</x:v>
      </x:c>
      <x:c r="F156" s="23" t="str">
        <x:v>Not assessed</x:v>
      </x:c>
      <x:c r="G156" s="23" t="str">
        <x:v>Not assessed</x:v>
      </x:c>
      <x:c r="H156" s="23" t="str">
        <x:v>Not assessed</x:v>
      </x:c>
      <x:c r="I156" s="23" t="str">
        <x:v>Not assessed</x:v>
      </x:c>
      <x:c r="J156" s="23" t="str">
        <x:v>Not started</x:v>
      </x:c>
      <x:c r="K156" s="23" t="str">
        <x:v>B31</x:v>
      </x:c>
      <x:c r="L156" s="23" t="str">
        <x:v>S02</x:v>
      </x:c>
      <x:c r="M156" s="23" t="str">
        <x:v>Notice 17; (22) West coasts of Central and South America</x:v>
      </x:c>
      <x:c r="N156" s="26" t="str">
        <x:v>https://www.scribd.com/document/1014775753/1-1-IMO-Adopted-Traffic-Separation-Schemes-on-the-ADMIRALTY-Chart-Series</x:v>
      </x:c>
      <x:c r="O156" s="23" t="str">
        <x:v>Not assessed</x:v>
      </x:c>
      <x:c r="P156" s="26" t="str">
        <x:v>Not assessed</x:v>
      </x:c>
      <x:c r="Q156" s="23" t="str">
        <x:v>2026-09-29</x:v>
      </x:c>
      <x:c r="R156" s="23" t="str">
        <x:v>Reclassified editorially into the Panama/Caribbean group; original source places it under west-coast Americas.</x:v>
      </x:c>
    </x:row>
    <x:row r="157" ht="59" customHeight="1">
      <x:c r="A157" s="23" t="str">
        <x:v>TSS-152</x:v>
      </x:c>
      <x:c r="B157" s="23" t="str">
        <x:v>Caribbean, Gulf of Mexico and Panama</x:v>
      </x:c>
      <x:c r="C157" s="23" t="str">
        <x:v>Off Cabo San Antonio</x:v>
      </x:c>
      <x:c r="D157" s="23" t="str">
        <x:v>Single source-list record</x:v>
      </x:c>
      <x:c r="E157" s="23" t="str">
        <x:v>Provisional: primary baseline pending</x:v>
      </x:c>
      <x:c r="F157" s="23" t="str">
        <x:v>Not assessed</x:v>
      </x:c>
      <x:c r="G157" s="23" t="str">
        <x:v>Not assessed</x:v>
      </x:c>
      <x:c r="H157" s="23" t="str">
        <x:v>Not assessed</x:v>
      </x:c>
      <x:c r="I157" s="23" t="str">
        <x:v>Not assessed</x:v>
      </x:c>
      <x:c r="J157" s="23" t="str">
        <x:v>Not started</x:v>
      </x:c>
      <x:c r="K157" s="23" t="str">
        <x:v>B31</x:v>
      </x:c>
      <x:c r="L157" s="23" t="str">
        <x:v>S02</x:v>
      </x:c>
      <x:c r="M157" s="23" t="str">
        <x:v>Notice 17; (25) Caribbean, West Indies and Gulf of Mexico</x:v>
      </x:c>
      <x:c r="N157" s="26" t="str">
        <x:v>https://www.scribd.com/document/1014775753/1-1-IMO-Adopted-Traffic-Separation-Schemes-on-the-ADMIRALTY-Chart-Series</x:v>
      </x:c>
      <x:c r="O157" s="23" t="str">
        <x:v>Not assessed</x:v>
      </x:c>
      <x:c r="P157" s="26" t="str">
        <x:v>Not assessed</x:v>
      </x:c>
      <x:c r="Q157" s="23" t="str">
        <x:v>2026-09-29</x:v>
      </x:c>
      <x:c r="R157" s="23" t="str">
        <x:v>Reconcile name, adoption, implementation and current status against the primary baseline.</x:v>
      </x:c>
    </x:row>
    <x:row r="158" ht="59" customHeight="1">
      <x:c r="A158" s="23" t="str">
        <x:v>TSS-153</x:v>
      </x:c>
      <x:c r="B158" s="23" t="str">
        <x:v>Caribbean, Gulf of Mexico and Panama</x:v>
      </x:c>
      <x:c r="C158" s="23" t="str">
        <x:v>Off La Tabla</x:v>
      </x:c>
      <x:c r="D158" s="23" t="str">
        <x:v>Single source-list record</x:v>
      </x:c>
      <x:c r="E158" s="23" t="str">
        <x:v>Provisional: primary baseline pending</x:v>
      </x:c>
      <x:c r="F158" s="23" t="str">
        <x:v>Not assessed</x:v>
      </x:c>
      <x:c r="G158" s="23" t="str">
        <x:v>Not assessed</x:v>
      </x:c>
      <x:c r="H158" s="23" t="str">
        <x:v>Not assessed</x:v>
      </x:c>
      <x:c r="I158" s="23" t="str">
        <x:v>Not assessed</x:v>
      </x:c>
      <x:c r="J158" s="23" t="str">
        <x:v>Not started</x:v>
      </x:c>
      <x:c r="K158" s="23" t="str">
        <x:v>B31</x:v>
      </x:c>
      <x:c r="L158" s="23" t="str">
        <x:v>S02</x:v>
      </x:c>
      <x:c r="M158" s="23" t="str">
        <x:v>Notice 17; (25) Caribbean, West Indies and Gulf of Mexico</x:v>
      </x:c>
      <x:c r="N158" s="26" t="str">
        <x:v>https://www.scribd.com/document/1014775753/1-1-IMO-Adopted-Traffic-Separation-Schemes-on-the-ADMIRALTY-Chart-Series</x:v>
      </x:c>
      <x:c r="O158" s="23" t="str">
        <x:v>Not assessed</x:v>
      </x:c>
      <x:c r="P158" s="26" t="str">
        <x:v>Not assessed</x:v>
      </x:c>
      <x:c r="Q158" s="23" t="str">
        <x:v>2026-09-29</x:v>
      </x:c>
      <x:c r="R158" s="23" t="str">
        <x:v>Reconcile name, adoption, implementation and current status against the primary baseline.</x:v>
      </x:c>
    </x:row>
    <x:row r="159" ht="59" customHeight="1">
      <x:c r="A159" s="23" t="str">
        <x:v>TSS-154</x:v>
      </x:c>
      <x:c r="B159" s="23" t="str">
        <x:v>Caribbean, Gulf of Mexico and Panama</x:v>
      </x:c>
      <x:c r="C159" s="23" t="str">
        <x:v>Off Costa de Matanzas</x:v>
      </x:c>
      <x:c r="D159" s="23" t="str">
        <x:v>Single source-list record</x:v>
      </x:c>
      <x:c r="E159" s="23" t="str">
        <x:v>Provisional: primary baseline pending</x:v>
      </x:c>
      <x:c r="F159" s="23" t="str">
        <x:v>Not assessed</x:v>
      </x:c>
      <x:c r="G159" s="23" t="str">
        <x:v>Not assessed</x:v>
      </x:c>
      <x:c r="H159" s="23" t="str">
        <x:v>Not assessed</x:v>
      </x:c>
      <x:c r="I159" s="23" t="str">
        <x:v>Not assessed</x:v>
      </x:c>
      <x:c r="J159" s="23" t="str">
        <x:v>Not started</x:v>
      </x:c>
      <x:c r="K159" s="23" t="str">
        <x:v>B31</x:v>
      </x:c>
      <x:c r="L159" s="23" t="str">
        <x:v>S02</x:v>
      </x:c>
      <x:c r="M159" s="23" t="str">
        <x:v>Notice 17; (25) Caribbean, West Indies and Gulf of Mexico</x:v>
      </x:c>
      <x:c r="N159" s="26" t="str">
        <x:v>https://www.scribd.com/document/1014775753/1-1-IMO-Adopted-Traffic-Separation-Schemes-on-the-ADMIRALTY-Chart-Series</x:v>
      </x:c>
      <x:c r="O159" s="23" t="str">
        <x:v>Not assessed</x:v>
      </x:c>
      <x:c r="P159" s="26" t="str">
        <x:v>Not assessed</x:v>
      </x:c>
      <x:c r="Q159" s="23" t="str">
        <x:v>2026-09-29</x:v>
      </x:c>
      <x:c r="R159" s="23" t="str">
        <x:v>Reconcile name, adoption, implementation and current status against the primary baseline.</x:v>
      </x:c>
    </x:row>
    <x:row r="160" ht="59" customHeight="1">
      <x:c r="A160" s="23" t="str">
        <x:v>TSS-155</x:v>
      </x:c>
      <x:c r="B160" s="23" t="str">
        <x:v>Caribbean, Gulf of Mexico and Panama</x:v>
      </x:c>
      <x:c r="C160" s="23" t="str">
        <x:v>In the Old Bahama Channel</x:v>
      </x:c>
      <x:c r="D160" s="23" t="str">
        <x:v>Single source-list record</x:v>
      </x:c>
      <x:c r="E160" s="23" t="str">
        <x:v>Provisional: primary baseline pending</x:v>
      </x:c>
      <x:c r="F160" s="23" t="str">
        <x:v>Not assessed</x:v>
      </x:c>
      <x:c r="G160" s="23" t="str">
        <x:v>Not assessed</x:v>
      </x:c>
      <x:c r="H160" s="23" t="str">
        <x:v>Not assessed</x:v>
      </x:c>
      <x:c r="I160" s="23" t="str">
        <x:v>Not assessed</x:v>
      </x:c>
      <x:c r="J160" s="23" t="str">
        <x:v>Not started</x:v>
      </x:c>
      <x:c r="K160" s="23" t="str">
        <x:v>B31</x:v>
      </x:c>
      <x:c r="L160" s="23" t="str">
        <x:v>S02</x:v>
      </x:c>
      <x:c r="M160" s="23" t="str">
        <x:v>Notice 17; (25) Caribbean, West Indies and Gulf of Mexico</x:v>
      </x:c>
      <x:c r="N160" s="26" t="str">
        <x:v>https://www.scribd.com/document/1014775753/1-1-IMO-Adopted-Traffic-Separation-Schemes-on-the-ADMIRALTY-Chart-Series</x:v>
      </x:c>
      <x:c r="O160" s="23" t="str">
        <x:v>Not assessed</x:v>
      </x:c>
      <x:c r="P160" s="26" t="str">
        <x:v>Not assessed</x:v>
      </x:c>
      <x:c r="Q160" s="23" t="str">
        <x:v>2026-09-29</x:v>
      </x:c>
      <x:c r="R160" s="23" t="str">
        <x:v>Reconcile name, adoption, implementation and current status against the primary baseline.</x:v>
      </x:c>
    </x:row>
    <x:row r="161" ht="59" customHeight="1">
      <x:c r="A161" s="23" t="str">
        <x:v>TSS-156</x:v>
      </x:c>
      <x:c r="B161" s="23" t="str">
        <x:v>Caribbean, Gulf of Mexico and Panama</x:v>
      </x:c>
      <x:c r="C161" s="23" t="str">
        <x:v>Off Punta Maternillos</x:v>
      </x:c>
      <x:c r="D161" s="23" t="str">
        <x:v>Single source-list record</x:v>
      </x:c>
      <x:c r="E161" s="23" t="str">
        <x:v>Provisional: primary baseline pending</x:v>
      </x:c>
      <x:c r="F161" s="23" t="str">
        <x:v>Not assessed</x:v>
      </x:c>
      <x:c r="G161" s="23" t="str">
        <x:v>Not assessed</x:v>
      </x:c>
      <x:c r="H161" s="23" t="str">
        <x:v>Not assessed</x:v>
      </x:c>
      <x:c r="I161" s="23" t="str">
        <x:v>Not assessed</x:v>
      </x:c>
      <x:c r="J161" s="23" t="str">
        <x:v>Not started</x:v>
      </x:c>
      <x:c r="K161" s="23" t="str">
        <x:v>B32</x:v>
      </x:c>
      <x:c r="L161" s="23" t="str">
        <x:v>S02</x:v>
      </x:c>
      <x:c r="M161" s="23" t="str">
        <x:v>Notice 17; (25) Caribbean, West Indies and Gulf of Mexico</x:v>
      </x:c>
      <x:c r="N161" s="26" t="str">
        <x:v>https://www.scribd.com/document/1014775753/1-1-IMO-Adopted-Traffic-Separation-Schemes-on-the-ADMIRALTY-Chart-Series</x:v>
      </x:c>
      <x:c r="O161" s="23" t="str">
        <x:v>Not assessed</x:v>
      </x:c>
      <x:c r="P161" s="26" t="str">
        <x:v>Not assessed</x:v>
      </x:c>
      <x:c r="Q161" s="23" t="str">
        <x:v>2026-09-29</x:v>
      </x:c>
      <x:c r="R161" s="23" t="str">
        <x:v>Reconcile name, adoption, implementation and current status against the primary baseline.</x:v>
      </x:c>
    </x:row>
    <x:row r="162" ht="59" customHeight="1">
      <x:c r="A162" s="23" t="str">
        <x:v>TSS-157</x:v>
      </x:c>
      <x:c r="B162" s="23" t="str">
        <x:v>Caribbean, Gulf of Mexico and Panama</x:v>
      </x:c>
      <x:c r="C162" s="23" t="str">
        <x:v>Off Punta Lucretia</x:v>
      </x:c>
      <x:c r="D162" s="23" t="str">
        <x:v>Single source-list record</x:v>
      </x:c>
      <x:c r="E162" s="23" t="str">
        <x:v>Provisional: primary baseline pending</x:v>
      </x:c>
      <x:c r="F162" s="23" t="str">
        <x:v>Not assessed</x:v>
      </x:c>
      <x:c r="G162" s="23" t="str">
        <x:v>Not assessed</x:v>
      </x:c>
      <x:c r="H162" s="23" t="str">
        <x:v>Not assessed</x:v>
      </x:c>
      <x:c r="I162" s="23" t="str">
        <x:v>Not assessed</x:v>
      </x:c>
      <x:c r="J162" s="23" t="str">
        <x:v>Not started</x:v>
      </x:c>
      <x:c r="K162" s="23" t="str">
        <x:v>B32</x:v>
      </x:c>
      <x:c r="L162" s="23" t="str">
        <x:v>S02</x:v>
      </x:c>
      <x:c r="M162" s="23" t="str">
        <x:v>Notice 17; (25) Caribbean, West Indies and Gulf of Mexico</x:v>
      </x:c>
      <x:c r="N162" s="26" t="str">
        <x:v>https://www.scribd.com/document/1014775753/1-1-IMO-Adopted-Traffic-Separation-Schemes-on-the-ADMIRALTY-Chart-Series</x:v>
      </x:c>
      <x:c r="O162" s="23" t="str">
        <x:v>Not assessed</x:v>
      </x:c>
      <x:c r="P162" s="26" t="str">
        <x:v>Not assessed</x:v>
      </x:c>
      <x:c r="Q162" s="23" t="str">
        <x:v>2026-09-29</x:v>
      </x:c>
      <x:c r="R162" s="23" t="str">
        <x:v>Reconcile name, adoption, implementation and current status against the primary baseline.</x:v>
      </x:c>
    </x:row>
    <x:row r="163" ht="59" customHeight="1">
      <x:c r="A163" s="23" t="str">
        <x:v>TSS-158</x:v>
      </x:c>
      <x:c r="B163" s="23" t="str">
        <x:v>Caribbean, Gulf of Mexico and Panama</x:v>
      </x:c>
      <x:c r="C163" s="23" t="str">
        <x:v>Off Cabo Maisi</x:v>
      </x:c>
      <x:c r="D163" s="23" t="str">
        <x:v>Single source-list record</x:v>
      </x:c>
      <x:c r="E163" s="23" t="str">
        <x:v>Provisional: primary baseline pending</x:v>
      </x:c>
      <x:c r="F163" s="23" t="str">
        <x:v>Not assessed</x:v>
      </x:c>
      <x:c r="G163" s="23" t="str">
        <x:v>Not assessed</x:v>
      </x:c>
      <x:c r="H163" s="23" t="str">
        <x:v>Not assessed</x:v>
      </x:c>
      <x:c r="I163" s="23" t="str">
        <x:v>Not assessed</x:v>
      </x:c>
      <x:c r="J163" s="23" t="str">
        <x:v>Not started</x:v>
      </x:c>
      <x:c r="K163" s="23" t="str">
        <x:v>B32</x:v>
      </x:c>
      <x:c r="L163" s="23" t="str">
        <x:v>S02</x:v>
      </x:c>
      <x:c r="M163" s="23" t="str">
        <x:v>Notice 17; (25) Caribbean, West Indies and Gulf of Mexico</x:v>
      </x:c>
      <x:c r="N163" s="26" t="str">
        <x:v>https://www.scribd.com/document/1014775753/1-1-IMO-Adopted-Traffic-Separation-Schemes-on-the-ADMIRALTY-Chart-Series</x:v>
      </x:c>
      <x:c r="O163" s="23" t="str">
        <x:v>Not assessed</x:v>
      </x:c>
      <x:c r="P163" s="26" t="str">
        <x:v>Not assessed</x:v>
      </x:c>
      <x:c r="Q163" s="23" t="str">
        <x:v>2026-09-29</x:v>
      </x:c>
      <x:c r="R163" s="23" t="str">
        <x:v>Reconcile name, adoption, implementation and current status against the primary baseline.</x:v>
      </x:c>
    </x:row>
    <x:row r="164" ht="59" customHeight="1">
      <x:c r="A164" s="23" t="str">
        <x:v>TSS-159</x:v>
      </x:c>
      <x:c r="B164" s="23" t="str">
        <x:v>Caribbean, Gulf of Mexico and Panama</x:v>
      </x:c>
      <x:c r="C164" s="23" t="str">
        <x:v>In the Approaches to the Port of Veracruz</x:v>
      </x:c>
      <x:c r="D164" s="23" t="str">
        <x:v>Single source-list record</x:v>
      </x:c>
      <x:c r="E164" s="23" t="str">
        <x:v>Provisional: primary baseline pending</x:v>
      </x:c>
      <x:c r="F164" s="23" t="str">
        <x:v>Not assessed</x:v>
      </x:c>
      <x:c r="G164" s="23" t="str">
        <x:v>Not assessed</x:v>
      </x:c>
      <x:c r="H164" s="23" t="str">
        <x:v>Not assessed</x:v>
      </x:c>
      <x:c r="I164" s="23" t="str">
        <x:v>Not assessed</x:v>
      </x:c>
      <x:c r="J164" s="23" t="str">
        <x:v>Not started</x:v>
      </x:c>
      <x:c r="K164" s="23" t="str">
        <x:v>B32</x:v>
      </x:c>
      <x:c r="L164" s="23" t="str">
        <x:v>S02</x:v>
      </x:c>
      <x:c r="M164" s="23" t="str">
        <x:v>Notice 17; (25) Caribbean, West Indies and Gulf of Mexico</x:v>
      </x:c>
      <x:c r="N164" s="26" t="str">
        <x:v>https://www.scribd.com/document/1014775753/1-1-IMO-Adopted-Traffic-Separation-Schemes-on-the-ADMIRALTY-Chart-Series</x:v>
      </x:c>
      <x:c r="O164" s="23" t="str">
        <x:v>Not assessed</x:v>
      </x:c>
      <x:c r="P164" s="26" t="str">
        <x:v>Not assessed</x:v>
      </x:c>
      <x:c r="Q164" s="23" t="str">
        <x:v>2026-09-29</x:v>
      </x:c>
      <x:c r="R164" s="23" t="str">
        <x:v>Reconcile name, adoption, implementation and current status against the primary baseline.</x:v>
      </x:c>
    </x:row>
    <x:row r="165" ht="59" customHeight="1">
      <x:c r="A165" s="23" t="str">
        <x:v>TSS-160</x:v>
      </x:c>
      <x:c r="B165" s="23" t="str">
        <x:v>Caribbean, Gulf of Mexico and Panama</x:v>
      </x:c>
      <x:c r="C165" s="23" t="str">
        <x:v>In the Approaches to Galveston Bay</x:v>
      </x:c>
      <x:c r="D165" s="23" t="str">
        <x:v>Single source-list record</x:v>
      </x:c>
      <x:c r="E165" s="23" t="str">
        <x:v>Provisional: primary baseline pending</x:v>
      </x:c>
      <x:c r="F165" s="23" t="str">
        <x:v>Service lead found</x:v>
      </x:c>
      <x:c r="G165" s="23" t="str">
        <x:v>VTS-013</x:v>
      </x:c>
      <x:c r="H165" s="23" t="str">
        <x:v>Not assessed</x:v>
      </x:c>
      <x:c r="I165" s="23" t="str">
        <x:v>Not assessed</x:v>
      </x:c>
      <x:c r="J165" s="23" t="str">
        <x:v>Initial screening</x:v>
      </x:c>
      <x:c r="K165" s="23" t="str">
        <x:v>B32</x:v>
      </x:c>
      <x:c r="L165" s="23" t="str">
        <x:v>S02</x:v>
      </x:c>
      <x:c r="M165" s="23" t="str">
        <x:v>Notice 17; (25) Caribbean, West Indies and Gulf of Mexico</x:v>
      </x:c>
      <x:c r="N165" s="26" t="str">
        <x:v>https://www.scribd.com/document/1014775753/1-1-IMO-Adopted-Traffic-Separation-Schemes-on-the-ADMIRALTY-Chart-Series</x:v>
      </x:c>
      <x:c r="O165" s="23" t="str">
        <x:v>S11</x:v>
      </x:c>
      <x:c r="P165" s="26" t="str">
        <x:v>https://www.navcen.uscg.gov/vessel-traffic-services-locations</x:v>
      </x:c>
      <x:c r="Q165" s="23" t="str">
        <x:v>2026-09-29</x:v>
      </x:c>
      <x:c r="R165" s="23" t="str">
        <x:v>Reconcile name, adoption, implementation and current status against the primary baseline.</x:v>
      </x:c>
    </x:row>
    <x:row r="166" ht="59" customHeight="1">
      <x:c r="A166" s="23" t="str">
        <x:v>TSS-161</x:v>
      </x:c>
      <x:c r="B166" s="23" t="str">
        <x:v>Caribbean, Gulf of Mexico and Panama</x:v>
      </x:c>
      <x:c r="C166" s="23" t="str">
        <x:v>On the Pacific Coast of Panama</x:v>
      </x:c>
      <x:c r="D166" s="23" t="str">
        <x:v>Grouping check required</x:v>
      </x:c>
      <x:c r="E166" s="23" t="str">
        <x:v>Provisional: primary baseline pending</x:v>
      </x:c>
      <x:c r="F166" s="23" t="str">
        <x:v>Not assessed</x:v>
      </x:c>
      <x:c r="G166" s="23" t="str">
        <x:v>Not assessed</x:v>
      </x:c>
      <x:c r="H166" s="23" t="str">
        <x:v>Not assessed</x:v>
      </x:c>
      <x:c r="I166" s="23" t="str">
        <x:v>Not assessed</x:v>
      </x:c>
      <x:c r="J166" s="23" t="str">
        <x:v>Not started</x:v>
      </x:c>
      <x:c r="K166" s="23" t="str">
        <x:v>B33</x:v>
      </x:c>
      <x:c r="L166" s="23" t="str">
        <x:v>S02</x:v>
      </x:c>
      <x:c r="M166" s="23" t="str">
        <x:v>Notice 17; (25) Caribbean, West Indies and Gulf of Mexico</x:v>
      </x:c>
      <x:c r="N166" s="26" t="str">
        <x:v>https://www.scribd.com/document/1014775753/1-1-IMO-Adopted-Traffic-Separation-Schemes-on-the-ADMIRALTY-Chart-Series</x:v>
      </x:c>
      <x:c r="O166" s="23" t="str">
        <x:v>Not assessed</x:v>
      </x:c>
      <x:c r="P166" s="26" t="str">
        <x:v>Not assessed</x:v>
      </x:c>
      <x:c r="Q166" s="23" t="str">
        <x:v>2026-09-29</x:v>
      </x:c>
      <x:c r="R166" s="23" t="str">
        <x:v>Regional coastal heading. Check granularity and Pacific/Atlantic Panama distinctions. Pacific Panama entry remains with the Panama corridor group for this working inventory.</x:v>
      </x:c>
    </x:row>
    <x:row r="167" ht="59" customHeight="1">
      <x:c r="A167" s="23" t="str">
        <x:v>TSS-162</x:v>
      </x:c>
      <x:c r="B167" s="23" t="str">
        <x:v>North America Atlantic coast</x:v>
      </x:c>
      <x:c r="C167" s="23" t="str">
        <x:v>In the Approaches to the Cape Fear River</x:v>
      </x:c>
      <x:c r="D167" s="23" t="str">
        <x:v>Single source-list record</x:v>
      </x:c>
      <x:c r="E167" s="23" t="str">
        <x:v>Provisional: primary baseline pending</x:v>
      </x:c>
      <x:c r="F167" s="23" t="str">
        <x:v>Not assessed</x:v>
      </x:c>
      <x:c r="G167" s="23" t="str">
        <x:v>Not assessed</x:v>
      </x:c>
      <x:c r="H167" s="23" t="str">
        <x:v>Not assessed</x:v>
      </x:c>
      <x:c r="I167" s="23" t="str">
        <x:v>Not assessed</x:v>
      </x:c>
      <x:c r="J167" s="23" t="str">
        <x:v>Not started</x:v>
      </x:c>
      <x:c r="K167" s="23" t="str">
        <x:v>B33</x:v>
      </x:c>
      <x:c r="L167" s="23" t="str">
        <x:v>S02</x:v>
      </x:c>
      <x:c r="M167" s="23" t="str">
        <x:v>Notice 17; (26) East coast of North America and Greenland</x:v>
      </x:c>
      <x:c r="N167" s="26" t="str">
        <x:v>https://www.scribd.com/document/1014775753/1-1-IMO-Adopted-Traffic-Separation-Schemes-on-the-ADMIRALTY-Chart-Series</x:v>
      </x:c>
      <x:c r="O167" s="23" t="str">
        <x:v>Not assessed</x:v>
      </x:c>
      <x:c r="P167" s="26" t="str">
        <x:v>Not assessed</x:v>
      </x:c>
      <x:c r="Q167" s="23" t="str">
        <x:v>2026-09-29</x:v>
      </x:c>
      <x:c r="R167" s="23" t="str">
        <x:v>Reconcile name, adoption, implementation and current status against the primary baseline.</x:v>
      </x:c>
    </x:row>
    <x:row r="168" ht="59" customHeight="1">
      <x:c r="A168" s="23" t="str">
        <x:v>TSS-163</x:v>
      </x:c>
      <x:c r="B168" s="23" t="str">
        <x:v>North America Atlantic coast</x:v>
      </x:c>
      <x:c r="C168" s="23" t="str">
        <x:v>In the Approaches to Chesapeake Bay</x:v>
      </x:c>
      <x:c r="D168" s="23" t="str">
        <x:v>Single source-list record</x:v>
      </x:c>
      <x:c r="E168" s="23" t="str">
        <x:v>Provisional: primary baseline pending</x:v>
      </x:c>
      <x:c r="F168" s="23" t="str">
        <x:v>Not assessed</x:v>
      </x:c>
      <x:c r="G168" s="23" t="str">
        <x:v>Not assessed</x:v>
      </x:c>
      <x:c r="H168" s="23" t="str">
        <x:v>Not assessed</x:v>
      </x:c>
      <x:c r="I168" s="23" t="str">
        <x:v>Not assessed</x:v>
      </x:c>
      <x:c r="J168" s="23" t="str">
        <x:v>Not started</x:v>
      </x:c>
      <x:c r="K168" s="23" t="str">
        <x:v>B33</x:v>
      </x:c>
      <x:c r="L168" s="23" t="str">
        <x:v>S02</x:v>
      </x:c>
      <x:c r="M168" s="23" t="str">
        <x:v>Notice 17; (26) East coast of North America and Greenland</x:v>
      </x:c>
      <x:c r="N168" s="26" t="str">
        <x:v>https://www.scribd.com/document/1014775753/1-1-IMO-Adopted-Traffic-Separation-Schemes-on-the-ADMIRALTY-Chart-Series</x:v>
      </x:c>
      <x:c r="O168" s="23" t="str">
        <x:v>Not assessed</x:v>
      </x:c>
      <x:c r="P168" s="26" t="str">
        <x:v>Not assessed</x:v>
      </x:c>
      <x:c r="Q168" s="23" t="str">
        <x:v>2026-09-29</x:v>
      </x:c>
      <x:c r="R168" s="23" t="str">
        <x:v>Reconcile name, adoption, implementation and current status against the primary baseline.</x:v>
      </x:c>
    </x:row>
    <x:row r="169" ht="59" customHeight="1">
      <x:c r="A169" s="23" t="str">
        <x:v>TSS-164</x:v>
      </x:c>
      <x:c r="B169" s="23" t="str">
        <x:v>North America Atlantic coast</x:v>
      </x:c>
      <x:c r="C169" s="23" t="str">
        <x:v>Off Delaware Bay</x:v>
      </x:c>
      <x:c r="D169" s="23" t="str">
        <x:v>Single source-list record</x:v>
      </x:c>
      <x:c r="E169" s="23" t="str">
        <x:v>Provisional: primary baseline pending</x:v>
      </x:c>
      <x:c r="F169" s="23" t="str">
        <x:v>Not assessed</x:v>
      </x:c>
      <x:c r="G169" s="23" t="str">
        <x:v>Not assessed</x:v>
      </x:c>
      <x:c r="H169" s="23" t="str">
        <x:v>Not assessed</x:v>
      </x:c>
      <x:c r="I169" s="23" t="str">
        <x:v>Not assessed</x:v>
      </x:c>
      <x:c r="J169" s="23" t="str">
        <x:v>Not started</x:v>
      </x:c>
      <x:c r="K169" s="23" t="str">
        <x:v>B33</x:v>
      </x:c>
      <x:c r="L169" s="23" t="str">
        <x:v>S02</x:v>
      </x:c>
      <x:c r="M169" s="23" t="str">
        <x:v>Notice 17; (26) East coast of North America and Greenland</x:v>
      </x:c>
      <x:c r="N169" s="26" t="str">
        <x:v>https://www.scribd.com/document/1014775753/1-1-IMO-Adopted-Traffic-Separation-Schemes-on-the-ADMIRALTY-Chart-Series</x:v>
      </x:c>
      <x:c r="O169" s="23" t="str">
        <x:v>Not assessed</x:v>
      </x:c>
      <x:c r="P169" s="26" t="str">
        <x:v>Not assessed</x:v>
      </x:c>
      <x:c r="Q169" s="23" t="str">
        <x:v>2026-09-29</x:v>
      </x:c>
      <x:c r="R169" s="23" t="str">
        <x:v>Reconcile name, adoption, implementation and current status against the primary baseline.</x:v>
      </x:c>
    </x:row>
    <x:row r="170" ht="59" customHeight="1">
      <x:c r="A170" s="23" t="str">
        <x:v>TSS-165</x:v>
      </x:c>
      <x:c r="B170" s="23" t="str">
        <x:v>North America Atlantic coast</x:v>
      </x:c>
      <x:c r="C170" s="23" t="str">
        <x:v>Off New York</x:v>
      </x:c>
      <x:c r="D170" s="23" t="str">
        <x:v>Single source-list record</x:v>
      </x:c>
      <x:c r="E170" s="23" t="str">
        <x:v>Provisional: primary baseline pending</x:v>
      </x:c>
      <x:c r="F170" s="23" t="str">
        <x:v>Service lead found</x:v>
      </x:c>
      <x:c r="G170" s="23" t="str">
        <x:v>VTS-014</x:v>
      </x:c>
      <x:c r="H170" s="23" t="str">
        <x:v>Not assessed</x:v>
      </x:c>
      <x:c r="I170" s="23" t="str">
        <x:v>Not assessed</x:v>
      </x:c>
      <x:c r="J170" s="23" t="str">
        <x:v>Initial screening</x:v>
      </x:c>
      <x:c r="K170" s="23" t="str">
        <x:v>B33</x:v>
      </x:c>
      <x:c r="L170" s="23" t="str">
        <x:v>S02</x:v>
      </x:c>
      <x:c r="M170" s="23" t="str">
        <x:v>Notice 17; (26) East coast of North America and Greenland</x:v>
      </x:c>
      <x:c r="N170" s="26" t="str">
        <x:v>https://www.scribd.com/document/1014775753/1-1-IMO-Adopted-Traffic-Separation-Schemes-on-the-ADMIRALTY-Chart-Series</x:v>
      </x:c>
      <x:c r="O170" s="23" t="str">
        <x:v>S11</x:v>
      </x:c>
      <x:c r="P170" s="26" t="str">
        <x:v>https://www.navcen.uscg.gov/vessel-traffic-services-locations</x:v>
      </x:c>
      <x:c r="Q170" s="23" t="str">
        <x:v>2026-09-29</x:v>
      </x:c>
      <x:c r="R170" s="23" t="str">
        <x:v>Reconcile name, adoption, implementation and current status against the primary baseline.</x:v>
      </x:c>
    </x:row>
    <x:row r="171" ht="59" customHeight="1">
      <x:c r="A171" s="23" t="str">
        <x:v>TSS-166</x:v>
      </x:c>
      <x:c r="B171" s="23" t="str">
        <x:v>North America Atlantic coast</x:v>
      </x:c>
      <x:c r="C171" s="23" t="str">
        <x:v>In the Approaches to Narragansett Bay, Rhode Island and Buzzards Bay, Massachusetts</x:v>
      </x:c>
      <x:c r="D171" s="23" t="str">
        <x:v>Single source-list record</x:v>
      </x:c>
      <x:c r="E171" s="23" t="str">
        <x:v>Provisional: primary baseline pending</x:v>
      </x:c>
      <x:c r="F171" s="23" t="str">
        <x:v>Not assessed</x:v>
      </x:c>
      <x:c r="G171" s="23" t="str">
        <x:v>Not assessed</x:v>
      </x:c>
      <x:c r="H171" s="23" t="str">
        <x:v>Not assessed</x:v>
      </x:c>
      <x:c r="I171" s="23" t="str">
        <x:v>Not assessed</x:v>
      </x:c>
      <x:c r="J171" s="23" t="str">
        <x:v>Not started</x:v>
      </x:c>
      <x:c r="K171" s="23" t="str">
        <x:v>B34</x:v>
      </x:c>
      <x:c r="L171" s="23" t="str">
        <x:v>S02</x:v>
      </x:c>
      <x:c r="M171" s="23" t="str">
        <x:v>Notice 17; (26) East coast of North America and Greenland</x:v>
      </x:c>
      <x:c r="N171" s="26" t="str">
        <x:v>https://www.scribd.com/document/1014775753/1-1-IMO-Adopted-Traffic-Separation-Schemes-on-the-ADMIRALTY-Chart-Series</x:v>
      </x:c>
      <x:c r="O171" s="23" t="str">
        <x:v>Not assessed</x:v>
      </x:c>
      <x:c r="P171" s="26" t="str">
        <x:v>Not assessed</x:v>
      </x:c>
      <x:c r="Q171" s="23" t="str">
        <x:v>2026-09-29</x:v>
      </x:c>
      <x:c r="R171" s="23" t="str">
        <x:v>Reconcile name, adoption, implementation and current status against the primary baseline.</x:v>
      </x:c>
    </x:row>
    <x:row r="172" ht="59" customHeight="1">
      <x:c r="A172" s="23" t="str">
        <x:v>TSS-167</x:v>
      </x:c>
      <x:c r="B172" s="23" t="str">
        <x:v>North America Atlantic coast</x:v>
      </x:c>
      <x:c r="C172" s="23" t="str">
        <x:v>In the Approaches to Boston, Massachusetts</x:v>
      </x:c>
      <x:c r="D172" s="23" t="str">
        <x:v>Single source-list record</x:v>
      </x:c>
      <x:c r="E172" s="23" t="str">
        <x:v>Provisional: primary baseline pending</x:v>
      </x:c>
      <x:c r="F172" s="23" t="str">
        <x:v>Not assessed</x:v>
      </x:c>
      <x:c r="G172" s="23" t="str">
        <x:v>Not assessed</x:v>
      </x:c>
      <x:c r="H172" s="23" t="str">
        <x:v>Not assessed</x:v>
      </x:c>
      <x:c r="I172" s="23" t="str">
        <x:v>Not assessed</x:v>
      </x:c>
      <x:c r="J172" s="23" t="str">
        <x:v>Not started</x:v>
      </x:c>
      <x:c r="K172" s="23" t="str">
        <x:v>B34</x:v>
      </x:c>
      <x:c r="L172" s="23" t="str">
        <x:v>S02</x:v>
      </x:c>
      <x:c r="M172" s="23" t="str">
        <x:v>Notice 17; (26) East coast of North America and Greenland</x:v>
      </x:c>
      <x:c r="N172" s="26" t="str">
        <x:v>https://www.scribd.com/document/1014775753/1-1-IMO-Adopted-Traffic-Separation-Schemes-on-the-ADMIRALTY-Chart-Series</x:v>
      </x:c>
      <x:c r="O172" s="23" t="str">
        <x:v>Not assessed</x:v>
      </x:c>
      <x:c r="P172" s="26" t="str">
        <x:v>Not assessed</x:v>
      </x:c>
      <x:c r="Q172" s="23" t="str">
        <x:v>2026-09-29</x:v>
      </x:c>
      <x:c r="R172" s="23" t="str">
        <x:v>Reconcile name, adoption, implementation and current status against the primary baseline.</x:v>
      </x:c>
    </x:row>
    <x:row r="173" ht="59" customHeight="1">
      <x:c r="A173" s="23" t="str">
        <x:v>TSS-168</x:v>
      </x:c>
      <x:c r="B173" s="23" t="str">
        <x:v>North America Atlantic coast</x:v>
      </x:c>
      <x:c r="C173" s="23" t="str">
        <x:v>In the Approaches to Portland, Maine</x:v>
      </x:c>
      <x:c r="D173" s="23" t="str">
        <x:v>Single source-list record</x:v>
      </x:c>
      <x:c r="E173" s="23" t="str">
        <x:v>Provisional: primary baseline pending</x:v>
      </x:c>
      <x:c r="F173" s="23" t="str">
        <x:v>Not assessed</x:v>
      </x:c>
      <x:c r="G173" s="23" t="str">
        <x:v>Not assessed</x:v>
      </x:c>
      <x:c r="H173" s="23" t="str">
        <x:v>Not assessed</x:v>
      </x:c>
      <x:c r="I173" s="23" t="str">
        <x:v>Not assessed</x:v>
      </x:c>
      <x:c r="J173" s="23" t="str">
        <x:v>Not started</x:v>
      </x:c>
      <x:c r="K173" s="23" t="str">
        <x:v>B34</x:v>
      </x:c>
      <x:c r="L173" s="23" t="str">
        <x:v>S02</x:v>
      </x:c>
      <x:c r="M173" s="23" t="str">
        <x:v>Notice 17; (26) East coast of North America and Greenland</x:v>
      </x:c>
      <x:c r="N173" s="26" t="str">
        <x:v>https://www.scribd.com/document/1014775753/1-1-IMO-Adopted-Traffic-Separation-Schemes-on-the-ADMIRALTY-Chart-Series</x:v>
      </x:c>
      <x:c r="O173" s="23" t="str">
        <x:v>Not assessed</x:v>
      </x:c>
      <x:c r="P173" s="26" t="str">
        <x:v>Not assessed</x:v>
      </x:c>
      <x:c r="Q173" s="23" t="str">
        <x:v>2026-09-29</x:v>
      </x:c>
      <x:c r="R173" s="23" t="str">
        <x:v>Reconcile name, adoption, implementation and current status against the primary baseline.</x:v>
      </x:c>
    </x:row>
    <x:row r="174" ht="59" customHeight="1">
      <x:c r="A174" s="23" t="str">
        <x:v>TSS-169</x:v>
      </x:c>
      <x:c r="B174" s="23" t="str">
        <x:v>North America Atlantic coast</x:v>
      </x:c>
      <x:c r="C174" s="23" t="str">
        <x:v>In the Bay of Fundy and approaches</x:v>
      </x:c>
      <x:c r="D174" s="23" t="str">
        <x:v>Single source-list record</x:v>
      </x:c>
      <x:c r="E174" s="23" t="str">
        <x:v>Provisional: primary baseline pending</x:v>
      </x:c>
      <x:c r="F174" s="23" t="str">
        <x:v>Not assessed</x:v>
      </x:c>
      <x:c r="G174" s="23" t="str">
        <x:v>Not assessed</x:v>
      </x:c>
      <x:c r="H174" s="23" t="str">
        <x:v>Not assessed</x:v>
      </x:c>
      <x:c r="I174" s="23" t="str">
        <x:v>Not assessed</x:v>
      </x:c>
      <x:c r="J174" s="23" t="str">
        <x:v>Not started</x:v>
      </x:c>
      <x:c r="K174" s="23" t="str">
        <x:v>B34</x:v>
      </x:c>
      <x:c r="L174" s="23" t="str">
        <x:v>S02</x:v>
      </x:c>
      <x:c r="M174" s="23" t="str">
        <x:v>Notice 17; (26) East coast of North America and Greenland</x:v>
      </x:c>
      <x:c r="N174" s="26" t="str">
        <x:v>https://www.scribd.com/document/1014775753/1-1-IMO-Adopted-Traffic-Separation-Schemes-on-the-ADMIRALTY-Chart-Series</x:v>
      </x:c>
      <x:c r="O174" s="23" t="str">
        <x:v>Not assessed</x:v>
      </x:c>
      <x:c r="P174" s="26" t="str">
        <x:v>Not assessed</x:v>
      </x:c>
      <x:c r="Q174" s="23" t="str">
        <x:v>2026-09-29</x:v>
      </x:c>
      <x:c r="R174" s="23" t="str">
        <x:v>Reconcile name, adoption, implementation and current status against the primary baseline.</x:v>
      </x:c>
    </x:row>
    <x:row r="175" ht="59" customHeight="1">
      <x:c r="A175" s="23" t="str">
        <x:v>TSS-170</x:v>
      </x:c>
      <x:c r="B175" s="23" t="str">
        <x:v>North America Atlantic coast</x:v>
      </x:c>
      <x:c r="C175" s="23" t="str">
        <x:v>In the Approaches to Chedabucto Bay</x:v>
      </x:c>
      <x:c r="D175" s="23" t="str">
        <x:v>Single source-list record</x:v>
      </x:c>
      <x:c r="E175" s="23" t="str">
        <x:v>Provisional: primary baseline pending</x:v>
      </x:c>
      <x:c r="F175" s="23" t="str">
        <x:v>Not assessed</x:v>
      </x:c>
      <x:c r="G175" s="23" t="str">
        <x:v>Not assessed</x:v>
      </x:c>
      <x:c r="H175" s="23" t="str">
        <x:v>Not assessed</x:v>
      </x:c>
      <x:c r="I175" s="23" t="str">
        <x:v>Not assessed</x:v>
      </x:c>
      <x:c r="J175" s="23" t="str">
        <x:v>Not started</x:v>
      </x:c>
      <x:c r="K175" s="23" t="str">
        <x:v>B34</x:v>
      </x:c>
      <x:c r="L175" s="23" t="str">
        <x:v>S02</x:v>
      </x:c>
      <x:c r="M175" s="23" t="str">
        <x:v>Notice 17; (26) East coast of North America and Greenland</x:v>
      </x:c>
      <x:c r="N175" s="26" t="str">
        <x:v>https://www.scribd.com/document/1014775753/1-1-IMO-Adopted-Traffic-Separation-Schemes-on-the-ADMIRALTY-Chart-Series</x:v>
      </x:c>
      <x:c r="O175" s="23" t="str">
        <x:v>Not assessed</x:v>
      </x:c>
      <x:c r="P175" s="26" t="str">
        <x:v>Not assessed</x:v>
      </x:c>
      <x:c r="Q175" s="23" t="str">
        <x:v>2026-09-29</x:v>
      </x:c>
      <x:c r="R175" s="23" t="str">
        <x:v>Reconcile name, adoption, implementation and current status against the primary baseline.</x:v>
      </x:c>
    </x:row>
  </x:sheetData>
  <x:mergeCells>
    <x:mergeCell ref="A1:R2"/>
    <x:mergeCell ref="A3:R3"/>
  </x:mergeCells>
  <x:conditionalFormatting sqref="D6:D175">
    <x:cfRule type="expression" dxfId="0" priority="1">
      <x:formula>D6="Grouping check required"</x:formula>
    </x:cfRule>
  </x:conditionalFormatting>
  <x:conditionalFormatting sqref="J6:J175">
    <x:cfRule type="expression" dxfId="1" priority="2">
      <x:formula>J6="Initial screening"</x:formula>
    </x:cfRule>
  </x:conditionalFormatting>
  <x:dataValidations count="3">
    <x:dataValidation type="list" sqref="F6:F175">
      <x:formula1>"Not assessed,Service lead found,Association documented,No association evidenced,Unresolved"</x:formula1>
    </x:dataValidation>
    <x:dataValidation type="list" sqref="H6:H175">
      <x:formula1>"Not assessed,Scheme lead found,Association documented,No association evidenced,Unresolved"</x:formula1>
    </x:dataValidation>
    <x:dataValidation type="list" sqref="J6:J175">
      <x:formula1>"Not started,Initial screening,Primary verification,Audit 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b5eb9a3ed46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5" hidden="0" customWidth="1"/>
    <x:col min="3" max="3" width="35" hidden="0" customWidth="1"/>
    <x:col min="4" max="4" width="31" hidden="0" customWidth="1"/>
    <x:col min="5" max="5" width="28" hidden="0" customWidth="1"/>
    <x:col min="6" max="6" width="30" hidden="0" customWidth="1"/>
    <x:col min="7" max="7" width="48" hidden="0" customWidth="1"/>
    <x:col min="8" max="8" width="33" hidden="0" customWidth="1"/>
    <x:col min="9" max="9" width="44" hidden="0" customWidth="1"/>
    <x:col min="10" max="10" width="37" hidden="0" customWidth="1"/>
    <x:col min="11" max="11" width="19" hidden="0" customWidth="1"/>
    <x:col min="12" max="12" width="48" hidden="0" customWidth="1"/>
    <x:col min="13" max="13" width="16" hidden="0" customWidth="1"/>
    <x:col min="14" max="14" width="64" hidden="0" customWidth="1"/>
  </x:cols>
  <x:sheetData>
    <x:row r="1" ht="21" customHeight="1">
      <x:c r="A1" s="6" t="str">
        <x:v>VTS SERVICE SCREENING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1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32" customHeight="1">
      <x:c r="A3" s="11" t="str">
        <x:v>Service identities checked against authority pages. These rows are not a reconciled count of legal VTS areas.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5" customHeight="1">
      <x:c r="A5" s="17" t="str">
        <x:v>Service ID</x:v>
      </x:c>
      <x:c r="B5" s="17" t="str">
        <x:v>Service name</x:v>
      </x:c>
      <x:c r="C5" s="17" t="str">
        <x:v>Area / corridor</x:v>
      </x:c>
      <x:c r="D5" s="17" t="str">
        <x:v>Record type</x:v>
      </x:c>
      <x:c r="E5" s="17" t="str">
        <x:v>Existence screening</x:v>
      </x:c>
      <x:c r="F5" s="17" t="str">
        <x:v>Scope class</x:v>
      </x:c>
      <x:c r="G5" s="17" t="str">
        <x:v>Centre / sector information</x:v>
      </x:c>
      <x:c r="H5" s="17" t="str">
        <x:v>Reporting IDs</x:v>
      </x:c>
      <x:c r="I5" s="17" t="str">
        <x:v>TSS candidate IDs</x:v>
      </x:c>
      <x:c r="J5" s="17" t="str">
        <x:v>Outstanding verification</x:v>
      </x:c>
      <x:c r="K5" s="17" t="str">
        <x:v>Source IDs</x:v>
      </x:c>
      <x:c r="L5" s="17" t="str">
        <x:v>Source URLs</x:v>
      </x:c>
      <x:c r="M5" s="17" t="str">
        <x:v>Checked</x:v>
      </x:c>
      <x:c r="N5" s="17" t="str">
        <x:v>Counting / scope notes</x:v>
      </x:c>
    </x:row>
    <x:row r="6" ht="99" customHeight="1">
      <x:c r="A6" s="23" t="str">
        <x:v>VTS-001</x:v>
      </x:c>
      <x:c r="B6" s="23" t="str">
        <x:v>Channel VTS</x:v>
      </x:c>
      <x:c r="C6" s="23" t="str">
        <x:v>Dover Strait</x:v>
      </x:c>
      <x:c r="D6" s="23" t="str">
        <x:v>Joint UK/France service</x:v>
      </x:c>
      <x:c r="E6" s="23" t="str">
        <x:v>Authority identifies VTS</x:v>
      </x:c>
      <x:c r="F6" s="23" t="str">
        <x:v>Core TSS candidate</x:v>
      </x:c>
      <x:c r="G6" s="23" t="str">
        <x:v>Joint operation; two stations</x:v>
      </x:c>
      <x:c r="H6" s="23" t="str">
        <x:v>RPT-001</x:v>
      </x:c>
      <x:c r="I6" s="23" t="str">
        <x:v>TSS-005</x:v>
      </x:c>
      <x:c r="J6" s="23" t="str">
        <x:v>Boundary/legal review pending</x:v>
      </x:c>
      <x:c r="K6" s="23" t="str">
        <x:v>S04</x:v>
      </x:c>
      <x:c r="L6" s="26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M6" s="23" t="str">
        <x:v>2026-09-29</x:v>
      </x:c>
      <x:c r="N6" s="23" t="str">
        <x:v>Joint service identified. Do not count Dover and Gris-Nez automatically as separate guide entries.</x:v>
      </x:c>
    </x:row>
    <x:row r="7" ht="99" customHeight="1">
      <x:c r="A7" s="23" t="str">
        <x:v>VTS-002</x:v>
      </x:c>
      <x:c r="B7" s="23" t="str">
        <x:v>Great Belt VTS</x:v>
      </x:c>
      <x:c r="C7" s="23" t="str">
        <x:v>Great Belt</x:v>
      </x:c>
      <x:c r="D7" s="23" t="str">
        <x:v>Danish service</x:v>
      </x:c>
      <x:c r="E7" s="23" t="str">
        <x:v>Authority identifies VTS</x:v>
      </x:c>
      <x:c r="F7" s="23" t="str">
        <x:v>Core TSS candidate</x:v>
      </x:c>
      <x:c r="G7" s="23" t="str">
        <x:v>Two sectors</x:v>
      </x:c>
      <x:c r="H7" s="23" t="str">
        <x:v>RPT-002</x:v>
      </x:c>
      <x:c r="I7" s="23" t="str">
        <x:v>TSS-038; TSS-039</x:v>
      </x:c>
      <x:c r="J7" s="23" t="str">
        <x:v>Boundary/legal review pending</x:v>
      </x:c>
      <x:c r="K7" s="23" t="str">
        <x:v>S05; S06</x:v>
      </x:c>
      <x:c r="L7" s="26" t="str">
        <x:v>https://www.forsvaret.dk/da/organisation/soevaernet/civile-opgaver/beltrep/
https://www.brs.dk/da/om-os/organisation/sikre-farvande/obligatoriske-skibsmeldesystemer-msrs-og-skibstrafiktjenester-vts/</x:v>
      </x:c>
      <x:c r="M7" s="23" t="str">
        <x:v>2026-09-29</x:v>
      </x:c>
      <x:c r="N7" s="23" t="str">
        <x:v>Service confirmed; compare legal boundaries with both candidate TSS records.</x:v>
      </x:c>
    </x:row>
    <x:row r="8" ht="99" customHeight="1">
      <x:c r="A8" s="23" t="str">
        <x:v>VTS-003</x:v>
      </x:c>
      <x:c r="B8" s="23" t="str">
        <x:v>Sound VTS</x:v>
      </x:c>
      <x:c r="C8" s="23" t="str">
        <x:v>The Sound / Øresund</x:v>
      </x:c>
      <x:c r="D8" s="23" t="str">
        <x:v>Joint Sweden/Denmark service</x:v>
      </x:c>
      <x:c r="E8" s="23" t="str">
        <x:v>Authority identifies VTS</x:v>
      </x:c>
      <x:c r="F8" s="23" t="str">
        <x:v>Core TSS candidate</x:v>
      </x:c>
      <x:c r="G8" s="23" t="str">
        <x:v>Joint service; sector detail pending</x:v>
      </x:c>
      <x:c r="H8" s="23" t="str">
        <x:v>RPT-003</x:v>
      </x:c>
      <x:c r="I8" s="23" t="str">
        <x:v>TSS-040; TSS-041</x:v>
      </x:c>
      <x:c r="J8" s="23" t="str">
        <x:v>Boundary/legal review pending</x:v>
      </x:c>
      <x:c r="K8" s="23" t="str">
        <x:v>S06; S07</x:v>
      </x:c>
      <x:c r="L8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M8" s="23" t="str">
        <x:v>2026-09-29</x:v>
      </x:c>
      <x:c r="N8" s="23" t="str">
        <x:v>Service confirmed. Falsterborev link remains a boundary-screening lead.</x:v>
      </x:c>
    </x:row>
    <x:row r="9" ht="99" customHeight="1">
      <x:c r="A9" s="23" t="str">
        <x:v>VTS-004</x:v>
      </x:c>
      <x:c r="B9" s="23" t="str">
        <x:v>Klang VTS</x:v>
      </x:c>
      <x:c r="C9" s="23" t="str">
        <x:v>Straits of Malacca and Singapore</x:v>
      </x:c>
      <x:c r="D9" s="23" t="str">
        <x:v>STRAITREP authority group</x:v>
      </x:c>
      <x:c r="E9" s="23" t="str">
        <x:v>Authority identifies VTS</x:v>
      </x:c>
      <x:c r="F9" s="23" t="str">
        <x:v>Core TSS corridor</x:v>
      </x:c>
      <x:c r="G9" s="23" t="str">
        <x:v>STRAITREP sectors 1–5</x:v>
      </x:c>
      <x:c r="H9" s="23" t="str">
        <x:v>RPT-004</x:v>
      </x:c>
      <x:c r="I9" s="23" t="str">
        <x:v>TSS-107; TSS-108; TSS-109; TSS-110; TSS-111; TSS-112; TSS-113; TSS-114</x:v>
      </x:c>
      <x:c r="J9" s="23" t="str">
        <x:v>Boundary/legal review pending</x:v>
      </x:c>
      <x:c r="K9" s="23" t="str">
        <x:v>S09</x:v>
      </x:c>
      <x:c r="L9" s="26" t="str">
        <x:v>https://www.mpa.gov.sg/port-marine-ops/operations/vessel-traffic-information-system/operational-areas</x:v>
      </x:c>
      <x:c r="M9" s="23" t="str">
        <x:v>2026-09-29</x:v>
      </x:c>
      <x:c r="N9" s="23" t="str">
        <x:v>Corridor link only. Do not assign every TSS to Klang without boundary comparison.</x:v>
      </x:c>
    </x:row>
    <x:row r="10" ht="99" customHeight="1">
      <x:c r="A10" s="23" t="str">
        <x:v>VTS-005</x:v>
      </x:c>
      <x:c r="B10" s="23" t="str">
        <x:v>Johor VTS</x:v>
      </x:c>
      <x:c r="C10" s="23" t="str">
        <x:v>Straits of Malacca and Singapore</x:v>
      </x:c>
      <x:c r="D10" s="23" t="str">
        <x:v>STRAITREP authority group</x:v>
      </x:c>
      <x:c r="E10" s="23" t="str">
        <x:v>Authority identifies VTS</x:v>
      </x:c>
      <x:c r="F10" s="23" t="str">
        <x:v>Core TSS corridor</x:v>
      </x:c>
      <x:c r="G10" s="23" t="str">
        <x:v>STRAITREP sector 6</x:v>
      </x:c>
      <x:c r="H10" s="23" t="str">
        <x:v>RPT-004</x:v>
      </x:c>
      <x:c r="I10" s="23" t="str">
        <x:v>TSS-107; TSS-108; TSS-109; TSS-110; TSS-111; TSS-112; TSS-113; TSS-114</x:v>
      </x:c>
      <x:c r="J10" s="23" t="str">
        <x:v>Boundary/legal review pending</x:v>
      </x:c>
      <x:c r="K10" s="23" t="str">
        <x:v>S09</x:v>
      </x:c>
      <x:c r="L10" s="26" t="str">
        <x:v>https://www.mpa.gov.sg/port-marine-ops/operations/vessel-traffic-information-system/operational-areas</x:v>
      </x:c>
      <x:c r="M10" s="23" t="str">
        <x:v>2026-09-29</x:v>
      </x:c>
      <x:c r="N10" s="23" t="str">
        <x:v>Corridor link only. Sector count is not a guide-entry count.</x:v>
      </x:c>
    </x:row>
    <x:row r="11" ht="99" customHeight="1">
      <x:c r="A11" s="23" t="str">
        <x:v>VTS-006</x:v>
      </x:c>
      <x:c r="B11" s="23" t="str">
        <x:v>Singapore VTS / VTIS</x:v>
      </x:c>
      <x:c r="C11" s="23" t="str">
        <x:v>Straits of Malacca and Singapore</x:v>
      </x:c>
      <x:c r="D11" s="23" t="str">
        <x:v>STRAITREP authority group</x:v>
      </x:c>
      <x:c r="E11" s="23" t="str">
        <x:v>Authority identifies VTS</x:v>
      </x:c>
      <x:c r="F11" s="23" t="str">
        <x:v>Core TSS corridor</x:v>
      </x:c>
      <x:c r="G11" s="23" t="str">
        <x:v>STRAITREP sectors 7–9</x:v>
      </x:c>
      <x:c r="H11" s="23" t="str">
        <x:v>RPT-004</x:v>
      </x:c>
      <x:c r="I11" s="23" t="str">
        <x:v>TSS-107; TSS-108; TSS-109; TSS-110; TSS-111; TSS-112; TSS-113; TSS-114</x:v>
      </x:c>
      <x:c r="J11" s="23" t="str">
        <x:v>Boundary/legal review pending</x:v>
      </x:c>
      <x:c r="K11" s="23" t="str">
        <x:v>S08; S09</x:v>
      </x:c>
      <x:c r="L11" s="26" t="str">
        <x:v>https://www.mpa.gov.sg/port-marine-ops/operations/vessel-traffic-information-system
https://www.mpa.gov.sg/port-marine-ops/operations/vessel-traffic-information-system/operational-areas</x:v>
      </x:c>
      <x:c r="M11" s="23" t="str">
        <x:v>2026-09-29</x:v>
      </x:c>
      <x:c r="N11" s="23" t="str">
        <x:v>Corridor link only. Port VTS coverage needs separate scope assessment.</x:v>
      </x:c>
    </x:row>
    <x:row r="12" ht="99" customHeight="1">
      <x:c r="A12" s="23" t="str">
        <x:v>VTS-007</x:v>
      </x:c>
      <x:c r="B12" s="23" t="str">
        <x:v>REEFVTS</x:v>
      </x:c>
      <x:c r="C12" s="23" t="str">
        <x:v>Great Barrier Reef and Torres Strait</x:v>
      </x:c>
      <x:c r="D12" s="23" t="str">
        <x:v>Coastal VTS</x:v>
      </x:c>
      <x:c r="E12" s="23" t="str">
        <x:v>Authority identifies VTS</x:v>
      </x:c>
      <x:c r="F12" s="23" t="str">
        <x:v>Additional coverage candidate</x:v>
      </x:c>
      <x:c r="G12" s="23" t="str">
        <x:v>Two sectors; Townsville and Gladstone centres</x:v>
      </x:c>
      <x:c r="H12" s="23" t="str">
        <x:v>RPT-005</x:v>
      </x:c>
      <x:c r="I12" s="23" t="str">
        <x:v>No match established</x:v>
      </x:c>
      <x:c r="J12" s="23" t="str">
        <x:v>Boundary/legal review pending</x:v>
      </x:c>
      <x:c r="K12" s="23" t="str">
        <x:v>S10</x:v>
      </x:c>
      <x:c r="L12" s="26" t="str">
        <x:v>https://www.msq.qld.gov.au/shipping/reefvts</x:v>
      </x:c>
      <x:c r="M12" s="23" t="str">
        <x:v>2026-09-29</x:v>
      </x:c>
      <x:c r="N12" s="23" t="str">
        <x:v>No TSS match established in this seed list. Retain separately from southern Australian TSS.</x:v>
      </x:c>
    </x:row>
    <x:row r="13" ht="99" customHeight="1">
      <x:c r="A13" s="23" t="str">
        <x:v>VTS-008</x:v>
      </x:c>
      <x:c r="B13" s="23" t="str">
        <x:v>VTS Fehmarnbelt</x:v>
      </x:c>
      <x:c r="C13" s="23" t="str">
        <x:v>Fehmarn Belt</x:v>
      </x:c>
      <x:c r="D13" s="23" t="str">
        <x:v>Temporary voluntary VTS</x:v>
      </x:c>
      <x:c r="E13" s="23" t="str">
        <x:v>Authority identifies VTS</x:v>
      </x:c>
      <x:c r="F13" s="23" t="str">
        <x:v>Additional coverage candidate</x:v>
      </x:c>
      <x:c r="G13" s="23" t="str">
        <x:v>Temporary construction-related service</x:v>
      </x:c>
      <x:c r="H13" s="23" t="str">
        <x:v>Not assessed</x:v>
      </x:c>
      <x:c r="I13" s="23" t="str">
        <x:v>No match established</x:v>
      </x:c>
      <x:c r="J13" s="23" t="str">
        <x:v>Boundary/legal review pending</x:v>
      </x:c>
      <x:c r="K13" s="23" t="str">
        <x:v>S06</x:v>
      </x:c>
      <x:c r="L13" s="26" t="str">
        <x:v>https://www.brs.dk/da/om-os/organisation/sikre-farvande/obligatoriske-skibsmeldesystemer-msrs-og-skibstrafiktjenester-vts/</x:v>
      </x:c>
      <x:c r="M13" s="23" t="str">
        <x:v>2026-09-29</x:v>
      </x:c>
      <x:c r="N13" s="23" t="str">
        <x:v>Voluntary service is not evidence of a mandatory reporting scheme. Check project duration.</x:v>
      </x:c>
    </x:row>
    <x:row r="14" ht="99" customHeight="1">
      <x:c r="A14" s="23" t="str">
        <x:v>VTS-009</x:v>
      </x:c>
      <x:c r="B14" s="23" t="str">
        <x:v>VTS Prince William Sound</x:v>
      </x:c>
      <x:c r="C14" s="23" t="str">
        <x:v>Prince William Sound</x:v>
      </x:c>
      <x:c r="D14" s="23" t="str">
        <x:v>US Coast Guard VTS</x:v>
      </x:c>
      <x:c r="E14" s="23" t="str">
        <x:v>Authority identifies VTS</x:v>
      </x:c>
      <x:c r="F14" s="23" t="str">
        <x:v>Core TSS candidate</x:v>
      </x:c>
      <x:c r="G14" s="23" t="str">
        <x:v>Valdez centre</x:v>
      </x:c>
      <x:c r="H14" s="23" t="str">
        <x:v>Not assessed</x:v>
      </x:c>
      <x:c r="I14" s="23" t="str">
        <x:v>TSS-129</x:v>
      </x:c>
      <x:c r="J14" s="23" t="str">
        <x:v>Boundary/legal review pending</x:v>
      </x:c>
      <x:c r="K14" s="23" t="str">
        <x:v>S11</x:v>
      </x:c>
      <x:c r="L14" s="26" t="str">
        <x:v>https://www.navcen.uscg.gov/vessel-traffic-services-locations</x:v>
      </x:c>
      <x:c r="M14" s="23" t="str">
        <x:v>2026-09-29</x:v>
      </x:c>
      <x:c r="N14" s="23" t="str">
        <x:v>Source identifies service and location. Verify exact TSS overlap and current participation rules.</x:v>
      </x:c>
    </x:row>
    <x:row r="15" ht="99" customHeight="1">
      <x:c r="A15" s="23" t="str">
        <x:v>VTS-010</x:v>
      </x:c>
      <x:c r="B15" s="23" t="str">
        <x:v>VTS Puget Sound</x:v>
      </x:c>
      <x:c r="C15" s="23" t="str">
        <x:v>Puget Sound / Juan de Fuca</x:v>
      </x:c>
      <x:c r="D15" s="23" t="str">
        <x:v>US Coast Guard VTS</x:v>
      </x:c>
      <x:c r="E15" s="23" t="str">
        <x:v>Authority identifies VTS</x:v>
      </x:c>
      <x:c r="F15" s="23" t="str">
        <x:v>Core TSS candidate</x:v>
      </x:c>
      <x:c r="G15" s="23" t="str">
        <x:v>US/Canada cooperative arrangements</x:v>
      </x:c>
      <x:c r="H15" s="23" t="str">
        <x:v>Not assessed</x:v>
      </x:c>
      <x:c r="I15" s="23" t="str">
        <x:v>TSS-130; TSS-131</x:v>
      </x:c>
      <x:c r="J15" s="23" t="str">
        <x:v>Boundary/legal review pending</x:v>
      </x:c>
      <x:c r="K15" s="23" t="str">
        <x:v>S11; S12</x:v>
      </x:c>
      <x:c r="L15" s="26" t="str">
        <x:v>https://www.navcen.uscg.gov/vessel-traffic-services-locations
https://www.pacificarea.uscg.mil/VTSPugetSound/</x:v>
      </x:c>
      <x:c r="M15" s="23" t="str">
        <x:v>2026-09-29</x:v>
      </x:c>
      <x:c r="N15" s="23" t="str">
        <x:v>US service is not the entire cooperative corridor. Add Canadian areas after separate verification.</x:v>
      </x:c>
    </x:row>
    <x:row r="16" ht="99" customHeight="1">
      <x:c r="A16" s="23" t="str">
        <x:v>VTS-011</x:v>
      </x:c>
      <x:c r="B16" s="23" t="str">
        <x:v>VTS San Francisco</x:v>
      </x:c>
      <x:c r="C16" s="23" t="str">
        <x:v>San Francisco</x:v>
      </x:c>
      <x:c r="D16" s="23" t="str">
        <x:v>US Coast Guard VTS</x:v>
      </x:c>
      <x:c r="E16" s="23" t="str">
        <x:v>Authority identifies VTS</x:v>
      </x:c>
      <x:c r="F16" s="23" t="str">
        <x:v>Core TSS candidate</x:v>
      </x:c>
      <x:c r="G16" s="23" t="str">
        <x:v>Offshore voluntary OVMRS also identified</x:v>
      </x:c>
      <x:c r="H16" s="23" t="str">
        <x:v>RPT-008</x:v>
      </x:c>
      <x:c r="I16" s="23" t="str">
        <x:v>TSS-132</x:v>
      </x:c>
      <x:c r="J16" s="23" t="str">
        <x:v>Boundary/legal review pending</x:v>
      </x:c>
      <x:c r="K16" s="23" t="str">
        <x:v>S11</x:v>
      </x:c>
      <x:c r="L16" s="26" t="str">
        <x:v>https://www.navcen.uscg.gov/vessel-traffic-services-locations</x:v>
      </x:c>
      <x:c r="M16" s="23" t="str">
        <x:v>2026-09-29</x:v>
      </x:c>
      <x:c r="N16" s="23" t="str">
        <x:v>Separate VTS requirements from voluntary offshore OVMRS. Verify TSS applicability.</x:v>
      </x:c>
    </x:row>
    <x:row r="17" ht="99" customHeight="1">
      <x:c r="A17" s="23" t="str">
        <x:v>VTS-012</x:v>
      </x:c>
      <x:c r="B17" s="23" t="str">
        <x:v>VTS Los Angeles–Long Beach</x:v>
      </x:c>
      <x:c r="C17" s="23" t="str">
        <x:v>Los Angeles / Long Beach</x:v>
      </x:c>
      <x:c r="D17" s="23" t="str">
        <x:v>Joint USCG / Marine Exchange VTS</x:v>
      </x:c>
      <x:c r="E17" s="23" t="str">
        <x:v>Authority identifies VTS</x:v>
      </x:c>
      <x:c r="F17" s="23" t="str">
        <x:v>Core TSS candidate</x:v>
      </x:c>
      <x:c r="G17" s="23" t="str">
        <x:v>Jointly operated service</x:v>
      </x:c>
      <x:c r="H17" s="23" t="str">
        <x:v>Not assessed</x:v>
      </x:c>
      <x:c r="I17" s="23" t="str">
        <x:v>TSS-133</x:v>
      </x:c>
      <x:c r="J17" s="23" t="str">
        <x:v>Boundary/legal review pending</x:v>
      </x:c>
      <x:c r="K17" s="23" t="str">
        <x:v>S11</x:v>
      </x:c>
      <x:c r="L17" s="26" t="str">
        <x:v>https://www.navcen.uscg.gov/vessel-traffic-services-locations</x:v>
      </x:c>
      <x:c r="M17" s="23" t="str">
        <x:v>2026-09-29</x:v>
      </x:c>
      <x:c r="N17" s="23" t="str">
        <x:v>Composite source heading includes Santa Barbara Channel. Do not imply whole-heading VTS coverage.</x:v>
      </x:c>
    </x:row>
    <x:row r="18" ht="99" customHeight="1">
      <x:c r="A18" s="23" t="str">
        <x:v>VTS-013</x:v>
      </x:c>
      <x:c r="B18" s="23" t="str">
        <x:v>VTS Houston-Galveston</x:v>
      </x:c>
      <x:c r="C18" s="23" t="str">
        <x:v>Houston / Galveston</x:v>
      </x:c>
      <x:c r="D18" s="23" t="str">
        <x:v>US Coast Guard VTS</x:v>
      </x:c>
      <x:c r="E18" s="23" t="str">
        <x:v>Authority identifies VTS</x:v>
      </x:c>
      <x:c r="F18" s="23" t="str">
        <x:v>Core TSS candidate</x:v>
      </x:c>
      <x:c r="G18" s="23" t="str">
        <x:v>Area and sector detail pending</x:v>
      </x:c>
      <x:c r="H18" s="23" t="str">
        <x:v>Not assessed</x:v>
      </x:c>
      <x:c r="I18" s="23" t="str">
        <x:v>TSS-160</x:v>
      </x:c>
      <x:c r="J18" s="23" t="str">
        <x:v>Boundary/legal review pending</x:v>
      </x:c>
      <x:c r="K18" s="23" t="str">
        <x:v>S11</x:v>
      </x:c>
      <x:c r="L18" s="26" t="str">
        <x:v>https://www.navcen.uscg.gov/vessel-traffic-services-locations</x:v>
      </x:c>
      <x:c r="M18" s="23" t="str">
        <x:v>2026-09-29</x:v>
      </x:c>
      <x:c r="N18" s="23" t="str">
        <x:v>Approach relationship is a research lead, not confirmed coverage of the entire TSS.</x:v>
      </x:c>
    </x:row>
    <x:row r="19" ht="99" customHeight="1">
      <x:c r="A19" s="23" t="str">
        <x:v>VTS-014</x:v>
      </x:c>
      <x:c r="B19" s="23" t="str">
        <x:v>VTS New York</x:v>
      </x:c>
      <x:c r="C19" s="23" t="str">
        <x:v>New York / New Jersey</x:v>
      </x:c>
      <x:c r="D19" s="23" t="str">
        <x:v>US Coast Guard VTS</x:v>
      </x:c>
      <x:c r="E19" s="23" t="str">
        <x:v>Authority identifies VTS</x:v>
      </x:c>
      <x:c r="F19" s="23" t="str">
        <x:v>Core TSS candidate</x:v>
      </x:c>
      <x:c r="G19" s="23" t="str">
        <x:v>Area and sector detail pending</x:v>
      </x:c>
      <x:c r="H19" s="23" t="str">
        <x:v>Not assessed</x:v>
      </x:c>
      <x:c r="I19" s="23" t="str">
        <x:v>TSS-165</x:v>
      </x:c>
      <x:c r="J19" s="23" t="str">
        <x:v>Boundary/legal review pending</x:v>
      </x:c>
      <x:c r="K19" s="23" t="str">
        <x:v>S11</x:v>
      </x:c>
      <x:c r="L19" s="26" t="str">
        <x:v>https://www.navcen.uscg.gov/vessel-traffic-services-locations</x:v>
      </x:c>
      <x:c r="M19" s="23" t="str">
        <x:v>2026-09-29</x:v>
      </x:c>
      <x:c r="N19" s="23" t="str">
        <x:v>Offshore TSS relationship requires boundary confirmation.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a6ab0d5eb3be4e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35" hidden="0" customWidth="1"/>
    <x:col min="4" max="4" width="25" hidden="0" customWidth="1"/>
    <x:col min="5" max="5" width="31" hidden="0" customWidth="1"/>
    <x:col min="6" max="6" width="42" hidden="0" customWidth="1"/>
    <x:col min="7" max="7" width="46" hidden="0" customWidth="1"/>
    <x:col min="8" max="8" width="38" hidden="0" customWidth="1"/>
    <x:col min="9" max="9" width="20" hidden="0" customWidth="1"/>
    <x:col min="10" max="10" width="48" hidden="0" customWidth="1"/>
    <x:col min="11" max="11" width="16" hidden="0" customWidth="1"/>
    <x:col min="12" max="12" width="65" hidden="0" customWidth="1"/>
  </x:cols>
  <x:sheetData>
    <x:row r="1" ht="21" customHeight="1">
      <x:c r="A1" s="6" t="str">
        <x:v>REPORTING SYSTEMS — SEED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1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2" customHeight="1">
      <x:c r="A3" s="11" t="str">
        <x:v>Mandatory and voluntary systems remain separate. Scheme boundaries, applicability and global completeness remain open.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5" customHeight="1">
      <x:c r="A5" s="17" t="str">
        <x:v>Reporting ID</x:v>
      </x:c>
      <x:c r="B5" s="17" t="str">
        <x:v>Scheme name</x:v>
      </x:c>
      <x:c r="C5" s="17" t="str">
        <x:v>Area / corridor</x:v>
      </x:c>
      <x:c r="D5" s="17" t="str">
        <x:v>Participation classification</x:v>
      </x:c>
      <x:c r="E5" s="17" t="str">
        <x:v>Existence screening</x:v>
      </x:c>
      <x:c r="F5" s="17" t="str">
        <x:v>Service IDs</x:v>
      </x:c>
      <x:c r="G5" s="17" t="str">
        <x:v>TSS candidate IDs</x:v>
      </x:c>
      <x:c r="H5" s="17" t="str">
        <x:v>Outstanding verification</x:v>
      </x:c>
      <x:c r="I5" s="17" t="str">
        <x:v>Source IDs</x:v>
      </x:c>
      <x:c r="J5" s="17" t="str">
        <x:v>Source URLs</x:v>
      </x:c>
      <x:c r="K5" s="17" t="str">
        <x:v>Checked</x:v>
      </x:c>
      <x:c r="L5" s="17" t="str">
        <x:v>Scope / counting notes</x:v>
      </x:c>
    </x:row>
    <x:row r="6" ht="97" customHeight="1">
      <x:c r="A6" s="23" t="str">
        <x:v>RPT-001</x:v>
      </x:c>
      <x:c r="B6" s="23" t="str">
        <x:v>CALDOVREP</x:v>
      </x:c>
      <x:c r="C6" s="23" t="str">
        <x:v>Dover Strait</x:v>
      </x:c>
      <x:c r="D6" s="23" t="str">
        <x:v>Mandatory</x:v>
      </x:c>
      <x:c r="E6" s="23" t="str">
        <x:v>Authority identifies scheme</x:v>
      </x:c>
      <x:c r="F6" s="23" t="str">
        <x:v>VTS-001</x:v>
      </x:c>
      <x:c r="G6" s="23" t="str">
        <x:v>TSS-005</x:v>
      </x:c>
      <x:c r="H6" s="23" t="str">
        <x:v>Boundary/applicability review pending</x:v>
      </x:c>
      <x:c r="I6" s="23" t="str">
        <x:v>S04</x:v>
      </x:c>
      <x:c r="J6" s="26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K6" s="23" t="str">
        <x:v>2026-09-29</x:v>
      </x:c>
      <x:c r="L6" s="23" t="str">
        <x:v>Mandatory system identified; detailed applicability and reports not transcribed.</x:v>
      </x:c>
    </x:row>
    <x:row r="7" ht="97" customHeight="1">
      <x:c r="A7" s="23" t="str">
        <x:v>RPT-002</x:v>
      </x:c>
      <x:c r="B7" s="23" t="str">
        <x:v>BELTREP</x:v>
      </x:c>
      <x:c r="C7" s="23" t="str">
        <x:v>Great Belt</x:v>
      </x:c>
      <x:c r="D7" s="23" t="str">
        <x:v>Mandatory</x:v>
      </x:c>
      <x:c r="E7" s="23" t="str">
        <x:v>Authority identifies scheme</x:v>
      </x:c>
      <x:c r="F7" s="23" t="str">
        <x:v>VTS-002</x:v>
      </x:c>
      <x:c r="G7" s="23" t="str">
        <x:v>TSS-038; TSS-039</x:v>
      </x:c>
      <x:c r="H7" s="23" t="str">
        <x:v>Boundary/applicability review pending</x:v>
      </x:c>
      <x:c r="I7" s="23" t="str">
        <x:v>S05; S06</x:v>
      </x:c>
      <x:c r="J7" s="26" t="str">
        <x:v>https://www.forsvaret.dk/da/organisation/soevaernet/civile-opgaver/beltrep/
https://www.brs.dk/da/om-os/organisation/sikre-farvande/obligatoriske-skibsmeldesystemer-msrs-og-skibstrafiktjenester-vts/</x:v>
      </x:c>
      <x:c r="K7" s="23" t="str">
        <x:v>2026-09-29</x:v>
      </x:c>
      <x:c r="L7" s="23" t="str">
        <x:v>System-to-service association explicit. Individual TSS boundary matching pending.</x:v>
      </x:c>
    </x:row>
    <x:row r="8" ht="97" customHeight="1">
      <x:c r="A8" s="23" t="str">
        <x:v>RPT-003</x:v>
      </x:c>
      <x:c r="B8" s="23" t="str">
        <x:v>SOUNDREP</x:v>
      </x:c>
      <x:c r="C8" s="23" t="str">
        <x:v>The Sound / Øresund</x:v>
      </x:c>
      <x:c r="D8" s="23" t="str">
        <x:v>Mandatory</x:v>
      </x:c>
      <x:c r="E8" s="23" t="str">
        <x:v>Authority identifies scheme</x:v>
      </x:c>
      <x:c r="F8" s="23" t="str">
        <x:v>VTS-003</x:v>
      </x:c>
      <x:c r="G8" s="23" t="str">
        <x:v>TSS-040; TSS-041</x:v>
      </x:c>
      <x:c r="H8" s="23" t="str">
        <x:v>Boundary/applicability review pending</x:v>
      </x:c>
      <x:c r="I8" s="23" t="str">
        <x:v>S06; S07</x:v>
      </x:c>
      <x:c r="J8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K8" s="23" t="str">
        <x:v>2026-09-29</x:v>
      </x:c>
      <x:c r="L8" s="23" t="str">
        <x:v>Joint reporting system. One system record, not one per participating country.</x:v>
      </x:c>
    </x:row>
    <x:row r="9" ht="97" customHeight="1">
      <x:c r="A9" s="23" t="str">
        <x:v>RPT-004</x:v>
      </x:c>
      <x:c r="B9" s="23" t="str">
        <x:v>STRAITREP</x:v>
      </x:c>
      <x:c r="C9" s="23" t="str">
        <x:v>Straits of Malacca and Singapore</x:v>
      </x:c>
      <x:c r="D9" s="23" t="str">
        <x:v>Mandatory</x:v>
      </x:c>
      <x:c r="E9" s="23" t="str">
        <x:v>Authority identifies scheme</x:v>
      </x:c>
      <x:c r="F9" s="23" t="str">
        <x:v>VTS-004; VTS-005; VTS-006</x:v>
      </x:c>
      <x:c r="G9" s="23" t="str">
        <x:v>TSS-107; TSS-108; TSS-109; TSS-110; TSS-111; TSS-112; TSS-113; TSS-114</x:v>
      </x:c>
      <x:c r="H9" s="23" t="str">
        <x:v>Boundary/applicability review pending</x:v>
      </x:c>
      <x:c r="I9" s="23" t="str">
        <x:v>S08; S09</x:v>
      </x:c>
      <x:c r="J9" s="26" t="str">
        <x:v>https://www.mpa.gov.sg/port-marine-ops/operations/vessel-traffic-information-system
https://www.mpa.gov.sg/port-marine-ops/operations/vessel-traffic-information-system/operational-areas</x:v>
      </x:c>
      <x:c r="K9" s="23" t="str">
        <x:v>2026-09-29</x:v>
      </x:c>
      <x:c r="L9" s="23" t="str">
        <x:v>One reporting system with nine sectors and three named VTS authorities.</x:v>
      </x:c>
    </x:row>
    <x:row r="10" ht="97" customHeight="1">
      <x:c r="A10" s="23" t="str">
        <x:v>RPT-005</x:v>
      </x:c>
      <x:c r="B10" s="23" t="str">
        <x:v>REEFREP</x:v>
      </x:c>
      <x:c r="C10" s="23" t="str">
        <x:v>Great Barrier Reef and Torres Strait</x:v>
      </x:c>
      <x:c r="D10" s="23" t="str">
        <x:v>Mandatory</x:v>
      </x:c>
      <x:c r="E10" s="23" t="str">
        <x:v>Authority identifies scheme</x:v>
      </x:c>
      <x:c r="F10" s="23" t="str">
        <x:v>VTS-007</x:v>
      </x:c>
      <x:c r="G10" s="23" t="str">
        <x:v>No match established</x:v>
      </x:c>
      <x:c r="H10" s="23" t="str">
        <x:v>Boundary/applicability review pending</x:v>
      </x:c>
      <x:c r="I10" s="23" t="str">
        <x:v>S10</x:v>
      </x:c>
      <x:c r="J10" s="26" t="str">
        <x:v>https://www.msq.qld.gov.au/shipping/reefvts</x:v>
      </x:c>
      <x:c r="K10" s="23" t="str">
        <x:v>2026-09-29</x:v>
      </x:c>
      <x:c r="L10" s="23" t="str">
        <x:v>Additional coverage candidate; not linked to a TSS in this seed inventory.</x:v>
      </x:c>
    </x:row>
    <x:row r="11" ht="97" customHeight="1">
      <x:c r="A11" s="23" t="str">
        <x:v>RPT-006</x:v>
      </x:c>
      <x:c r="B11" s="23" t="str">
        <x:v>GOFREP</x:v>
      </x:c>
      <x:c r="C11" s="23" t="str">
        <x:v>Gulf of Finland</x:v>
      </x:c>
      <x:c r="D11" s="23" t="str">
        <x:v>Mandatory</x:v>
      </x:c>
      <x:c r="E11" s="23" t="str">
        <x:v>Authority identifies scheme</x:v>
      </x:c>
      <x:c r="F11" s="23" t="str">
        <x:v>Service records not established</x:v>
      </x:c>
      <x:c r="G11" s="23" t="str">
        <x:v>TSS-021; TSS-022; TSS-023; TSS-024; TSS-025; TSS-026</x:v>
      </x:c>
      <x:c r="H11" s="23" t="str">
        <x:v>Boundary/applicability review pending</x:v>
      </x:c>
      <x:c r="I11" s="23" t="str">
        <x:v>S07</x:v>
      </x:c>
      <x:c r="J11" s="26" t="str">
        <x:v>https://www.transportstyrelsen.se/sv/sjofart/sjotrafik-och-hamnar/sjotrafikrapporteringssystem-srs/</x:v>
      </x:c>
      <x:c r="K11" s="23" t="str">
        <x:v>2026-09-29</x:v>
      </x:c>
      <x:c r="L11" s="23" t="str">
        <x:v>Named by maritime administration. Direct authority, current procedures and boundaries still require checks.</x:v>
      </x:c>
    </x:row>
    <x:row r="12" ht="97" customHeight="1">
      <x:c r="A12" s="23" t="str">
        <x:v>RPT-007</x:v>
      </x:c>
      <x:c r="B12" s="23" t="str">
        <x:v>GDANREP</x:v>
      </x:c>
      <x:c r="C12" s="23" t="str">
        <x:v>Gulf of Gdansk</x:v>
      </x:c>
      <x:c r="D12" s="23" t="str">
        <x:v>Mandatory</x:v>
      </x:c>
      <x:c r="E12" s="23" t="str">
        <x:v>Authority identifies scheme</x:v>
      </x:c>
      <x:c r="F12" s="23" t="str">
        <x:v>Service record not established</x:v>
      </x:c>
      <x:c r="G12" s="23" t="str">
        <x:v>TSS-043</x:v>
      </x:c>
      <x:c r="H12" s="23" t="str">
        <x:v>Boundary/applicability review pending</x:v>
      </x:c>
      <x:c r="I12" s="23" t="str">
        <x:v>S07</x:v>
      </x:c>
      <x:c r="J12" s="26" t="str">
        <x:v>https://www.transportstyrelsen.se/sv/sjofart/sjotrafik-och-hamnar/sjotrafikrapporteringssystem-srs/</x:v>
      </x:c>
      <x:c r="K12" s="23" t="str">
        <x:v>2026-09-29</x:v>
      </x:c>
      <x:c r="L12" s="23" t="str">
        <x:v>Named by maritime administration. Direct Polish source and current boundaries still require checks.</x:v>
      </x:c>
    </x:row>
    <x:row r="13" ht="97" customHeight="1">
      <x:c r="A13" s="23" t="str">
        <x:v>RPT-008</x:v>
      </x:c>
      <x:c r="B13" s="23" t="str">
        <x:v>Offshore Vessel Movement Reporting System (OVMRS)</x:v>
      </x:c>
      <x:c r="C13" s="23" t="str">
        <x:v>Off San Francisco</x:v>
      </x:c>
      <x:c r="D13" s="23" t="str">
        <x:v>Voluntary</x:v>
      </x:c>
      <x:c r="E13" s="23" t="str">
        <x:v>Authority identifies scheme</x:v>
      </x:c>
      <x:c r="F13" s="23" t="str">
        <x:v>VTS-011</x:v>
      </x:c>
      <x:c r="G13" s="23" t="str">
        <x:v>TSS-132</x:v>
      </x:c>
      <x:c r="H13" s="23" t="str">
        <x:v>Boundary/applicability review pending</x:v>
      </x:c>
      <x:c r="I13" s="23" t="str">
        <x:v>S11</x:v>
      </x:c>
      <x:c r="J13" s="26" t="str">
        <x:v>https://www.navcen.uscg.gov/vessel-traffic-services-locations</x:v>
      </x:c>
      <x:c r="K13" s="23" t="str">
        <x:v>2026-09-29</x:v>
      </x:c>
      <x:c r="L13" s="23" t="str">
        <x:v>Recorded to prevent misclassification. Excluded from the mandatory reporting-system subtotal.</x:v>
      </x:c>
    </x:row>
  </x:sheetData>
  <x:mergeCells>
    <x:mergeCell ref="A1:L2"/>
    <x:mergeCell ref="A3:L3"/>
  </x:mergeCells>
  <x:conditionalFormatting sqref="D6:D13">
    <x:cfRule type="expression" dxfId="2" priority="1">
      <x:formula>D6="Voluntary"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8c734b568a4e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40" hidden="0" customWidth="1"/>
    <x:col min="5" max="5" width="40" hidden="0" customWidth="1"/>
    <x:col min="6" max="6" width="24" hidden="0" customWidth="1"/>
    <x:col min="7" max="7" width="50" hidden="0" customWidth="1"/>
    <x:col min="8" max="8" width="17" hidden="0" customWidth="1"/>
    <x:col min="9" max="9" width="65" hidden="0" customWidth="1"/>
  </x:cols>
  <x:sheetData>
    <x:row r="1" ht="21" customHeight="1">
      <x:c r="A1" s="6" t="str">
        <x:v>ENTITY RELATIONSHIPS</x:v>
      </x:c>
      <x:c r="B1" s="6"/>
      <x:c r="C1" s="6"/>
      <x:c r="D1" s="6"/>
      <x:c r="E1" s="6"/>
      <x:c r="F1" s="6"/>
      <x:c r="G1" s="6"/>
      <x:c r="H1" s="6"/>
      <x:c r="I1" s="6"/>
    </x:row>
    <x:row r="2" ht="21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ht="32" customHeight="1">
      <x:c r="A3" s="11" t="str">
        <x:v>Authority-stated links are distinguished from geographical research leads. A candidate link does not prove TSS coverage.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5" customHeight="1">
      <x:c r="A5" s="17" t="str">
        <x:v>Relationship ID</x:v>
      </x:c>
      <x:c r="B5" s="17" t="str">
        <x:v>From ID</x:v>
      </x:c>
      <x:c r="C5" s="17" t="str">
        <x:v>To ID</x:v>
      </x:c>
      <x:c r="D5" s="17" t="str">
        <x:v>Relationship type</x:v>
      </x:c>
      <x:c r="E5" s="17" t="str">
        <x:v>Evidence status</x:v>
      </x:c>
      <x:c r="F5" s="17" t="str">
        <x:v>Source IDs</x:v>
      </x:c>
      <x:c r="G5" s="17" t="str">
        <x:v>Source URLs</x:v>
      </x:c>
      <x:c r="H5" s="17" t="str">
        <x:v>Checked</x:v>
      </x:c>
      <x:c r="I5" s="17" t="str">
        <x:v>Qualification</x:v>
      </x:c>
    </x:row>
    <x:row r="6" ht="59" customHeight="1">
      <x:c r="A6" s="23" t="str">
        <x:v>REL-001</x:v>
      </x:c>
      <x:c r="B6" s="23" t="str">
        <x:v>VTS-001</x:v>
      </x:c>
      <x:c r="C6" s="23" t="str">
        <x:v>RPT-001</x:v>
      </x:c>
      <x:c r="D6" s="23" t="str">
        <x:v>Operates / participates in reporting system</x:v>
      </x:c>
      <x:c r="E6" s="23" t="str">
        <x:v>Authority-stated relationship</x:v>
      </x:c>
      <x:c r="F6" s="23" t="str">
        <x:v>S04</x:v>
      </x:c>
      <x:c r="G6" s="26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6" s="23" t="str">
        <x:v>2026-09-29</x:v>
      </x:c>
      <x:c r="I6" s="23" t="str">
        <x:v>This relationship does not establish the boundaries of any TSS.</x:v>
      </x:c>
    </x:row>
    <x:row r="7" ht="59" customHeight="1">
      <x:c r="A7" s="23" t="str">
        <x:v>REL-002</x:v>
      </x:c>
      <x:c r="B7" s="23" t="str">
        <x:v>VTS-002</x:v>
      </x:c>
      <x:c r="C7" s="23" t="str">
        <x:v>RPT-002</x:v>
      </x:c>
      <x:c r="D7" s="23" t="str">
        <x:v>Operates / participates in reporting system</x:v>
      </x:c>
      <x:c r="E7" s="23" t="str">
        <x:v>Authority-stated relationship</x:v>
      </x:c>
      <x:c r="F7" s="23" t="str">
        <x:v>S05; S06</x:v>
      </x:c>
      <x:c r="G7" s="26" t="str">
        <x:v>https://www.forsvaret.dk/da/organisation/soevaernet/civile-opgaver/beltrep/
https://www.brs.dk/da/om-os/organisation/sikre-farvande/obligatoriske-skibsmeldesystemer-msrs-og-skibstrafiktjenester-vts/</x:v>
      </x:c>
      <x:c r="H7" s="23" t="str">
        <x:v>2026-09-29</x:v>
      </x:c>
      <x:c r="I7" s="23" t="str">
        <x:v>This relationship does not establish the boundaries of any TSS.</x:v>
      </x:c>
    </x:row>
    <x:row r="8" ht="59" customHeight="1">
      <x:c r="A8" s="23" t="str">
        <x:v>REL-003</x:v>
      </x:c>
      <x:c r="B8" s="23" t="str">
        <x:v>VTS-003</x:v>
      </x:c>
      <x:c r="C8" s="23" t="str">
        <x:v>RPT-003</x:v>
      </x:c>
      <x:c r="D8" s="23" t="str">
        <x:v>Operates / participates in reporting system</x:v>
      </x:c>
      <x:c r="E8" s="23" t="str">
        <x:v>Authority-stated relationship</x:v>
      </x:c>
      <x:c r="F8" s="23" t="str">
        <x:v>S06; S07</x:v>
      </x:c>
      <x:c r="G8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H8" s="23" t="str">
        <x:v>2026-09-29</x:v>
      </x:c>
      <x:c r="I8" s="23" t="str">
        <x:v>This relationship does not establish the boundaries of any TSS.</x:v>
      </x:c>
    </x:row>
    <x:row r="9" ht="59" customHeight="1">
      <x:c r="A9" s="23" t="str">
        <x:v>REL-004</x:v>
      </x:c>
      <x:c r="B9" s="23" t="str">
        <x:v>VTS-004</x:v>
      </x:c>
      <x:c r="C9" s="23" t="str">
        <x:v>RPT-004</x:v>
      </x:c>
      <x:c r="D9" s="23" t="str">
        <x:v>Operates / participates in reporting system</x:v>
      </x:c>
      <x:c r="E9" s="23" t="str">
        <x:v>Authority-stated relationship</x:v>
      </x:c>
      <x:c r="F9" s="23" t="str">
        <x:v>S08; S09</x:v>
      </x:c>
      <x:c r="G9" s="26" t="str">
        <x:v>https://www.mpa.gov.sg/port-marine-ops/operations/vessel-traffic-information-system
https://www.mpa.gov.sg/port-marine-ops/operations/vessel-traffic-information-system/operational-areas</x:v>
      </x:c>
      <x:c r="H9" s="23" t="str">
        <x:v>2026-09-29</x:v>
      </x:c>
      <x:c r="I9" s="23" t="str">
        <x:v>This relationship does not establish the boundaries of any TSS.</x:v>
      </x:c>
    </x:row>
    <x:row r="10" ht="59" customHeight="1">
      <x:c r="A10" s="23" t="str">
        <x:v>REL-005</x:v>
      </x:c>
      <x:c r="B10" s="23" t="str">
        <x:v>VTS-005</x:v>
      </x:c>
      <x:c r="C10" s="23" t="str">
        <x:v>RPT-004</x:v>
      </x:c>
      <x:c r="D10" s="23" t="str">
        <x:v>Operates / participates in reporting system</x:v>
      </x:c>
      <x:c r="E10" s="23" t="str">
        <x:v>Authority-stated relationship</x:v>
      </x:c>
      <x:c r="F10" s="23" t="str">
        <x:v>S08; S09</x:v>
      </x:c>
      <x:c r="G10" s="26" t="str">
        <x:v>https://www.mpa.gov.sg/port-marine-ops/operations/vessel-traffic-information-system
https://www.mpa.gov.sg/port-marine-ops/operations/vessel-traffic-information-system/operational-areas</x:v>
      </x:c>
      <x:c r="H10" s="23" t="str">
        <x:v>2026-09-29</x:v>
      </x:c>
      <x:c r="I10" s="23" t="str">
        <x:v>This relationship does not establish the boundaries of any TSS.</x:v>
      </x:c>
    </x:row>
    <x:row r="11" ht="59" customHeight="1">
      <x:c r="A11" s="23" t="str">
        <x:v>REL-006</x:v>
      </x:c>
      <x:c r="B11" s="23" t="str">
        <x:v>VTS-006</x:v>
      </x:c>
      <x:c r="C11" s="23" t="str">
        <x:v>RPT-004</x:v>
      </x:c>
      <x:c r="D11" s="23" t="str">
        <x:v>Operates / participates in reporting system</x:v>
      </x:c>
      <x:c r="E11" s="23" t="str">
        <x:v>Authority-stated relationship</x:v>
      </x:c>
      <x:c r="F11" s="23" t="str">
        <x:v>S08; S09</x:v>
      </x:c>
      <x:c r="G11" s="26" t="str">
        <x:v>https://www.mpa.gov.sg/port-marine-ops/operations/vessel-traffic-information-system
https://www.mpa.gov.sg/port-marine-ops/operations/vessel-traffic-information-system/operational-areas</x:v>
      </x:c>
      <x:c r="H11" s="23" t="str">
        <x:v>2026-09-29</x:v>
      </x:c>
      <x:c r="I11" s="23" t="str">
        <x:v>This relationship does not establish the boundaries of any TSS.</x:v>
      </x:c>
    </x:row>
    <x:row r="12" ht="59" customHeight="1">
      <x:c r="A12" s="23" t="str">
        <x:v>REL-007</x:v>
      </x:c>
      <x:c r="B12" s="23" t="str">
        <x:v>VTS-007</x:v>
      </x:c>
      <x:c r="C12" s="23" t="str">
        <x:v>RPT-005</x:v>
      </x:c>
      <x:c r="D12" s="23" t="str">
        <x:v>Operates / participates in reporting system</x:v>
      </x:c>
      <x:c r="E12" s="23" t="str">
        <x:v>Authority-stated relationship</x:v>
      </x:c>
      <x:c r="F12" s="23" t="str">
        <x:v>S10</x:v>
      </x:c>
      <x:c r="G12" s="26" t="str">
        <x:v>https://www.msq.qld.gov.au/shipping/reefvts</x:v>
      </x:c>
      <x:c r="H12" s="23" t="str">
        <x:v>2026-09-29</x:v>
      </x:c>
      <x:c r="I12" s="23" t="str">
        <x:v>This relationship does not establish the boundaries of any TSS.</x:v>
      </x:c>
    </x:row>
    <x:row r="13" ht="59" customHeight="1">
      <x:c r="A13" s="23" t="str">
        <x:v>REL-008</x:v>
      </x:c>
      <x:c r="B13" s="23" t="str">
        <x:v>VTS-011</x:v>
      </x:c>
      <x:c r="C13" s="23" t="str">
        <x:v>RPT-008</x:v>
      </x:c>
      <x:c r="D13" s="23" t="str">
        <x:v>Operates / participates in reporting system</x:v>
      </x:c>
      <x:c r="E13" s="23" t="str">
        <x:v>Authority-stated relationship</x:v>
      </x:c>
      <x:c r="F13" s="23" t="str">
        <x:v>S11</x:v>
      </x:c>
      <x:c r="G13" s="26" t="str">
        <x:v>https://www.navcen.uscg.gov/vessel-traffic-services-locations</x:v>
      </x:c>
      <x:c r="H13" s="23" t="str">
        <x:v>2026-09-29</x:v>
      </x:c>
      <x:c r="I13" s="23" t="str">
        <x:v>This relationship does not establish the boundaries of any TSS.</x:v>
      </x:c>
    </x:row>
    <x:row r="14" ht="59" customHeight="1">
      <x:c r="A14" s="23" t="str">
        <x:v>REL-009</x:v>
      </x:c>
      <x:c r="B14" s="23" t="str">
        <x:v>TSS-005</x:v>
      </x:c>
      <x:c r="C14" s="23" t="str">
        <x:v>VTS-001</x:v>
      </x:c>
      <x:c r="D14" s="23" t="str">
        <x:v>TSS / VTS screening</x:v>
      </x:c>
      <x:c r="E14" s="23" t="str">
        <x:v>Association documented</x:v>
      </x:c>
      <x:c r="F14" s="23" t="str">
        <x:v>S04</x:v>
      </x:c>
      <x:c r="G14" s="26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14" s="23" t="str">
        <x:v>2026-09-29</x:v>
      </x:c>
      <x:c r="I14" s="23" t="str">
        <x:v>Dover TSS association identified in MCA guidance.</x:v>
      </x:c>
    </x:row>
    <x:row r="15" ht="59" customHeight="1">
      <x:c r="A15" s="23" t="str">
        <x:v>REL-010</x:v>
      </x:c>
      <x:c r="B15" s="23" t="str">
        <x:v>TSS-038</x:v>
      </x:c>
      <x:c r="C15" s="23" t="str">
        <x:v>VTS-002</x:v>
      </x:c>
      <x:c r="D15" s="23" t="str">
        <x:v>TSS / VTS screening</x:v>
      </x:c>
      <x:c r="E15" s="23" t="str">
        <x:v>Candidate link: boundary check pending</x:v>
      </x:c>
      <x:c r="F15" s="23" t="str">
        <x:v>S05; S06</x:v>
      </x:c>
      <x:c r="G15" s="26" t="str">
        <x:v>https://www.forsvaret.dk/da/organisation/soevaernet/civile-opgaver/beltrep/
https://www.brs.dk/da/om-os/organisation/sikre-farvande/obligatoriske-skibsmeldesystemer-msrs-og-skibstrafiktjenester-vts/</x:v>
      </x:c>
      <x:c r="H15" s="23" t="str">
        <x:v>2026-09-29</x:v>
      </x:c>
      <x:c r="I15" s="23" t="str">
        <x:v>Search lead only. No full or partial TSS coverage has been concluded.</x:v>
      </x:c>
    </x:row>
    <x:row r="16" ht="59" customHeight="1">
      <x:c r="A16" s="23" t="str">
        <x:v>REL-011</x:v>
      </x:c>
      <x:c r="B16" s="23" t="str">
        <x:v>TSS-039</x:v>
      </x:c>
      <x:c r="C16" s="23" t="str">
        <x:v>VTS-002</x:v>
      </x:c>
      <x:c r="D16" s="23" t="str">
        <x:v>TSS / VTS screening</x:v>
      </x:c>
      <x:c r="E16" s="23" t="str">
        <x:v>Candidate link: boundary check pending</x:v>
      </x:c>
      <x:c r="F16" s="23" t="str">
        <x:v>S05; S06</x:v>
      </x:c>
      <x:c r="G16" s="26" t="str">
        <x:v>https://www.forsvaret.dk/da/organisation/soevaernet/civile-opgaver/beltrep/
https://www.brs.dk/da/om-os/organisation/sikre-farvande/obligatoriske-skibsmeldesystemer-msrs-og-skibstrafiktjenester-vts/</x:v>
      </x:c>
      <x:c r="H16" s="23" t="str">
        <x:v>2026-09-29</x:v>
      </x:c>
      <x:c r="I16" s="23" t="str">
        <x:v>Search lead only. No full or partial TSS coverage has been concluded.</x:v>
      </x:c>
    </x:row>
    <x:row r="17" ht="59" customHeight="1">
      <x:c r="A17" s="23" t="str">
        <x:v>REL-012</x:v>
      </x:c>
      <x:c r="B17" s="23" t="str">
        <x:v>TSS-040</x:v>
      </x:c>
      <x:c r="C17" s="23" t="str">
        <x:v>VTS-003</x:v>
      </x:c>
      <x:c r="D17" s="23" t="str">
        <x:v>TSS / VTS screening</x:v>
      </x:c>
      <x:c r="E17" s="23" t="str">
        <x:v>Candidate link: boundary check pending</x:v>
      </x:c>
      <x:c r="F17" s="23" t="str">
        <x:v>S06; S07</x:v>
      </x:c>
      <x:c r="G17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H17" s="23" t="str">
        <x:v>2026-09-29</x:v>
      </x:c>
      <x:c r="I17" s="23" t="str">
        <x:v>Search lead only. No full or partial TSS coverage has been concluded.</x:v>
      </x:c>
    </x:row>
    <x:row r="18" ht="59" customHeight="1">
      <x:c r="A18" s="23" t="str">
        <x:v>REL-013</x:v>
      </x:c>
      <x:c r="B18" s="23" t="str">
        <x:v>TSS-041</x:v>
      </x:c>
      <x:c r="C18" s="23" t="str">
        <x:v>VTS-003</x:v>
      </x:c>
      <x:c r="D18" s="23" t="str">
        <x:v>TSS / VTS screening</x:v>
      </x:c>
      <x:c r="E18" s="23" t="str">
        <x:v>Candidate link: boundary check pending</x:v>
      </x:c>
      <x:c r="F18" s="23" t="str">
        <x:v>S06; S07</x:v>
      </x:c>
      <x:c r="G18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H18" s="23" t="str">
        <x:v>2026-09-29</x:v>
      </x:c>
      <x:c r="I18" s="23" t="str">
        <x:v>Search lead only. No full or partial TSS coverage has been concluded.</x:v>
      </x:c>
    </x:row>
    <x:row r="19" ht="59" customHeight="1">
      <x:c r="A19" s="23" t="str">
        <x:v>REL-014</x:v>
      </x:c>
      <x:c r="B19" s="23" t="str">
        <x:v>TSS-107</x:v>
      </x:c>
      <x:c r="C19" s="23" t="str">
        <x:v>VTS-004</x:v>
      </x:c>
      <x:c r="D19" s="23" t="str">
        <x:v>TSS / VTS screening</x:v>
      </x:c>
      <x:c r="E19" s="23" t="str">
        <x:v>Candidate link: boundary check pending</x:v>
      </x:c>
      <x:c r="F19" s="23" t="str">
        <x:v>S09</x:v>
      </x:c>
      <x:c r="G19" s="26" t="str">
        <x:v>https://www.mpa.gov.sg/port-marine-ops/operations/vessel-traffic-information-system/operational-areas</x:v>
      </x:c>
      <x:c r="H19" s="23" t="str">
        <x:v>2026-09-29</x:v>
      </x:c>
      <x:c r="I19" s="23" t="str">
        <x:v>Search lead only. No full or partial TSS coverage has been concluded.</x:v>
      </x:c>
    </x:row>
    <x:row r="20" ht="59" customHeight="1">
      <x:c r="A20" s="23" t="str">
        <x:v>REL-015</x:v>
      </x:c>
      <x:c r="B20" s="23" t="str">
        <x:v>TSS-108</x:v>
      </x:c>
      <x:c r="C20" s="23" t="str">
        <x:v>VTS-004</x:v>
      </x:c>
      <x:c r="D20" s="23" t="str">
        <x:v>TSS / VTS screening</x:v>
      </x:c>
      <x:c r="E20" s="23" t="str">
        <x:v>Candidate link: boundary check pending</x:v>
      </x:c>
      <x:c r="F20" s="23" t="str">
        <x:v>S09</x:v>
      </x:c>
      <x:c r="G20" s="26" t="str">
        <x:v>https://www.mpa.gov.sg/port-marine-ops/operations/vessel-traffic-information-system/operational-areas</x:v>
      </x:c>
      <x:c r="H20" s="23" t="str">
        <x:v>2026-09-29</x:v>
      </x:c>
      <x:c r="I20" s="23" t="str">
        <x:v>Search lead only. No full or partial TSS coverage has been concluded.</x:v>
      </x:c>
    </x:row>
    <x:row r="21" ht="59" customHeight="1">
      <x:c r="A21" s="23" t="str">
        <x:v>REL-016</x:v>
      </x:c>
      <x:c r="B21" s="23" t="str">
        <x:v>TSS-109</x:v>
      </x:c>
      <x:c r="C21" s="23" t="str">
        <x:v>VTS-004</x:v>
      </x:c>
      <x:c r="D21" s="23" t="str">
        <x:v>TSS / VTS screening</x:v>
      </x:c>
      <x:c r="E21" s="23" t="str">
        <x:v>Candidate link: boundary check pending</x:v>
      </x:c>
      <x:c r="F21" s="23" t="str">
        <x:v>S09</x:v>
      </x:c>
      <x:c r="G21" s="26" t="str">
        <x:v>https://www.mpa.gov.sg/port-marine-ops/operations/vessel-traffic-information-system/operational-areas</x:v>
      </x:c>
      <x:c r="H21" s="23" t="str">
        <x:v>2026-09-29</x:v>
      </x:c>
      <x:c r="I21" s="23" t="str">
        <x:v>Search lead only. No full or partial TSS coverage has been concluded.</x:v>
      </x:c>
    </x:row>
    <x:row r="22" ht="59" customHeight="1">
      <x:c r="A22" s="23" t="str">
        <x:v>REL-017</x:v>
      </x:c>
      <x:c r="B22" s="23" t="str">
        <x:v>TSS-110</x:v>
      </x:c>
      <x:c r="C22" s="23" t="str">
        <x:v>VTS-004</x:v>
      </x:c>
      <x:c r="D22" s="23" t="str">
        <x:v>TSS / VTS screening</x:v>
      </x:c>
      <x:c r="E22" s="23" t="str">
        <x:v>Candidate link: boundary check pending</x:v>
      </x:c>
      <x:c r="F22" s="23" t="str">
        <x:v>S09</x:v>
      </x:c>
      <x:c r="G22" s="26" t="str">
        <x:v>https://www.mpa.gov.sg/port-marine-ops/operations/vessel-traffic-information-system/operational-areas</x:v>
      </x:c>
      <x:c r="H22" s="23" t="str">
        <x:v>2026-09-29</x:v>
      </x:c>
      <x:c r="I22" s="23" t="str">
        <x:v>Search lead only. No full or partial TSS coverage has been concluded.</x:v>
      </x:c>
    </x:row>
    <x:row r="23" ht="59" customHeight="1">
      <x:c r="A23" s="23" t="str">
        <x:v>REL-018</x:v>
      </x:c>
      <x:c r="B23" s="23" t="str">
        <x:v>TSS-111</x:v>
      </x:c>
      <x:c r="C23" s="23" t="str">
        <x:v>VTS-004</x:v>
      </x:c>
      <x:c r="D23" s="23" t="str">
        <x:v>TSS / VTS screening</x:v>
      </x:c>
      <x:c r="E23" s="23" t="str">
        <x:v>Candidate link: boundary check pending</x:v>
      </x:c>
      <x:c r="F23" s="23" t="str">
        <x:v>S09</x:v>
      </x:c>
      <x:c r="G23" s="26" t="str">
        <x:v>https://www.mpa.gov.sg/port-marine-ops/operations/vessel-traffic-information-system/operational-areas</x:v>
      </x:c>
      <x:c r="H23" s="23" t="str">
        <x:v>2026-09-29</x:v>
      </x:c>
      <x:c r="I23" s="23" t="str">
        <x:v>Search lead only. No full or partial TSS coverage has been concluded.</x:v>
      </x:c>
    </x:row>
    <x:row r="24" ht="59" customHeight="1">
      <x:c r="A24" s="23" t="str">
        <x:v>REL-019</x:v>
      </x:c>
      <x:c r="B24" s="23" t="str">
        <x:v>TSS-112</x:v>
      </x:c>
      <x:c r="C24" s="23" t="str">
        <x:v>VTS-004</x:v>
      </x:c>
      <x:c r="D24" s="23" t="str">
        <x:v>TSS / VTS screening</x:v>
      </x:c>
      <x:c r="E24" s="23" t="str">
        <x:v>Candidate link: boundary check pending</x:v>
      </x:c>
      <x:c r="F24" s="23" t="str">
        <x:v>S09</x:v>
      </x:c>
      <x:c r="G24" s="26" t="str">
        <x:v>https://www.mpa.gov.sg/port-marine-ops/operations/vessel-traffic-information-system/operational-areas</x:v>
      </x:c>
      <x:c r="H24" s="23" t="str">
        <x:v>2026-09-29</x:v>
      </x:c>
      <x:c r="I24" s="23" t="str">
        <x:v>Search lead only. No full or partial TSS coverage has been concluded.</x:v>
      </x:c>
    </x:row>
    <x:row r="25" ht="59" customHeight="1">
      <x:c r="A25" s="23" t="str">
        <x:v>REL-020</x:v>
      </x:c>
      <x:c r="B25" s="23" t="str">
        <x:v>TSS-113</x:v>
      </x:c>
      <x:c r="C25" s="23" t="str">
        <x:v>VTS-004</x:v>
      </x:c>
      <x:c r="D25" s="23" t="str">
        <x:v>TSS / VTS screening</x:v>
      </x:c>
      <x:c r="E25" s="23" t="str">
        <x:v>Candidate link: boundary check pending</x:v>
      </x:c>
      <x:c r="F25" s="23" t="str">
        <x:v>S09</x:v>
      </x:c>
      <x:c r="G25" s="26" t="str">
        <x:v>https://www.mpa.gov.sg/port-marine-ops/operations/vessel-traffic-information-system/operational-areas</x:v>
      </x:c>
      <x:c r="H25" s="23" t="str">
        <x:v>2026-09-29</x:v>
      </x:c>
      <x:c r="I25" s="23" t="str">
        <x:v>Search lead only. No full or partial TSS coverage has been concluded.</x:v>
      </x:c>
    </x:row>
    <x:row r="26" ht="59" customHeight="1">
      <x:c r="A26" s="23" t="str">
        <x:v>REL-021</x:v>
      </x:c>
      <x:c r="B26" s="23" t="str">
        <x:v>TSS-114</x:v>
      </x:c>
      <x:c r="C26" s="23" t="str">
        <x:v>VTS-004</x:v>
      </x:c>
      <x:c r="D26" s="23" t="str">
        <x:v>TSS / VTS screening</x:v>
      </x:c>
      <x:c r="E26" s="23" t="str">
        <x:v>Candidate link: boundary check pending</x:v>
      </x:c>
      <x:c r="F26" s="23" t="str">
        <x:v>S09</x:v>
      </x:c>
      <x:c r="G26" s="26" t="str">
        <x:v>https://www.mpa.gov.sg/port-marine-ops/operations/vessel-traffic-information-system/operational-areas</x:v>
      </x:c>
      <x:c r="H26" s="23" t="str">
        <x:v>2026-09-29</x:v>
      </x:c>
      <x:c r="I26" s="23" t="str">
        <x:v>Search lead only. No full or partial TSS coverage has been concluded.</x:v>
      </x:c>
    </x:row>
    <x:row r="27" ht="59" customHeight="1">
      <x:c r="A27" s="23" t="str">
        <x:v>REL-022</x:v>
      </x:c>
      <x:c r="B27" s="23" t="str">
        <x:v>TSS-107</x:v>
      </x:c>
      <x:c r="C27" s="23" t="str">
        <x:v>VTS-005</x:v>
      </x:c>
      <x:c r="D27" s="23" t="str">
        <x:v>TSS / VTS screening</x:v>
      </x:c>
      <x:c r="E27" s="23" t="str">
        <x:v>Candidate link: boundary check pending</x:v>
      </x:c>
      <x:c r="F27" s="23" t="str">
        <x:v>S09</x:v>
      </x:c>
      <x:c r="G27" s="26" t="str">
        <x:v>https://www.mpa.gov.sg/port-marine-ops/operations/vessel-traffic-information-system/operational-areas</x:v>
      </x:c>
      <x:c r="H27" s="23" t="str">
        <x:v>2026-09-29</x:v>
      </x:c>
      <x:c r="I27" s="23" t="str">
        <x:v>Search lead only. No full or partial TSS coverage has been concluded.</x:v>
      </x:c>
    </x:row>
    <x:row r="28" ht="59" customHeight="1">
      <x:c r="A28" s="23" t="str">
        <x:v>REL-023</x:v>
      </x:c>
      <x:c r="B28" s="23" t="str">
        <x:v>TSS-108</x:v>
      </x:c>
      <x:c r="C28" s="23" t="str">
        <x:v>VTS-005</x:v>
      </x:c>
      <x:c r="D28" s="23" t="str">
        <x:v>TSS / VTS screening</x:v>
      </x:c>
      <x:c r="E28" s="23" t="str">
        <x:v>Candidate link: boundary check pending</x:v>
      </x:c>
      <x:c r="F28" s="23" t="str">
        <x:v>S09</x:v>
      </x:c>
      <x:c r="G28" s="26" t="str">
        <x:v>https://www.mpa.gov.sg/port-marine-ops/operations/vessel-traffic-information-system/operational-areas</x:v>
      </x:c>
      <x:c r="H28" s="23" t="str">
        <x:v>2026-09-29</x:v>
      </x:c>
      <x:c r="I28" s="23" t="str">
        <x:v>Search lead only. No full or partial TSS coverage has been concluded.</x:v>
      </x:c>
    </x:row>
    <x:row r="29" ht="59" customHeight="1">
      <x:c r="A29" s="23" t="str">
        <x:v>REL-024</x:v>
      </x:c>
      <x:c r="B29" s="23" t="str">
        <x:v>TSS-109</x:v>
      </x:c>
      <x:c r="C29" s="23" t="str">
        <x:v>VTS-005</x:v>
      </x:c>
      <x:c r="D29" s="23" t="str">
        <x:v>TSS / VTS screening</x:v>
      </x:c>
      <x:c r="E29" s="23" t="str">
        <x:v>Candidate link: boundary check pending</x:v>
      </x:c>
      <x:c r="F29" s="23" t="str">
        <x:v>S09</x:v>
      </x:c>
      <x:c r="G29" s="26" t="str">
        <x:v>https://www.mpa.gov.sg/port-marine-ops/operations/vessel-traffic-information-system/operational-areas</x:v>
      </x:c>
      <x:c r="H29" s="23" t="str">
        <x:v>2026-09-29</x:v>
      </x:c>
      <x:c r="I29" s="23" t="str">
        <x:v>Search lead only. No full or partial TSS coverage has been concluded.</x:v>
      </x:c>
    </x:row>
    <x:row r="30" ht="59" customHeight="1">
      <x:c r="A30" s="23" t="str">
        <x:v>REL-025</x:v>
      </x:c>
      <x:c r="B30" s="23" t="str">
        <x:v>TSS-110</x:v>
      </x:c>
      <x:c r="C30" s="23" t="str">
        <x:v>VTS-005</x:v>
      </x:c>
      <x:c r="D30" s="23" t="str">
        <x:v>TSS / VTS screening</x:v>
      </x:c>
      <x:c r="E30" s="23" t="str">
        <x:v>Candidate link: boundary check pending</x:v>
      </x:c>
      <x:c r="F30" s="23" t="str">
        <x:v>S09</x:v>
      </x:c>
      <x:c r="G30" s="26" t="str">
        <x:v>https://www.mpa.gov.sg/port-marine-ops/operations/vessel-traffic-information-system/operational-areas</x:v>
      </x:c>
      <x:c r="H30" s="23" t="str">
        <x:v>2026-09-29</x:v>
      </x:c>
      <x:c r="I30" s="23" t="str">
        <x:v>Search lead only. No full or partial TSS coverage has been concluded.</x:v>
      </x:c>
    </x:row>
    <x:row r="31" ht="59" customHeight="1">
      <x:c r="A31" s="23" t="str">
        <x:v>REL-026</x:v>
      </x:c>
      <x:c r="B31" s="23" t="str">
        <x:v>TSS-111</x:v>
      </x:c>
      <x:c r="C31" s="23" t="str">
        <x:v>VTS-005</x:v>
      </x:c>
      <x:c r="D31" s="23" t="str">
        <x:v>TSS / VTS screening</x:v>
      </x:c>
      <x:c r="E31" s="23" t="str">
        <x:v>Candidate link: boundary check pending</x:v>
      </x:c>
      <x:c r="F31" s="23" t="str">
        <x:v>S09</x:v>
      </x:c>
      <x:c r="G31" s="26" t="str">
        <x:v>https://www.mpa.gov.sg/port-marine-ops/operations/vessel-traffic-information-system/operational-areas</x:v>
      </x:c>
      <x:c r="H31" s="23" t="str">
        <x:v>2026-09-29</x:v>
      </x:c>
      <x:c r="I31" s="23" t="str">
        <x:v>Search lead only. No full or partial TSS coverage has been concluded.</x:v>
      </x:c>
    </x:row>
    <x:row r="32" ht="59" customHeight="1">
      <x:c r="A32" s="23" t="str">
        <x:v>REL-027</x:v>
      </x:c>
      <x:c r="B32" s="23" t="str">
        <x:v>TSS-112</x:v>
      </x:c>
      <x:c r="C32" s="23" t="str">
        <x:v>VTS-005</x:v>
      </x:c>
      <x:c r="D32" s="23" t="str">
        <x:v>TSS / VTS screening</x:v>
      </x:c>
      <x:c r="E32" s="23" t="str">
        <x:v>Candidate link: boundary check pending</x:v>
      </x:c>
      <x:c r="F32" s="23" t="str">
        <x:v>S09</x:v>
      </x:c>
      <x:c r="G32" s="26" t="str">
        <x:v>https://www.mpa.gov.sg/port-marine-ops/operations/vessel-traffic-information-system/operational-areas</x:v>
      </x:c>
      <x:c r="H32" s="23" t="str">
        <x:v>2026-09-29</x:v>
      </x:c>
      <x:c r="I32" s="23" t="str">
        <x:v>Search lead only. No full or partial TSS coverage has been concluded.</x:v>
      </x:c>
    </x:row>
    <x:row r="33" ht="59" customHeight="1">
      <x:c r="A33" s="23" t="str">
        <x:v>REL-028</x:v>
      </x:c>
      <x:c r="B33" s="23" t="str">
        <x:v>TSS-113</x:v>
      </x:c>
      <x:c r="C33" s="23" t="str">
        <x:v>VTS-005</x:v>
      </x:c>
      <x:c r="D33" s="23" t="str">
        <x:v>TSS / VTS screening</x:v>
      </x:c>
      <x:c r="E33" s="23" t="str">
        <x:v>Candidate link: boundary check pending</x:v>
      </x:c>
      <x:c r="F33" s="23" t="str">
        <x:v>S09</x:v>
      </x:c>
      <x:c r="G33" s="26" t="str">
        <x:v>https://www.mpa.gov.sg/port-marine-ops/operations/vessel-traffic-information-system/operational-areas</x:v>
      </x:c>
      <x:c r="H33" s="23" t="str">
        <x:v>2026-09-29</x:v>
      </x:c>
      <x:c r="I33" s="23" t="str">
        <x:v>Search lead only. No full or partial TSS coverage has been concluded.</x:v>
      </x:c>
    </x:row>
    <x:row r="34" ht="59" customHeight="1">
      <x:c r="A34" s="23" t="str">
        <x:v>REL-029</x:v>
      </x:c>
      <x:c r="B34" s="23" t="str">
        <x:v>TSS-114</x:v>
      </x:c>
      <x:c r="C34" s="23" t="str">
        <x:v>VTS-005</x:v>
      </x:c>
      <x:c r="D34" s="23" t="str">
        <x:v>TSS / VTS screening</x:v>
      </x:c>
      <x:c r="E34" s="23" t="str">
        <x:v>Candidate link: boundary check pending</x:v>
      </x:c>
      <x:c r="F34" s="23" t="str">
        <x:v>S09</x:v>
      </x:c>
      <x:c r="G34" s="26" t="str">
        <x:v>https://www.mpa.gov.sg/port-marine-ops/operations/vessel-traffic-information-system/operational-areas</x:v>
      </x:c>
      <x:c r="H34" s="23" t="str">
        <x:v>2026-09-29</x:v>
      </x:c>
      <x:c r="I34" s="23" t="str">
        <x:v>Search lead only. No full or partial TSS coverage has been concluded.</x:v>
      </x:c>
    </x:row>
    <x:row r="35" ht="59" customHeight="1">
      <x:c r="A35" s="23" t="str">
        <x:v>REL-030</x:v>
      </x:c>
      <x:c r="B35" s="23" t="str">
        <x:v>TSS-107</x:v>
      </x:c>
      <x:c r="C35" s="23" t="str">
        <x:v>VTS-006</x:v>
      </x:c>
      <x:c r="D35" s="23" t="str">
        <x:v>TSS / VTS screening</x:v>
      </x:c>
      <x:c r="E35" s="23" t="str">
        <x:v>Candidate link: boundary check pending</x:v>
      </x:c>
      <x:c r="F35" s="23" t="str">
        <x:v>S08; S09</x:v>
      </x:c>
      <x:c r="G35" s="26" t="str">
        <x:v>https://www.mpa.gov.sg/port-marine-ops/operations/vessel-traffic-information-system
https://www.mpa.gov.sg/port-marine-ops/operations/vessel-traffic-information-system/operational-areas</x:v>
      </x:c>
      <x:c r="H35" s="23" t="str">
        <x:v>2026-09-29</x:v>
      </x:c>
      <x:c r="I35" s="23" t="str">
        <x:v>Search lead only. No full or partial TSS coverage has been concluded.</x:v>
      </x:c>
    </x:row>
    <x:row r="36" ht="59" customHeight="1">
      <x:c r="A36" s="23" t="str">
        <x:v>REL-031</x:v>
      </x:c>
      <x:c r="B36" s="23" t="str">
        <x:v>TSS-108</x:v>
      </x:c>
      <x:c r="C36" s="23" t="str">
        <x:v>VTS-006</x:v>
      </x:c>
      <x:c r="D36" s="23" t="str">
        <x:v>TSS / VTS screening</x:v>
      </x:c>
      <x:c r="E36" s="23" t="str">
        <x:v>Candidate link: boundary check pending</x:v>
      </x:c>
      <x:c r="F36" s="23" t="str">
        <x:v>S08; S09</x:v>
      </x:c>
      <x:c r="G36" s="26" t="str">
        <x:v>https://www.mpa.gov.sg/port-marine-ops/operations/vessel-traffic-information-system
https://www.mpa.gov.sg/port-marine-ops/operations/vessel-traffic-information-system/operational-areas</x:v>
      </x:c>
      <x:c r="H36" s="23" t="str">
        <x:v>2026-09-29</x:v>
      </x:c>
      <x:c r="I36" s="23" t="str">
        <x:v>Search lead only. No full or partial TSS coverage has been concluded.</x:v>
      </x:c>
    </x:row>
    <x:row r="37" ht="59" customHeight="1">
      <x:c r="A37" s="23" t="str">
        <x:v>REL-032</x:v>
      </x:c>
      <x:c r="B37" s="23" t="str">
        <x:v>TSS-109</x:v>
      </x:c>
      <x:c r="C37" s="23" t="str">
        <x:v>VTS-006</x:v>
      </x:c>
      <x:c r="D37" s="23" t="str">
        <x:v>TSS / VTS screening</x:v>
      </x:c>
      <x:c r="E37" s="23" t="str">
        <x:v>Candidate link: boundary check pending</x:v>
      </x:c>
      <x:c r="F37" s="23" t="str">
        <x:v>S08; S09</x:v>
      </x:c>
      <x:c r="G37" s="26" t="str">
        <x:v>https://www.mpa.gov.sg/port-marine-ops/operations/vessel-traffic-information-system
https://www.mpa.gov.sg/port-marine-ops/operations/vessel-traffic-information-system/operational-areas</x:v>
      </x:c>
      <x:c r="H37" s="23" t="str">
        <x:v>2026-09-29</x:v>
      </x:c>
      <x:c r="I37" s="23" t="str">
        <x:v>Search lead only. No full or partial TSS coverage has been concluded.</x:v>
      </x:c>
    </x:row>
    <x:row r="38" ht="59" customHeight="1">
      <x:c r="A38" s="23" t="str">
        <x:v>REL-033</x:v>
      </x:c>
      <x:c r="B38" s="23" t="str">
        <x:v>TSS-110</x:v>
      </x:c>
      <x:c r="C38" s="23" t="str">
        <x:v>VTS-006</x:v>
      </x:c>
      <x:c r="D38" s="23" t="str">
        <x:v>TSS / VTS screening</x:v>
      </x:c>
      <x:c r="E38" s="23" t="str">
        <x:v>Candidate link: boundary check pending</x:v>
      </x:c>
      <x:c r="F38" s="23" t="str">
        <x:v>S08; S09</x:v>
      </x:c>
      <x:c r="G38" s="26" t="str">
        <x:v>https://www.mpa.gov.sg/port-marine-ops/operations/vessel-traffic-information-system
https://www.mpa.gov.sg/port-marine-ops/operations/vessel-traffic-information-system/operational-areas</x:v>
      </x:c>
      <x:c r="H38" s="23" t="str">
        <x:v>2026-09-29</x:v>
      </x:c>
      <x:c r="I38" s="23" t="str">
        <x:v>Search lead only. No full or partial TSS coverage has been concluded.</x:v>
      </x:c>
    </x:row>
    <x:row r="39" ht="59" customHeight="1">
      <x:c r="A39" s="23" t="str">
        <x:v>REL-034</x:v>
      </x:c>
      <x:c r="B39" s="23" t="str">
        <x:v>TSS-111</x:v>
      </x:c>
      <x:c r="C39" s="23" t="str">
        <x:v>VTS-006</x:v>
      </x:c>
      <x:c r="D39" s="23" t="str">
        <x:v>TSS / VTS screening</x:v>
      </x:c>
      <x:c r="E39" s="23" t="str">
        <x:v>Candidate link: boundary check pending</x:v>
      </x:c>
      <x:c r="F39" s="23" t="str">
        <x:v>S08; S09</x:v>
      </x:c>
      <x:c r="G39" s="26" t="str">
        <x:v>https://www.mpa.gov.sg/port-marine-ops/operations/vessel-traffic-information-system
https://www.mpa.gov.sg/port-marine-ops/operations/vessel-traffic-information-system/operational-areas</x:v>
      </x:c>
      <x:c r="H39" s="23" t="str">
        <x:v>2026-09-29</x:v>
      </x:c>
      <x:c r="I39" s="23" t="str">
        <x:v>Search lead only. No full or partial TSS coverage has been concluded.</x:v>
      </x:c>
    </x:row>
    <x:row r="40" ht="59" customHeight="1">
      <x:c r="A40" s="23" t="str">
        <x:v>REL-035</x:v>
      </x:c>
      <x:c r="B40" s="23" t="str">
        <x:v>TSS-112</x:v>
      </x:c>
      <x:c r="C40" s="23" t="str">
        <x:v>VTS-006</x:v>
      </x:c>
      <x:c r="D40" s="23" t="str">
        <x:v>TSS / VTS screening</x:v>
      </x:c>
      <x:c r="E40" s="23" t="str">
        <x:v>Candidate link: boundary check pending</x:v>
      </x:c>
      <x:c r="F40" s="23" t="str">
        <x:v>S08; S09</x:v>
      </x:c>
      <x:c r="G40" s="26" t="str">
        <x:v>https://www.mpa.gov.sg/port-marine-ops/operations/vessel-traffic-information-system
https://www.mpa.gov.sg/port-marine-ops/operations/vessel-traffic-information-system/operational-areas</x:v>
      </x:c>
      <x:c r="H40" s="23" t="str">
        <x:v>2026-09-29</x:v>
      </x:c>
      <x:c r="I40" s="23" t="str">
        <x:v>Search lead only. No full or partial TSS coverage has been concluded.</x:v>
      </x:c>
    </x:row>
    <x:row r="41" ht="59" customHeight="1">
      <x:c r="A41" s="23" t="str">
        <x:v>REL-036</x:v>
      </x:c>
      <x:c r="B41" s="23" t="str">
        <x:v>TSS-113</x:v>
      </x:c>
      <x:c r="C41" s="23" t="str">
        <x:v>VTS-006</x:v>
      </x:c>
      <x:c r="D41" s="23" t="str">
        <x:v>TSS / VTS screening</x:v>
      </x:c>
      <x:c r="E41" s="23" t="str">
        <x:v>Candidate link: boundary check pending</x:v>
      </x:c>
      <x:c r="F41" s="23" t="str">
        <x:v>S08; S09</x:v>
      </x:c>
      <x:c r="G41" s="26" t="str">
        <x:v>https://www.mpa.gov.sg/port-marine-ops/operations/vessel-traffic-information-system
https://www.mpa.gov.sg/port-marine-ops/operations/vessel-traffic-information-system/operational-areas</x:v>
      </x:c>
      <x:c r="H41" s="23" t="str">
        <x:v>2026-09-29</x:v>
      </x:c>
      <x:c r="I41" s="23" t="str">
        <x:v>Search lead only. No full or partial TSS coverage has been concluded.</x:v>
      </x:c>
    </x:row>
    <x:row r="42" ht="59" customHeight="1">
      <x:c r="A42" s="23" t="str">
        <x:v>REL-037</x:v>
      </x:c>
      <x:c r="B42" s="23" t="str">
        <x:v>TSS-114</x:v>
      </x:c>
      <x:c r="C42" s="23" t="str">
        <x:v>VTS-006</x:v>
      </x:c>
      <x:c r="D42" s="23" t="str">
        <x:v>TSS / VTS screening</x:v>
      </x:c>
      <x:c r="E42" s="23" t="str">
        <x:v>Candidate link: boundary check pending</x:v>
      </x:c>
      <x:c r="F42" s="23" t="str">
        <x:v>S08; S09</x:v>
      </x:c>
      <x:c r="G42" s="26" t="str">
        <x:v>https://www.mpa.gov.sg/port-marine-ops/operations/vessel-traffic-information-system
https://www.mpa.gov.sg/port-marine-ops/operations/vessel-traffic-information-system/operational-areas</x:v>
      </x:c>
      <x:c r="H42" s="23" t="str">
        <x:v>2026-09-29</x:v>
      </x:c>
      <x:c r="I42" s="23" t="str">
        <x:v>Search lead only. No full or partial TSS coverage has been concluded.</x:v>
      </x:c>
    </x:row>
    <x:row r="43" ht="59" customHeight="1">
      <x:c r="A43" s="23" t="str">
        <x:v>REL-038</x:v>
      </x:c>
      <x:c r="B43" s="23" t="str">
        <x:v>TSS-129</x:v>
      </x:c>
      <x:c r="C43" s="23" t="str">
        <x:v>VTS-009</x:v>
      </x:c>
      <x:c r="D43" s="23" t="str">
        <x:v>TSS / VTS screening</x:v>
      </x:c>
      <x:c r="E43" s="23" t="str">
        <x:v>Candidate link: boundary check pending</x:v>
      </x:c>
      <x:c r="F43" s="23" t="str">
        <x:v>S11</x:v>
      </x:c>
      <x:c r="G43" s="26" t="str">
        <x:v>https://www.navcen.uscg.gov/vessel-traffic-services-locations</x:v>
      </x:c>
      <x:c r="H43" s="23" t="str">
        <x:v>2026-09-29</x:v>
      </x:c>
      <x:c r="I43" s="23" t="str">
        <x:v>Search lead only. No full or partial TSS coverage has been concluded.</x:v>
      </x:c>
    </x:row>
    <x:row r="44" ht="59" customHeight="1">
      <x:c r="A44" s="23" t="str">
        <x:v>REL-039</x:v>
      </x:c>
      <x:c r="B44" s="23" t="str">
        <x:v>TSS-130</x:v>
      </x:c>
      <x:c r="C44" s="23" t="str">
        <x:v>VTS-010</x:v>
      </x:c>
      <x:c r="D44" s="23" t="str">
        <x:v>TSS / VTS screening</x:v>
      </x:c>
      <x:c r="E44" s="23" t="str">
        <x:v>Candidate link: boundary check pending</x:v>
      </x:c>
      <x:c r="F44" s="23" t="str">
        <x:v>S11; S12</x:v>
      </x:c>
      <x:c r="G44" s="26" t="str">
        <x:v>https://www.navcen.uscg.gov/vessel-traffic-services-locations
https://www.pacificarea.uscg.mil/VTSPugetSound/</x:v>
      </x:c>
      <x:c r="H44" s="23" t="str">
        <x:v>2026-09-29</x:v>
      </x:c>
      <x:c r="I44" s="23" t="str">
        <x:v>Search lead only. No full or partial TSS coverage has been concluded.</x:v>
      </x:c>
    </x:row>
    <x:row r="45" ht="59" customHeight="1">
      <x:c r="A45" s="23" t="str">
        <x:v>REL-040</x:v>
      </x:c>
      <x:c r="B45" s="23" t="str">
        <x:v>TSS-131</x:v>
      </x:c>
      <x:c r="C45" s="23" t="str">
        <x:v>VTS-010</x:v>
      </x:c>
      <x:c r="D45" s="23" t="str">
        <x:v>TSS / VTS screening</x:v>
      </x:c>
      <x:c r="E45" s="23" t="str">
        <x:v>Candidate link: boundary check pending</x:v>
      </x:c>
      <x:c r="F45" s="23" t="str">
        <x:v>S11; S12</x:v>
      </x:c>
      <x:c r="G45" s="26" t="str">
        <x:v>https://www.navcen.uscg.gov/vessel-traffic-services-locations
https://www.pacificarea.uscg.mil/VTSPugetSound/</x:v>
      </x:c>
      <x:c r="H45" s="23" t="str">
        <x:v>2026-09-29</x:v>
      </x:c>
      <x:c r="I45" s="23" t="str">
        <x:v>Search lead only. No full or partial TSS coverage has been concluded.</x:v>
      </x:c>
    </x:row>
    <x:row r="46" ht="59" customHeight="1">
      <x:c r="A46" s="23" t="str">
        <x:v>REL-041</x:v>
      </x:c>
      <x:c r="B46" s="23" t="str">
        <x:v>TSS-132</x:v>
      </x:c>
      <x:c r="C46" s="23" t="str">
        <x:v>VTS-011</x:v>
      </x:c>
      <x:c r="D46" s="23" t="str">
        <x:v>TSS / VTS screening</x:v>
      </x:c>
      <x:c r="E46" s="23" t="str">
        <x:v>Candidate link: boundary check pending</x:v>
      </x:c>
      <x:c r="F46" s="23" t="str">
        <x:v>S11</x:v>
      </x:c>
      <x:c r="G46" s="26" t="str">
        <x:v>https://www.navcen.uscg.gov/vessel-traffic-services-locations</x:v>
      </x:c>
      <x:c r="H46" s="23" t="str">
        <x:v>2026-09-29</x:v>
      </x:c>
      <x:c r="I46" s="23" t="str">
        <x:v>Search lead only. No full or partial TSS coverage has been concluded.</x:v>
      </x:c>
    </x:row>
    <x:row r="47" ht="59" customHeight="1">
      <x:c r="A47" s="23" t="str">
        <x:v>REL-042</x:v>
      </x:c>
      <x:c r="B47" s="23" t="str">
        <x:v>TSS-133</x:v>
      </x:c>
      <x:c r="C47" s="23" t="str">
        <x:v>VTS-012</x:v>
      </x:c>
      <x:c r="D47" s="23" t="str">
        <x:v>TSS / VTS screening</x:v>
      </x:c>
      <x:c r="E47" s="23" t="str">
        <x:v>Candidate link: boundary check pending</x:v>
      </x:c>
      <x:c r="F47" s="23" t="str">
        <x:v>S11</x:v>
      </x:c>
      <x:c r="G47" s="26" t="str">
        <x:v>https://www.navcen.uscg.gov/vessel-traffic-services-locations</x:v>
      </x:c>
      <x:c r="H47" s="23" t="str">
        <x:v>2026-09-29</x:v>
      </x:c>
      <x:c r="I47" s="23" t="str">
        <x:v>Search lead only. No full or partial TSS coverage has been concluded.</x:v>
      </x:c>
    </x:row>
    <x:row r="48" ht="59" customHeight="1">
      <x:c r="A48" s="23" t="str">
        <x:v>REL-043</x:v>
      </x:c>
      <x:c r="B48" s="23" t="str">
        <x:v>TSS-160</x:v>
      </x:c>
      <x:c r="C48" s="23" t="str">
        <x:v>VTS-013</x:v>
      </x:c>
      <x:c r="D48" s="23" t="str">
        <x:v>TSS / VTS screening</x:v>
      </x:c>
      <x:c r="E48" s="23" t="str">
        <x:v>Candidate link: boundary check pending</x:v>
      </x:c>
      <x:c r="F48" s="23" t="str">
        <x:v>S11</x:v>
      </x:c>
      <x:c r="G48" s="26" t="str">
        <x:v>https://www.navcen.uscg.gov/vessel-traffic-services-locations</x:v>
      </x:c>
      <x:c r="H48" s="23" t="str">
        <x:v>2026-09-29</x:v>
      </x:c>
      <x:c r="I48" s="23" t="str">
        <x:v>Search lead only. No full or partial TSS coverage has been concluded.</x:v>
      </x:c>
    </x:row>
    <x:row r="49" ht="59" customHeight="1">
      <x:c r="A49" s="23" t="str">
        <x:v>REL-044</x:v>
      </x:c>
      <x:c r="B49" s="23" t="str">
        <x:v>TSS-165</x:v>
      </x:c>
      <x:c r="C49" s="23" t="str">
        <x:v>VTS-014</x:v>
      </x:c>
      <x:c r="D49" s="23" t="str">
        <x:v>TSS / VTS screening</x:v>
      </x:c>
      <x:c r="E49" s="23" t="str">
        <x:v>Candidate link: boundary check pending</x:v>
      </x:c>
      <x:c r="F49" s="23" t="str">
        <x:v>S11</x:v>
      </x:c>
      <x:c r="G49" s="26" t="str">
        <x:v>https://www.navcen.uscg.gov/vessel-traffic-services-locations</x:v>
      </x:c>
      <x:c r="H49" s="23" t="str">
        <x:v>2026-09-29</x:v>
      </x:c>
      <x:c r="I49" s="23" t="str">
        <x:v>Search lead only. No full or partial TSS coverage has been concluded.</x:v>
      </x:c>
    </x:row>
    <x:row r="50" ht="59" customHeight="1">
      <x:c r="A50" s="23" t="str">
        <x:v>REL-045</x:v>
      </x:c>
      <x:c r="B50" s="23" t="str">
        <x:v>TSS-005</x:v>
      </x:c>
      <x:c r="C50" s="23" t="str">
        <x:v>RPT-001</x:v>
      </x:c>
      <x:c r="D50" s="23" t="str">
        <x:v>TSS / reporting screening</x:v>
      </x:c>
      <x:c r="E50" s="23" t="str">
        <x:v>Association documented</x:v>
      </x:c>
      <x:c r="F50" s="23" t="str">
        <x:v>S04</x:v>
      </x:c>
      <x:c r="G50" s="26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50" s="23" t="str">
        <x:v>2026-09-29</x:v>
      </x:c>
      <x:c r="I50" s="23" t="str">
        <x:v>Confirm geographic coverage and applicable vessel categories before publication.</x:v>
      </x:c>
    </x:row>
    <x:row r="51" ht="59" customHeight="1">
      <x:c r="A51" s="23" t="str">
        <x:v>REL-046</x:v>
      </x:c>
      <x:c r="B51" s="23" t="str">
        <x:v>TSS-038</x:v>
      </x:c>
      <x:c r="C51" s="23" t="str">
        <x:v>RPT-002</x:v>
      </x:c>
      <x:c r="D51" s="23" t="str">
        <x:v>TSS / reporting screening</x:v>
      </x:c>
      <x:c r="E51" s="23" t="str">
        <x:v>Candidate link: boundary check pending</x:v>
      </x:c>
      <x:c r="F51" s="23" t="str">
        <x:v>S05; S06</x:v>
      </x:c>
      <x:c r="G51" s="26" t="str">
        <x:v>https://www.forsvaret.dk/da/organisation/soevaernet/civile-opgaver/beltrep/
https://www.brs.dk/da/om-os/organisation/sikre-farvande/obligatoriske-skibsmeldesystemer-msrs-og-skibstrafiktjenester-vts/</x:v>
      </x:c>
      <x:c r="H51" s="23" t="str">
        <x:v>2026-09-29</x:v>
      </x:c>
      <x:c r="I51" s="23" t="str">
        <x:v>Confirm geographic coverage and applicable vessel categories before publication.</x:v>
      </x:c>
    </x:row>
    <x:row r="52" ht="59" customHeight="1">
      <x:c r="A52" s="23" t="str">
        <x:v>REL-047</x:v>
      </x:c>
      <x:c r="B52" s="23" t="str">
        <x:v>TSS-039</x:v>
      </x:c>
      <x:c r="C52" s="23" t="str">
        <x:v>RPT-002</x:v>
      </x:c>
      <x:c r="D52" s="23" t="str">
        <x:v>TSS / reporting screening</x:v>
      </x:c>
      <x:c r="E52" s="23" t="str">
        <x:v>Candidate link: boundary check pending</x:v>
      </x:c>
      <x:c r="F52" s="23" t="str">
        <x:v>S05; S06</x:v>
      </x:c>
      <x:c r="G52" s="26" t="str">
        <x:v>https://www.forsvaret.dk/da/organisation/soevaernet/civile-opgaver/beltrep/
https://www.brs.dk/da/om-os/organisation/sikre-farvande/obligatoriske-skibsmeldesystemer-msrs-og-skibstrafiktjenester-vts/</x:v>
      </x:c>
      <x:c r="H52" s="23" t="str">
        <x:v>2026-09-29</x:v>
      </x:c>
      <x:c r="I52" s="23" t="str">
        <x:v>Confirm geographic coverage and applicable vessel categories before publication.</x:v>
      </x:c>
    </x:row>
    <x:row r="53" ht="59" customHeight="1">
      <x:c r="A53" s="23" t="str">
        <x:v>REL-048</x:v>
      </x:c>
      <x:c r="B53" s="23" t="str">
        <x:v>TSS-040</x:v>
      </x:c>
      <x:c r="C53" s="23" t="str">
        <x:v>RPT-003</x:v>
      </x:c>
      <x:c r="D53" s="23" t="str">
        <x:v>TSS / reporting screening</x:v>
      </x:c>
      <x:c r="E53" s="23" t="str">
        <x:v>Candidate link: boundary check pending</x:v>
      </x:c>
      <x:c r="F53" s="23" t="str">
        <x:v>S06; S07</x:v>
      </x:c>
      <x:c r="G53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H53" s="23" t="str">
        <x:v>2026-09-29</x:v>
      </x:c>
      <x:c r="I53" s="23" t="str">
        <x:v>Confirm geographic coverage and applicable vessel categories before publication.</x:v>
      </x:c>
    </x:row>
    <x:row r="54" ht="59" customHeight="1">
      <x:c r="A54" s="23" t="str">
        <x:v>REL-049</x:v>
      </x:c>
      <x:c r="B54" s="23" t="str">
        <x:v>TSS-041</x:v>
      </x:c>
      <x:c r="C54" s="23" t="str">
        <x:v>RPT-003</x:v>
      </x:c>
      <x:c r="D54" s="23" t="str">
        <x:v>TSS / reporting screening</x:v>
      </x:c>
      <x:c r="E54" s="23" t="str">
        <x:v>Candidate link: boundary check pending</x:v>
      </x:c>
      <x:c r="F54" s="23" t="str">
        <x:v>S06; S07</x:v>
      </x:c>
      <x:c r="G54" s="26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H54" s="23" t="str">
        <x:v>2026-09-29</x:v>
      </x:c>
      <x:c r="I54" s="23" t="str">
        <x:v>Confirm geographic coverage and applicable vessel categories before publication.</x:v>
      </x:c>
    </x:row>
    <x:row r="55" ht="59" customHeight="1">
      <x:c r="A55" s="23" t="str">
        <x:v>REL-050</x:v>
      </x:c>
      <x:c r="B55" s="23" t="str">
        <x:v>TSS-107</x:v>
      </x:c>
      <x:c r="C55" s="23" t="str">
        <x:v>RPT-004</x:v>
      </x:c>
      <x:c r="D55" s="23" t="str">
        <x:v>TSS / reporting screening</x:v>
      </x:c>
      <x:c r="E55" s="23" t="str">
        <x:v>Candidate link: boundary check pending</x:v>
      </x:c>
      <x:c r="F55" s="23" t="str">
        <x:v>S08; S09</x:v>
      </x:c>
      <x:c r="G55" s="26" t="str">
        <x:v>https://www.mpa.gov.sg/port-marine-ops/operations/vessel-traffic-information-system
https://www.mpa.gov.sg/port-marine-ops/operations/vessel-traffic-information-system/operational-areas</x:v>
      </x:c>
      <x:c r="H55" s="23" t="str">
        <x:v>2026-09-29</x:v>
      </x:c>
      <x:c r="I55" s="23" t="str">
        <x:v>Confirm geographic coverage and applicable vessel categories before publication.</x:v>
      </x:c>
    </x:row>
    <x:row r="56" ht="59" customHeight="1">
      <x:c r="A56" s="23" t="str">
        <x:v>REL-051</x:v>
      </x:c>
      <x:c r="B56" s="23" t="str">
        <x:v>TSS-108</x:v>
      </x:c>
      <x:c r="C56" s="23" t="str">
        <x:v>RPT-004</x:v>
      </x:c>
      <x:c r="D56" s="23" t="str">
        <x:v>TSS / reporting screening</x:v>
      </x:c>
      <x:c r="E56" s="23" t="str">
        <x:v>Candidate link: boundary check pending</x:v>
      </x:c>
      <x:c r="F56" s="23" t="str">
        <x:v>S08; S09</x:v>
      </x:c>
      <x:c r="G56" s="26" t="str">
        <x:v>https://www.mpa.gov.sg/port-marine-ops/operations/vessel-traffic-information-system
https://www.mpa.gov.sg/port-marine-ops/operations/vessel-traffic-information-system/operational-areas</x:v>
      </x:c>
      <x:c r="H56" s="23" t="str">
        <x:v>2026-09-29</x:v>
      </x:c>
      <x:c r="I56" s="23" t="str">
        <x:v>Confirm geographic coverage and applicable vessel categories before publication.</x:v>
      </x:c>
    </x:row>
    <x:row r="57" ht="59" customHeight="1">
      <x:c r="A57" s="23" t="str">
        <x:v>REL-052</x:v>
      </x:c>
      <x:c r="B57" s="23" t="str">
        <x:v>TSS-109</x:v>
      </x:c>
      <x:c r="C57" s="23" t="str">
        <x:v>RPT-004</x:v>
      </x:c>
      <x:c r="D57" s="23" t="str">
        <x:v>TSS / reporting screening</x:v>
      </x:c>
      <x:c r="E57" s="23" t="str">
        <x:v>Candidate link: boundary check pending</x:v>
      </x:c>
      <x:c r="F57" s="23" t="str">
        <x:v>S08; S09</x:v>
      </x:c>
      <x:c r="G57" s="26" t="str">
        <x:v>https://www.mpa.gov.sg/port-marine-ops/operations/vessel-traffic-information-system
https://www.mpa.gov.sg/port-marine-ops/operations/vessel-traffic-information-system/operational-areas</x:v>
      </x:c>
      <x:c r="H57" s="23" t="str">
        <x:v>2026-09-29</x:v>
      </x:c>
      <x:c r="I57" s="23" t="str">
        <x:v>Confirm geographic coverage and applicable vessel categories before publication.</x:v>
      </x:c>
    </x:row>
    <x:row r="58" ht="59" customHeight="1">
      <x:c r="A58" s="23" t="str">
        <x:v>REL-053</x:v>
      </x:c>
      <x:c r="B58" s="23" t="str">
        <x:v>TSS-110</x:v>
      </x:c>
      <x:c r="C58" s="23" t="str">
        <x:v>RPT-004</x:v>
      </x:c>
      <x:c r="D58" s="23" t="str">
        <x:v>TSS / reporting screening</x:v>
      </x:c>
      <x:c r="E58" s="23" t="str">
        <x:v>Candidate link: boundary check pending</x:v>
      </x:c>
      <x:c r="F58" s="23" t="str">
        <x:v>S08; S09</x:v>
      </x:c>
      <x:c r="G58" s="26" t="str">
        <x:v>https://www.mpa.gov.sg/port-marine-ops/operations/vessel-traffic-information-system
https://www.mpa.gov.sg/port-marine-ops/operations/vessel-traffic-information-system/operational-areas</x:v>
      </x:c>
      <x:c r="H58" s="23" t="str">
        <x:v>2026-09-29</x:v>
      </x:c>
      <x:c r="I58" s="23" t="str">
        <x:v>Confirm geographic coverage and applicable vessel categories before publication.</x:v>
      </x:c>
    </x:row>
    <x:row r="59" ht="59" customHeight="1">
      <x:c r="A59" s="23" t="str">
        <x:v>REL-054</x:v>
      </x:c>
      <x:c r="B59" s="23" t="str">
        <x:v>TSS-111</x:v>
      </x:c>
      <x:c r="C59" s="23" t="str">
        <x:v>RPT-004</x:v>
      </x:c>
      <x:c r="D59" s="23" t="str">
        <x:v>TSS / reporting screening</x:v>
      </x:c>
      <x:c r="E59" s="23" t="str">
        <x:v>Candidate link: boundary check pending</x:v>
      </x:c>
      <x:c r="F59" s="23" t="str">
        <x:v>S08; S09</x:v>
      </x:c>
      <x:c r="G59" s="26" t="str">
        <x:v>https://www.mpa.gov.sg/port-marine-ops/operations/vessel-traffic-information-system
https://www.mpa.gov.sg/port-marine-ops/operations/vessel-traffic-information-system/operational-areas</x:v>
      </x:c>
      <x:c r="H59" s="23" t="str">
        <x:v>2026-09-29</x:v>
      </x:c>
      <x:c r="I59" s="23" t="str">
        <x:v>Confirm geographic coverage and applicable vessel categories before publication.</x:v>
      </x:c>
    </x:row>
    <x:row r="60" ht="59" customHeight="1">
      <x:c r="A60" s="23" t="str">
        <x:v>REL-055</x:v>
      </x:c>
      <x:c r="B60" s="23" t="str">
        <x:v>TSS-112</x:v>
      </x:c>
      <x:c r="C60" s="23" t="str">
        <x:v>RPT-004</x:v>
      </x:c>
      <x:c r="D60" s="23" t="str">
        <x:v>TSS / reporting screening</x:v>
      </x:c>
      <x:c r="E60" s="23" t="str">
        <x:v>Candidate link: boundary check pending</x:v>
      </x:c>
      <x:c r="F60" s="23" t="str">
        <x:v>S08; S09</x:v>
      </x:c>
      <x:c r="G60" s="26" t="str">
        <x:v>https://www.mpa.gov.sg/port-marine-ops/operations/vessel-traffic-information-system
https://www.mpa.gov.sg/port-marine-ops/operations/vessel-traffic-information-system/operational-areas</x:v>
      </x:c>
      <x:c r="H60" s="23" t="str">
        <x:v>2026-09-29</x:v>
      </x:c>
      <x:c r="I60" s="23" t="str">
        <x:v>Confirm geographic coverage and applicable vessel categories before publication.</x:v>
      </x:c>
    </x:row>
    <x:row r="61" ht="59" customHeight="1">
      <x:c r="A61" s="23" t="str">
        <x:v>REL-056</x:v>
      </x:c>
      <x:c r="B61" s="23" t="str">
        <x:v>TSS-113</x:v>
      </x:c>
      <x:c r="C61" s="23" t="str">
        <x:v>RPT-004</x:v>
      </x:c>
      <x:c r="D61" s="23" t="str">
        <x:v>TSS / reporting screening</x:v>
      </x:c>
      <x:c r="E61" s="23" t="str">
        <x:v>Candidate link: boundary check pending</x:v>
      </x:c>
      <x:c r="F61" s="23" t="str">
        <x:v>S08; S09</x:v>
      </x:c>
      <x:c r="G61" s="26" t="str">
        <x:v>https://www.mpa.gov.sg/port-marine-ops/operations/vessel-traffic-information-system
https://www.mpa.gov.sg/port-marine-ops/operations/vessel-traffic-information-system/operational-areas</x:v>
      </x:c>
      <x:c r="H61" s="23" t="str">
        <x:v>2026-09-29</x:v>
      </x:c>
      <x:c r="I61" s="23" t="str">
        <x:v>Confirm geographic coverage and applicable vessel categories before publication.</x:v>
      </x:c>
    </x:row>
    <x:row r="62" ht="59" customHeight="1">
      <x:c r="A62" s="23" t="str">
        <x:v>REL-057</x:v>
      </x:c>
      <x:c r="B62" s="23" t="str">
        <x:v>TSS-114</x:v>
      </x:c>
      <x:c r="C62" s="23" t="str">
        <x:v>RPT-004</x:v>
      </x:c>
      <x:c r="D62" s="23" t="str">
        <x:v>TSS / reporting screening</x:v>
      </x:c>
      <x:c r="E62" s="23" t="str">
        <x:v>Candidate link: boundary check pending</x:v>
      </x:c>
      <x:c r="F62" s="23" t="str">
        <x:v>S08; S09</x:v>
      </x:c>
      <x:c r="G62" s="26" t="str">
        <x:v>https://www.mpa.gov.sg/port-marine-ops/operations/vessel-traffic-information-system
https://www.mpa.gov.sg/port-marine-ops/operations/vessel-traffic-information-system/operational-areas</x:v>
      </x:c>
      <x:c r="H62" s="23" t="str">
        <x:v>2026-09-29</x:v>
      </x:c>
      <x:c r="I62" s="23" t="str">
        <x:v>Confirm geographic coverage and applicable vessel categories before publication.</x:v>
      </x:c>
    </x:row>
    <x:row r="63" ht="59" customHeight="1">
      <x:c r="A63" s="23" t="str">
        <x:v>REL-058</x:v>
      </x:c>
      <x:c r="B63" s="23" t="str">
        <x:v>TSS-021</x:v>
      </x:c>
      <x:c r="C63" s="23" t="str">
        <x:v>RPT-006</x:v>
      </x:c>
      <x:c r="D63" s="23" t="str">
        <x:v>TSS / reporting screening</x:v>
      </x:c>
      <x:c r="E63" s="23" t="str">
        <x:v>Candidate link: boundary check pending</x:v>
      </x:c>
      <x:c r="F63" s="23" t="str">
        <x:v>S07</x:v>
      </x:c>
      <x:c r="G63" s="26" t="str">
        <x:v>https://www.transportstyrelsen.se/sv/sjofart/sjotrafik-och-hamnar/sjotrafikrapporteringssystem-srs/</x:v>
      </x:c>
      <x:c r="H63" s="23" t="str">
        <x:v>2026-09-29</x:v>
      </x:c>
      <x:c r="I63" s="23" t="str">
        <x:v>Confirm geographic coverage and applicable vessel categories before publication.</x:v>
      </x:c>
    </x:row>
    <x:row r="64" ht="59" customHeight="1">
      <x:c r="A64" s="23" t="str">
        <x:v>REL-059</x:v>
      </x:c>
      <x:c r="B64" s="23" t="str">
        <x:v>TSS-022</x:v>
      </x:c>
      <x:c r="C64" s="23" t="str">
        <x:v>RPT-006</x:v>
      </x:c>
      <x:c r="D64" s="23" t="str">
        <x:v>TSS / reporting screening</x:v>
      </x:c>
      <x:c r="E64" s="23" t="str">
        <x:v>Candidate link: boundary check pending</x:v>
      </x:c>
      <x:c r="F64" s="23" t="str">
        <x:v>S07</x:v>
      </x:c>
      <x:c r="G64" s="26" t="str">
        <x:v>https://www.transportstyrelsen.se/sv/sjofart/sjotrafik-och-hamnar/sjotrafikrapporteringssystem-srs/</x:v>
      </x:c>
      <x:c r="H64" s="23" t="str">
        <x:v>2026-09-29</x:v>
      </x:c>
      <x:c r="I64" s="23" t="str">
        <x:v>Confirm geographic coverage and applicable vessel categories before publication.</x:v>
      </x:c>
    </x:row>
    <x:row r="65" ht="59" customHeight="1">
      <x:c r="A65" s="23" t="str">
        <x:v>REL-060</x:v>
      </x:c>
      <x:c r="B65" s="23" t="str">
        <x:v>TSS-023</x:v>
      </x:c>
      <x:c r="C65" s="23" t="str">
        <x:v>RPT-006</x:v>
      </x:c>
      <x:c r="D65" s="23" t="str">
        <x:v>TSS / reporting screening</x:v>
      </x:c>
      <x:c r="E65" s="23" t="str">
        <x:v>Candidate link: boundary check pending</x:v>
      </x:c>
      <x:c r="F65" s="23" t="str">
        <x:v>S07</x:v>
      </x:c>
      <x:c r="G65" s="26" t="str">
        <x:v>https://www.transportstyrelsen.se/sv/sjofart/sjotrafik-och-hamnar/sjotrafikrapporteringssystem-srs/</x:v>
      </x:c>
      <x:c r="H65" s="23" t="str">
        <x:v>2026-09-29</x:v>
      </x:c>
      <x:c r="I65" s="23" t="str">
        <x:v>Confirm geographic coverage and applicable vessel categories before publication.</x:v>
      </x:c>
    </x:row>
    <x:row r="66" ht="59" customHeight="1">
      <x:c r="A66" s="23" t="str">
        <x:v>REL-061</x:v>
      </x:c>
      <x:c r="B66" s="23" t="str">
        <x:v>TSS-024</x:v>
      </x:c>
      <x:c r="C66" s="23" t="str">
        <x:v>RPT-006</x:v>
      </x:c>
      <x:c r="D66" s="23" t="str">
        <x:v>TSS / reporting screening</x:v>
      </x:c>
      <x:c r="E66" s="23" t="str">
        <x:v>Candidate link: boundary check pending</x:v>
      </x:c>
      <x:c r="F66" s="23" t="str">
        <x:v>S07</x:v>
      </x:c>
      <x:c r="G66" s="26" t="str">
        <x:v>https://www.transportstyrelsen.se/sv/sjofart/sjotrafik-och-hamnar/sjotrafikrapporteringssystem-srs/</x:v>
      </x:c>
      <x:c r="H66" s="23" t="str">
        <x:v>2026-09-29</x:v>
      </x:c>
      <x:c r="I66" s="23" t="str">
        <x:v>Confirm geographic coverage and applicable vessel categories before publication.</x:v>
      </x:c>
    </x:row>
    <x:row r="67" ht="59" customHeight="1">
      <x:c r="A67" s="23" t="str">
        <x:v>REL-062</x:v>
      </x:c>
      <x:c r="B67" s="23" t="str">
        <x:v>TSS-025</x:v>
      </x:c>
      <x:c r="C67" s="23" t="str">
        <x:v>RPT-006</x:v>
      </x:c>
      <x:c r="D67" s="23" t="str">
        <x:v>TSS / reporting screening</x:v>
      </x:c>
      <x:c r="E67" s="23" t="str">
        <x:v>Candidate link: boundary check pending</x:v>
      </x:c>
      <x:c r="F67" s="23" t="str">
        <x:v>S07</x:v>
      </x:c>
      <x:c r="G67" s="26" t="str">
        <x:v>https://www.transportstyrelsen.se/sv/sjofart/sjotrafik-och-hamnar/sjotrafikrapporteringssystem-srs/</x:v>
      </x:c>
      <x:c r="H67" s="23" t="str">
        <x:v>2026-09-29</x:v>
      </x:c>
      <x:c r="I67" s="23" t="str">
        <x:v>Confirm geographic coverage and applicable vessel categories before publication.</x:v>
      </x:c>
    </x:row>
    <x:row r="68" ht="59" customHeight="1">
      <x:c r="A68" s="23" t="str">
        <x:v>REL-063</x:v>
      </x:c>
      <x:c r="B68" s="23" t="str">
        <x:v>TSS-026</x:v>
      </x:c>
      <x:c r="C68" s="23" t="str">
        <x:v>RPT-006</x:v>
      </x:c>
      <x:c r="D68" s="23" t="str">
        <x:v>TSS / reporting screening</x:v>
      </x:c>
      <x:c r="E68" s="23" t="str">
        <x:v>Candidate link: boundary check pending</x:v>
      </x:c>
      <x:c r="F68" s="23" t="str">
        <x:v>S07</x:v>
      </x:c>
      <x:c r="G68" s="26" t="str">
        <x:v>https://www.transportstyrelsen.se/sv/sjofart/sjotrafik-och-hamnar/sjotrafikrapporteringssystem-srs/</x:v>
      </x:c>
      <x:c r="H68" s="23" t="str">
        <x:v>2026-09-29</x:v>
      </x:c>
      <x:c r="I68" s="23" t="str">
        <x:v>Confirm geographic coverage and applicable vessel categories before publication.</x:v>
      </x:c>
    </x:row>
    <x:row r="69" ht="59" customHeight="1">
      <x:c r="A69" s="23" t="str">
        <x:v>REL-064</x:v>
      </x:c>
      <x:c r="B69" s="23" t="str">
        <x:v>TSS-043</x:v>
      </x:c>
      <x:c r="C69" s="23" t="str">
        <x:v>RPT-007</x:v>
      </x:c>
      <x:c r="D69" s="23" t="str">
        <x:v>TSS / reporting screening</x:v>
      </x:c>
      <x:c r="E69" s="23" t="str">
        <x:v>Candidate link: boundary check pending</x:v>
      </x:c>
      <x:c r="F69" s="23" t="str">
        <x:v>S07</x:v>
      </x:c>
      <x:c r="G69" s="26" t="str">
        <x:v>https://www.transportstyrelsen.se/sv/sjofart/sjotrafik-och-hamnar/sjotrafikrapporteringssystem-srs/</x:v>
      </x:c>
      <x:c r="H69" s="23" t="str">
        <x:v>2026-09-29</x:v>
      </x:c>
      <x:c r="I69" s="23" t="str">
        <x:v>Confirm geographic coverage and applicable vessel categories before publication.</x:v>
      </x:c>
    </x:row>
    <x:row r="70" ht="59" customHeight="1">
      <x:c r="A70" s="23" t="str">
        <x:v>REL-065</x:v>
      </x:c>
      <x:c r="B70" s="23" t="str">
        <x:v>TSS-132</x:v>
      </x:c>
      <x:c r="C70" s="23" t="str">
        <x:v>RPT-008</x:v>
      </x:c>
      <x:c r="D70" s="23" t="str">
        <x:v>TSS / reporting screening</x:v>
      </x:c>
      <x:c r="E70" s="23" t="str">
        <x:v>Candidate link: boundary check pending</x:v>
      </x:c>
      <x:c r="F70" s="23" t="str">
        <x:v>S11</x:v>
      </x:c>
      <x:c r="G70" s="26" t="str">
        <x:v>https://www.navcen.uscg.gov/vessel-traffic-services-locations</x:v>
      </x:c>
      <x:c r="H70" s="23" t="str">
        <x:v>2026-09-29</x:v>
      </x:c>
      <x:c r="I70" s="23" t="str">
        <x:v>Confirm geographic coverage and applicable vessel categories before publication.</x:v>
      </x:c>
    </x:row>
  </x:sheetData>
  <x:mergeCells>
    <x:mergeCell ref="A1:I2"/>
    <x:mergeCell ref="A3:I3"/>
  </x:mergeCells>
  <x:conditionalFormatting sqref="E6:E70">
    <x:cfRule type="expression" dxfId="3" priority="1">
      <x:formula>E6="Candidate link: boundary check 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20af4440654a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58" hidden="0" customWidth="1"/>
    <x:col min="4" max="4" width="31" hidden="0" customWidth="1"/>
    <x:col min="5" max="5" width="40" hidden="0" customWidth="1"/>
    <x:col min="6" max="6" width="70" hidden="0" customWidth="1"/>
    <x:col min="7" max="7" width="40" hidden="0" customWidth="1"/>
    <x:col min="8" max="8" width="53" hidden="0" customWidth="1"/>
    <x:col min="9" max="9" width="65" hidden="0" customWidth="1"/>
    <x:col min="10" max="10" width="17" hidden="0" customWidth="1"/>
  </x:cols>
  <x:sheetData>
    <x:row r="1" ht="21" customHeight="1">
      <x:c r="A1" s="6" t="str">
        <x:v>SOURCE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1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 ht="32" customHeight="1">
      <x:c r="A3" s="11" t="str">
        <x:v>Access limitations are explicit. S02 supports candidate-name extraction only; it does not establish current official status.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17" t="str">
        <x:v>Source ID</x:v>
      </x:c>
      <x:c r="B5" s="17" t="str">
        <x:v>Issuing body / attribution</x:v>
      </x:c>
      <x:c r="C5" s="17" t="str">
        <x:v>Title</x:v>
      </x:c>
      <x:c r="D5" s="17" t="str">
        <x:v>Edition / update</x:v>
      </x:c>
      <x:c r="E5" s="17" t="str">
        <x:v>Source class</x:v>
      </x:c>
      <x:c r="F5" s="17" t="str">
        <x:v>Access / evidence limitation</x:v>
      </x:c>
      <x:c r="G5" s="17" t="str">
        <x:v>Research use</x:v>
      </x:c>
      <x:c r="H5" s="17" t="str">
        <x:v>Locator</x:v>
      </x:c>
      <x:c r="I5" s="17" t="str">
        <x:v>Source URL</x:v>
      </x:c>
      <x:c r="J5" s="17" t="str">
        <x:v>Checked</x:v>
      </x:c>
    </x:row>
    <x:row r="6" ht="112" customHeight="1">
      <x:c r="A6" s="23" t="str">
        <x:v>S01</x:v>
      </x:c>
      <x:c r="B6" s="23" t="str">
        <x:v>UK Hydrographic Office</x:v>
      </x:c>
      <x:c r="C6" s="23" t="str">
        <x:v>Annual Notices to Mariners portal: Notice 17</x:v>
      </x:c>
      <x:c r="D6" s="23" t="str">
        <x:v>2026 portal</x:v>
      </x:c>
      <x:c r="E6" s="23" t="str">
        <x:v>Official source locator; PDF unavailable</x:v>
      </x:c>
      <x:c r="F6" s="23" t="str">
        <x:v>Portal checked; current Notice 17 PDF not obtained.</x:v>
      </x:c>
      <x:c r="G6" s="23" t="str">
        <x:v>Baseline replacement target</x:v>
      </x:c>
      <x:c r="H6" s="23" t="str">
        <x:v>Notice 17 download entry</x:v>
      </x:c>
      <x:c r="I6" s="26" t="str">
        <x:v>https://msi.admiralty.co.uk/NoticesToMariners/Annual</x:v>
      </x:c>
      <x:c r="J6" s="23" t="str">
        <x:v>2026-09-29</x:v>
      </x:c>
    </x:row>
    <x:row r="7" ht="112" customHeight="1">
      <x:c r="A7" s="23" t="str">
        <x:v>S02</x:v>
      </x:c>
      <x:c r="B7" s="23" t="str">
        <x:v>UKHO attribution; third-party host</x:v>
      </x:c>
      <x:c r="C7" s="23" t="str">
        <x:v>Notice 17: IMO-adopted TSS on the ADMIRALTY chart series</x:v>
      </x:c>
      <x:c r="D7" s="23" t="str">
        <x:v>Edition not established</x:v>
      </x:c>
      <x:c r="E7" s="23" t="str">
        <x:v>Third-party reproduction; candidate leads only</x:v>
      </x:c>
      <x:c r="F7" s="23" t="str">
        <x:v>Transcribed geographical names only. Authenticity, currency and completeness not established.</x:v>
      </x:c>
      <x:c r="G7" s="23" t="str">
        <x:v>Candidate-name extraction only</x:v>
      </x:c>
      <x:c r="H7" s="23" t="str">
        <x:v>Printed pages 1--24 to 1--28; regional scheme tables</x:v>
      </x:c>
      <x:c r="I7" s="26" t="str">
        <x:v>https://www.scribd.com/document/1014775753/1-1-IMO-Adopted-Traffic-Separation-Schemes-on-the-ADMIRALTY-Chart-Series</x:v>
      </x:c>
      <x:c r="J7" s="23" t="str">
        <x:v>2026-09-29</x:v>
      </x:c>
    </x:row>
    <x:row r="8" ht="112" customHeight="1">
      <x:c r="A8" s="23" t="str">
        <x:v>S03</x:v>
      </x:c>
      <x:c r="B8" s="23" t="str">
        <x:v>International Maritime Organization</x:v>
      </x:c>
      <x:c r="C8" s="23" t="str">
        <x:v>Ships' Routeing, 2025 edition</x:v>
      </x:c>
      <x:c r="D8" s="23" t="str">
        <x:v>2025</x:v>
      </x:c>
      <x:c r="E8" s="23" t="str">
        <x:v>Official publication catalogue</x:v>
      </x:c>
      <x:c r="F8" s="23" t="str">
        <x:v>Catalogue identified; publication/index not available in this research.</x:v>
      </x:c>
      <x:c r="G8" s="23" t="str">
        <x:v>Primary reconciliation target</x:v>
      </x:c>
      <x:c r="H8" s="23" t="str">
        <x:v>Book catalogue</x:v>
      </x:c>
      <x:c r="I8" s="26" t="str">
        <x:v>https://imo-epublications.org/content/books/9789280118353</x:v>
      </x:c>
      <x:c r="J8" s="23" t="str">
        <x:v>2026-09-29</x:v>
      </x:c>
    </x:row>
    <x:row r="9" ht="112" customHeight="1">
      <x:c r="A9" s="23" t="str">
        <x:v>S04</x:v>
      </x:c>
      <x:c r="B9" s="23" t="str">
        <x:v>Maritime and Coastguard Agency</x:v>
      </x:c>
      <x:c r="C9" s="23" t="str">
        <x:v>MGN 364 (M+F), Amendment 2</x:v>
      </x:c>
      <x:c r="D9" s="23" t="str">
        <x:v>Amendment 2</x:v>
      </x:c>
      <x:c r="E9" s="23" t="str">
        <x:v>Official authority guidance</x:v>
      </x:c>
      <x:c r="F9" s="23" t="str">
        <x:v>Identifies Dover TSS, joint Channel VTS and CALDOVREP.</x:v>
      </x:c>
      <x:c r="G9" s="23" t="str">
        <x:v>Service/reporting identification</x:v>
      </x:c>
      <x:c r="H9" s="23" t="str">
        <x:v>Sections 3.5 and 3.7 onwards</x:v>
      </x:c>
      <x:c r="I9" s="26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J9" s="23" t="str">
        <x:v>2026-09-29</x:v>
      </x:c>
    </x:row>
    <x:row r="10" ht="112" customHeight="1">
      <x:c r="A10" s="23" t="str">
        <x:v>S05</x:v>
      </x:c>
      <x:c r="B10" s="23" t="str">
        <x:v>Danish Defence / Royal Danish Navy</x:v>
      </x:c>
      <x:c r="C10" s="23" t="str">
        <x:v>BELTREP: reporting procedures</x:v>
      </x:c>
      <x:c r="D10" s="23" t="str">
        <x:v>Live page; date not displayed</x:v>
      </x:c>
      <x:c r="E10" s="23" t="str">
        <x:v>Official operating authority</x:v>
      </x:c>
      <x:c r="F10" s="23" t="str">
        <x:v>Identifies Great Belt VTS and mandatory BELTREP; two sectors.</x:v>
      </x:c>
      <x:c r="G10" s="23" t="str">
        <x:v>Service/reporting identification</x:v>
      </x:c>
      <x:c r="H10" s="23" t="str">
        <x:v>BELTREP introduction and contact information</x:v>
      </x:c>
      <x:c r="I10" s="26" t="str">
        <x:v>https://www.forsvaret.dk/da/organisation/soevaernet/civile-opgaver/beltrep/</x:v>
      </x:c>
      <x:c r="J10" s="23" t="str">
        <x:v>2026-09-29</x:v>
      </x:c>
    </x:row>
    <x:row r="11" ht="112" customHeight="1">
      <x:c r="A11" s="23" t="str">
        <x:v>S06</x:v>
      </x:c>
      <x:c r="B11" s="23" t="str">
        <x:v>Danish Emergency Management Agency</x:v>
      </x:c>
      <x:c r="C11" s="23" t="str">
        <x:v>Mandatory reporting systems and VTS</x:v>
      </x:c>
      <x:c r="D11" s="23" t="str">
        <x:v>Live page; date not displayed</x:v>
      </x:c>
      <x:c r="E11" s="23" t="str">
        <x:v>Official competent authority</x:v>
      </x:c>
      <x:c r="F11" s="23" t="str">
        <x:v>Identifies Great Belt, Sound and temporary voluntary Fehmarnbelt services.</x:v>
      </x:c>
      <x:c r="G11" s="23" t="str">
        <x:v>Service/reporting identification</x:v>
      </x:c>
      <x:c r="H11" s="23" t="str">
        <x:v>BELTREP/SOUNDREP and Fehmarnbelt sections</x:v>
      </x:c>
      <x:c r="I11" s="26" t="str">
        <x:v>https://www.brs.dk/da/om-os/organisation/sikre-farvande/obligatoriske-skibsmeldesystemer-msrs-og-skibstrafiktjenester-vts/</x:v>
      </x:c>
      <x:c r="J11" s="23" t="str">
        <x:v>2026-09-29</x:v>
      </x:c>
    </x:row>
    <x:row r="12" ht="112" customHeight="1">
      <x:c r="A12" s="23" t="str">
        <x:v>S07</x:v>
      </x:c>
      <x:c r="B12" s="23" t="str">
        <x:v>Swedish Transport Agency</x:v>
      </x:c>
      <x:c r="C12" s="23" t="str">
        <x:v>Sjötrafikrapporteringssystem (SRS)</x:v>
      </x:c>
      <x:c r="D12" s="23" t="str">
        <x:v>Updated 2026-06-09</x:v>
      </x:c>
      <x:c r="E12" s="23" t="str">
        <x:v>Official maritime administration</x:v>
      </x:c>
      <x:c r="F12" s="23" t="str">
        <x:v>Lists BELTREP, SOUNDREP, GOFREP and GDANREP. New rules commence 2026-10-01.</x:v>
      </x:c>
      <x:c r="G12" s="23" t="str">
        <x:v>Reporting identification; amendment lead</x:v>
      </x:c>
      <x:c r="H12" s="23" t="str">
        <x:v>SRS i Östersjön; TSFS 2026:60 notice</x:v>
      </x:c>
      <x:c r="I12" s="26" t="str">
        <x:v>https://www.transportstyrelsen.se/sv/sjofart/sjotrafik-och-hamnar/sjotrafikrapporteringssystem-srs/</x:v>
      </x:c>
      <x:c r="J12" s="23" t="str">
        <x:v>2026-09-29</x:v>
      </x:c>
    </x:row>
    <x:row r="13" ht="112" customHeight="1">
      <x:c r="A13" s="23" t="str">
        <x:v>S08</x:v>
      </x:c>
      <x:c r="B13" s="23" t="str">
        <x:v>Maritime and Port Authority of Singapore</x:v>
      </x:c>
      <x:c r="C13" s="23" t="str">
        <x:v>Vessel Traffic Information System</x:v>
      </x:c>
      <x:c r="D13" s="23" t="str">
        <x:v>Live page</x:v>
      </x:c>
      <x:c r="E13" s="23" t="str">
        <x:v>Official operating authority</x:v>
      </x:c>
      <x:c r="F13" s="23" t="str">
        <x:v>Identifies STRAITREP and Singapore VTIS. Individual TSS boundary matching remains open.</x:v>
      </x:c>
      <x:c r="G13" s="23" t="str">
        <x:v>Service/reporting identification</x:v>
      </x:c>
      <x:c r="H13" s="23" t="str">
        <x:v>STRAITREP overview and area coverage</x:v>
      </x:c>
      <x:c r="I13" s="26" t="str">
        <x:v>https://www.mpa.gov.sg/port-marine-ops/operations/vessel-traffic-information-system</x:v>
      </x:c>
      <x:c r="J13" s="23" t="str">
        <x:v>2026-09-29</x:v>
      </x:c>
    </x:row>
    <x:row r="14" ht="112" customHeight="1">
      <x:c r="A14" s="23" t="str">
        <x:v>S09</x:v>
      </x:c>
      <x:c r="B14" s="23" t="str">
        <x:v>Maritime and Port Authority of Singapore</x:v>
      </x:c>
      <x:c r="C14" s="23" t="str">
        <x:v>Operational areas</x:v>
      </x:c>
      <x:c r="D14" s="23" t="str">
        <x:v>Updated 2026-08-06</x:v>
      </x:c>
      <x:c r="E14" s="23" t="str">
        <x:v>Official operating authority</x:v>
      </x:c>
      <x:c r="F14" s="23" t="str">
        <x:v>Lists Klang sectors 1–5, Johor sector 6 and Singapore sectors 7–9.</x:v>
      </x:c>
      <x:c r="G14" s="23" t="str">
        <x:v>Sector/authority identification</x:v>
      </x:c>
      <x:c r="H14" s="23" t="str">
        <x:v>Sectors, VHF channels and VTS authorities table</x:v>
      </x:c>
      <x:c r="I14" s="26" t="str">
        <x:v>https://www.mpa.gov.sg/port-marine-ops/operations/vessel-traffic-information-system/operational-areas</x:v>
      </x:c>
      <x:c r="J14" s="23" t="str">
        <x:v>2026-09-29</x:v>
      </x:c>
    </x:row>
    <x:row r="15" ht="112" customHeight="1">
      <x:c r="A15" s="23" t="str">
        <x:v>S10</x:v>
      </x:c>
      <x:c r="B15" s="23" t="str">
        <x:v>Maritime Safety Queensland</x:v>
      </x:c>
      <x:c r="C15" s="23" t="str">
        <x:v>Great Barrier Reef and Torres Strait VTS</x:v>
      </x:c>
      <x:c r="D15" s="23" t="str">
        <x:v>Updated 2025-05-29</x:v>
      </x:c>
      <x:c r="E15" s="23" t="str">
        <x:v>Official operating authority</x:v>
      </x:c>
      <x:c r="F15" s="23" t="str">
        <x:v>Identifies REEFVTS, REEFREP, two sectors and two centres.</x:v>
      </x:c>
      <x:c r="G15" s="23" t="str">
        <x:v>Service/reporting identification</x:v>
      </x:c>
      <x:c r="H15" s="23" t="str">
        <x:v>About Reef VTS; mandatory reporting system</x:v>
      </x:c>
      <x:c r="I15" s="26" t="str">
        <x:v>https://www.msq.qld.gov.au/shipping/reefvts</x:v>
      </x:c>
      <x:c r="J15" s="23" t="str">
        <x:v>2026-09-29</x:v>
      </x:c>
    </x:row>
    <x:row r="16" ht="112" customHeight="1">
      <x:c r="A16" s="23" t="str">
        <x:v>S11</x:v>
      </x:c>
      <x:c r="B16" s="23" t="str">
        <x:v>United States Coast Guard Navigation Center</x:v>
      </x:c>
      <x:c r="C16" s="23" t="str">
        <x:v>Vessel Traffic Services Locations</x:v>
      </x:c>
      <x:c r="D16" s="23" t="str">
        <x:v>Live page; date not displayed</x:v>
      </x:c>
      <x:c r="E16" s="23" t="str">
        <x:v>Official operating authority</x:v>
      </x:c>
      <x:c r="F16" s="23" t="str">
        <x:v>Area descriptions used for service identities. Not a reconciled national/global census.</x:v>
      </x:c>
      <x:c r="G16" s="23" t="str">
        <x:v>Service identification</x:v>
      </x:c>
      <x:c r="H16" s="23" t="str">
        <x:v>Named VTS area descriptions</x:v>
      </x:c>
      <x:c r="I16" s="26" t="str">
        <x:v>https://www.navcen.uscg.gov/vessel-traffic-services-locations</x:v>
      </x:c>
      <x:c r="J16" s="23" t="str">
        <x:v>2026-09-29</x:v>
      </x:c>
    </x:row>
    <x:row r="17" ht="112" customHeight="1">
      <x:c r="A17" s="23" t="str">
        <x:v>S12</x:v>
      </x:c>
      <x:c r="B17" s="23" t="str">
        <x:v>United States Coast Guard</x:v>
      </x:c>
      <x:c r="C17" s="23" t="str">
        <x:v>Puget Sound Vessel Traffic Service</x:v>
      </x:c>
      <x:c r="D17" s="23" t="str">
        <x:v>Live page; date not displayed</x:v>
      </x:c>
      <x:c r="E17" s="23" t="str">
        <x:v>Official operating authority</x:v>
      </x:c>
      <x:c r="F17" s="23" t="str">
        <x:v>Identifies cooperative US/Canadian traffic services. Canadian area records still required.</x:v>
      </x:c>
      <x:c r="G17" s="23" t="str">
        <x:v>Cross-border coverage lead</x:v>
      </x:c>
      <x:c r="H17" s="23" t="str">
        <x:v>Puget Sound service description</x:v>
      </x:c>
      <x:c r="I17" s="26" t="str">
        <x:v>https://www.pacificarea.uscg.mil/VTSPugetSound/</x:v>
      </x:c>
      <x:c r="J17" s="23" t="str">
        <x:v>2026-09-29</x:v>
      </x:c>
    </x:row>
    <x:row r="18" ht="112" customHeight="1">
      <x:c r="A18" s="23" t="str">
        <x:v>S13</x:v>
      </x:c>
      <x:c r="B18" s="23" t="str">
        <x:v>Swedish Transport Agency</x:v>
      </x:c>
      <x:c r="C18" s="23" t="str">
        <x:v>Mandatory and recommended SRS list</x:v>
      </x:c>
      <x:c r="D18" s="23" t="str">
        <x:v>Edition not established</x:v>
      </x:c>
      <x:c r="E18" s="23" t="str">
        <x:v>Official source locator; PDF unavailable</x:v>
      </x:c>
      <x:c r="F18" s="23" t="str">
        <x:v>Linked from S07. PDF fetch failed; no contents or totals assumed.</x:v>
      </x:c>
      <x:c r="G18" s="23" t="str">
        <x:v>Reporting baseline acquisition target</x:v>
      </x:c>
      <x:c r="H18" s="23" t="str">
        <x:v>Related information link on S07</x:v>
      </x:c>
      <x:c r="I18" s="26" t="str">
        <x:v>https://www.transportstyrelsen.se/globalassets/global/sjofart/dokument/sjotrafik_dok/mandatory-and-recommended-srs.pdf</x:v>
      </x:c>
      <x:c r="J18" s="23" t="str">
        <x:v>2026-09-29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140e6b9f70454fd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5" hidden="0" customWidth="1"/>
    <x:col min="5" max="5" width="70" hidden="0" customWidth="1"/>
    <x:col min="6" max="6" width="78" hidden="0" customWidth="1"/>
    <x:col min="7" max="7" width="24" hidden="0" customWidth="1"/>
  </x:cols>
  <x:sheetData>
    <x:row r="1" ht="21" customHeight="1">
      <x:c r="A1" s="6" t="str">
        <x:v>OPEN ISSUES AND COVERAGE GAPS</x:v>
      </x:c>
      <x:c r="B1" s="6"/>
      <x:c r="C1" s="6"/>
      <x:c r="D1" s="6"/>
      <x:c r="E1" s="6"/>
      <x:c r="F1" s="6"/>
      <x:c r="G1" s="6"/>
    </x:row>
    <x:row r="2" ht="21" customHeight="1">
      <x:c r="A2" s="6"/>
      <x:c r="B2" s="6"/>
      <x:c r="C2" s="6"/>
      <x:c r="D2" s="6"/>
      <x:c r="E2" s="6"/>
      <x:c r="F2" s="6"/>
      <x:c r="G2" s="6"/>
    </x:row>
    <x:row r="3" ht="32" customHeight="1">
      <x:c r="A3" s="11" t="str">
        <x:v>No unresolved finding is converted into a negative result. No final worldwide count or publication extent is claimed.</x:v>
      </x:c>
      <x:c r="B3" s="11"/>
      <x:c r="C3" s="11"/>
      <x:c r="D3" s="11"/>
      <x:c r="E3" s="11"/>
      <x:c r="F3" s="11"/>
      <x:c r="G3" s="11"/>
    </x:row>
    <x:row r="4">
      <x:c r="A4" s="2"/>
      <x:c r="B4" s="2"/>
      <x:c r="C4" s="2"/>
      <x:c r="D4" s="2"/>
      <x:c r="E4" s="2"/>
      <x:c r="F4" s="2"/>
      <x:c r="G4" s="2"/>
    </x:row>
    <x:row r="5" ht="35" customHeight="1">
      <x:c r="A5" s="17" t="str">
        <x:v>Issue ID</x:v>
      </x:c>
      <x:c r="B5" s="17" t="str">
        <x:v>Category</x:v>
      </x:c>
      <x:c r="C5" s="17" t="str">
        <x:v>Status</x:v>
      </x:c>
      <x:c r="D5" s="17" t="str">
        <x:v>Priority</x:v>
      </x:c>
      <x:c r="E5" s="17" t="str">
        <x:v>Finding / limitation</x:v>
      </x:c>
      <x:c r="F5" s="17" t="str">
        <x:v>Required action</x:v>
      </x:c>
      <x:c r="G5" s="17" t="str">
        <x:v>Source IDs</x:v>
      </x:c>
    </x:row>
    <x:row r="6" ht="83" customHeight="1">
      <x:c r="A6" s="23" t="str">
        <x:v>ISS-001</x:v>
      </x:c>
      <x:c r="B6" s="23" t="str">
        <x:v>Baseline</x:v>
      </x:c>
      <x:c r="C6" s="23" t="str">
        <x:v>Open</x:v>
      </x:c>
      <x:c r="D6" s="23" t="str">
        <x:v>High</x:v>
      </x:c>
      <x:c r="E6" s="23" t="str">
        <x:v>Derek's routeing-guide PDF/index was not available.</x:v>
      </x:c>
      <x:c r="F6" s="23" t="str">
        <x:v>Obtain exact title, edition, full scheme index and corrections before declaring completeness.</x:v>
      </x:c>
      <x:c r="G6" s="23" t="str">
        <x:v>S03</x:v>
      </x:c>
    </x:row>
    <x:row r="7" ht="83" customHeight="1">
      <x:c r="A7" s="23" t="str">
        <x:v>ISS-002</x:v>
      </x:c>
      <x:c r="B7" s="23" t="str">
        <x:v>Provenance</x:v>
      </x:c>
      <x:c r="C7" s="23" t="str">
        <x:v>Open</x:v>
      </x:c>
      <x:c r="D7" s="23" t="str">
        <x:v>High</x:v>
      </x:c>
      <x:c r="E7" s="23" t="str">
        <x:v>The 170 candidate rows use an undated third-party reproduction.</x:v>
      </x:c>
      <x:c r="F7" s="23" t="str">
        <x:v>Replace or reconcile every candidate against an official copy. Do not treat the reproduction as current.</x:v>
      </x:c>
      <x:c r="G7" s="23" t="str">
        <x:v>S02</x:v>
      </x:c>
    </x:row>
    <x:row r="8" ht="83" customHeight="1">
      <x:c r="A8" s="23" t="str">
        <x:v>ISS-003</x:v>
      </x:c>
      <x:c r="B8" s="23" t="str">
        <x:v>Access</x:v>
      </x:c>
      <x:c r="C8" s="23" t="str">
        <x:v>Open</x:v>
      </x:c>
      <x:c r="D8" s="23" t="str">
        <x:v>High</x:v>
      </x:c>
      <x:c r="E8" s="23" t="str">
        <x:v>UKHO 2026 portal located; current Notice 17 PDF was inaccessible.</x:v>
      </x:c>
      <x:c r="F8" s="23" t="str">
        <x:v>Acquire the 2026 notice and reconcile additions, withdrawals and naming changes.</x:v>
      </x:c>
      <x:c r="G8" s="23" t="str">
        <x:v>S01</x:v>
      </x:c>
    </x:row>
    <x:row r="9" ht="83" customHeight="1">
      <x:c r="A9" s="23" t="str">
        <x:v>ISS-004</x:v>
      </x:c>
      <x:c r="B9" s="23" t="str">
        <x:v>Coverage</x:v>
      </x:c>
      <x:c r="C9" s="23" t="str">
        <x:v>Open</x:v>
      </x:c>
      <x:c r="D9" s="23" t="str">
        <x:v>High</x:v>
      </x:c>
      <x:c r="E9" s="23" t="str">
        <x:v>This is an IMO-adopted TSS seed, not a census of national schemes.</x:v>
      </x:c>
      <x:c r="F9" s="23" t="str">
        <x:v>Establish the national/non-IMO scope. An absent country or region does not mean no TSS or VTS.</x:v>
      </x:c>
      <x:c r="G9" s="23" t="str">
        <x:v>S01; S02</x:v>
      </x:c>
    </x:row>
    <x:row r="10" ht="83" customHeight="1">
      <x:c r="A10" s="23" t="str">
        <x:v>ISS-005</x:v>
      </x:c>
      <x:c r="B10" s="23" t="str">
        <x:v>Counting</x:v>
      </x:c>
      <x:c r="C10" s="23" t="str">
        <x:v>Open</x:v>
      </x:c>
      <x:c r="D10" s="23" t="str">
        <x:v>High</x:v>
      </x:c>
      <x:c r="E10" s="23" t="str">
        <x:v>Several source records contain regional or composite headings.</x:v>
      </x:c>
      <x:c r="F10" s="23" t="str">
        <x:v>Resolve granularity before calculating an individual TSS total.</x:v>
      </x:c>
      <x:c r="G10" s="23" t="str">
        <x:v>S02</x:v>
      </x:c>
    </x:row>
    <x:row r="11" ht="83" customHeight="1">
      <x:c r="A11" s="23" t="str">
        <x:v>ISS-006</x:v>
      </x:c>
      <x:c r="B11" s="23" t="str">
        <x:v>Relationships</x:v>
      </x:c>
      <x:c r="C11" s="23" t="str">
        <x:v>Open</x:v>
      </x:c>
      <x:c r="D11" s="23" t="str">
        <x:v>High</x:v>
      </x:c>
      <x:c r="E11" s="23" t="str">
        <x:v>Most TSS/service links are research leads rather than boundary-verified matches.</x:v>
      </x:c>
      <x:c r="F11" s="23" t="str">
        <x:v>Compare official area limits. Record full, partial, approach-related or no association.</x:v>
      </x:c>
      <x:c r="G11" s="23" t="str">
        <x:v>S04; S09; S11</x:v>
      </x:c>
    </x:row>
    <x:row r="12" ht="83" customHeight="1">
      <x:c r="A12" s="23" t="str">
        <x:v>ISS-007</x:v>
      </x:c>
      <x:c r="B12" s="23" t="str">
        <x:v>VTS coverage</x:v>
      </x:c>
      <x:c r="C12" s="23" t="str">
        <x:v>Open</x:v>
      </x:c>
      <x:c r="D12" s="23" t="str">
        <x:v>High</x:v>
      </x:c>
      <x:c r="E12" s="23" t="str">
        <x:v>REEFVTS and Fehmarnbelt are not matched to this TSS seed.</x:v>
      </x:c>
      <x:c r="F12" s="23" t="str">
        <x:v>Keep additional coverage candidates separate. Search national VTS inventories systematically.</x:v>
      </x:c>
      <x:c r="G12" s="23" t="str">
        <x:v>S06; S10</x:v>
      </x:c>
    </x:row>
    <x:row r="13" ht="83" customHeight="1">
      <x:c r="A13" s="23" t="str">
        <x:v>ISS-008</x:v>
      </x:c>
      <x:c r="B13" s="23" t="str">
        <x:v>Counting</x:v>
      </x:c>
      <x:c r="C13" s="23" t="str">
        <x:v>Open</x:v>
      </x:c>
      <x:c r="D13" s="23" t="str">
        <x:v>High</x:v>
      </x:c>
      <x:c r="E13" s="23" t="str">
        <x:v>Centres, sectors, authorities and guide entries are different units.</x:v>
      </x:c>
      <x:c r="F13" s="23" t="str">
        <x:v>Do not add 170 TSS rows, 14 service rows or reporting rows into a publication-area total.</x:v>
      </x:c>
      <x:c r="G13" s="23" t="str">
        <x:v>S04; S09; S10</x:v>
      </x:c>
    </x:row>
    <x:row r="14" ht="83" customHeight="1">
      <x:c r="A14" s="23" t="str">
        <x:v>ISS-009</x:v>
      </x:c>
      <x:c r="B14" s="23" t="str">
        <x:v>Currentness</x:v>
      </x:c>
      <x:c r="C14" s="23" t="str">
        <x:v>Open</x:v>
      </x:c>
      <x:c r="D14" s="23" t="str">
        <x:v>High</x:v>
      </x:c>
      <x:c r="E14" s="23" t="str">
        <x:v>No full amendment reconciliation through 29 September 2026 has been completed.</x:v>
      </x:c>
      <x:c r="F14" s="23" t="str">
        <x:v>Check adoption and implementation dates separately. Maintain withdrawn and future measures distinctly.</x:v>
      </x:c>
      <x:c r="G14" s="23" t="str">
        <x:v>S01; S03</x:v>
      </x:c>
    </x:row>
    <x:row r="15" ht="83" customHeight="1">
      <x:c r="A15" s="23" t="str">
        <x:v>ISS-010</x:v>
      </x:c>
      <x:c r="B15" s="23" t="str">
        <x:v>Upcoming change</x:v>
      </x:c>
      <x:c r="C15" s="23" t="str">
        <x:v>Open</x:v>
      </x:c>
      <x:c r="D15" s="23" t="str">
        <x:v>High</x:v>
      </x:c>
      <x:c r="E15" s="23" t="str">
        <x:v>Swedish TSFS 2026:60 commences 1 October 2026, after this inventory date.</x:v>
      </x:c>
      <x:c r="F15" s="23" t="str">
        <x:v>Read the instrument. Do not mark its provisions as already in force on 29 September.</x:v>
      </x:c>
      <x:c r="G15" s="23" t="str">
        <x:v>S07</x:v>
      </x:c>
    </x:row>
    <x:row r="16" ht="83" customHeight="1">
      <x:c r="A16" s="23" t="str">
        <x:v>ISS-011</x:v>
      </x:c>
      <x:c r="B16" s="23" t="str">
        <x:v>Reporting coverage</x:v>
      </x:c>
      <x:c r="C16" s="23" t="str">
        <x:v>Open</x:v>
      </x:c>
      <x:c r="D16" s="23" t="str">
        <x:v>High</x:v>
      </x:c>
      <x:c r="E16" s="23" t="str">
        <x:v>Only a seed set of reporting systems has been identified.</x:v>
      </x:c>
      <x:c r="F16" s="23" t="str">
        <x:v>Obtain the official SRS list and Part I of Ships' Routeing. Reconcile mandatory and voluntary categories.</x:v>
      </x:c>
      <x:c r="G16" s="23" t="str">
        <x:v>S03; S13</x:v>
      </x:c>
    </x:row>
    <x:row r="17" ht="83" customHeight="1">
      <x:c r="A17" s="23" t="str">
        <x:v>ISS-012</x:v>
      </x:c>
      <x:c r="B17" s="23" t="str">
        <x:v>US/Canada coverage</x:v>
      </x:c>
      <x:c r="C17" s="23" t="str">
        <x:v>Open</x:v>
      </x:c>
      <x:c r="D17" s="23" t="str">
        <x:v>High</x:v>
      </x:c>
      <x:c r="E17" s="23" t="str">
        <x:v>Puget Sound is not the whole cooperative traffic-service corridor.</x:v>
      </x:c>
      <x:c r="F17" s="23" t="str">
        <x:v>Add Canadian service areas using Canadian primary sources; resolve overlaps and handovers.</x:v>
      </x:c>
      <x:c r="G17" s="23" t="str">
        <x:v>S12</x:v>
      </x:c>
    </x:row>
    <x:row r="18" ht="83" customHeight="1">
      <x:c r="A18" s="23" t="str">
        <x:v>ISS-013</x:v>
      </x:c>
      <x:c r="B18" s="23" t="str">
        <x:v>Editorial</x:v>
      </x:c>
      <x:c r="C18" s="23" t="str">
        <x:v>Open</x:v>
      </x:c>
      <x:c r="D18" s="23" t="str">
        <x:v>Medium</x:v>
      </x:c>
      <x:c r="E18" s="23" t="str">
        <x:v>Historical or inconsistent spellings remain in some candidate names.</x:v>
      </x:c>
      <x:c r="F18" s="23" t="str">
        <x:v>Preserve source wording, then add validated preferred names and aliases.</x:v>
      </x:c>
      <x:c r="G18" s="23" t="str">
        <x:v>S02</x:v>
      </x:c>
    </x:row>
    <x:row r="19" ht="83" customHeight="1">
      <x:c r="A19" s="23" t="str">
        <x:v>ISS-014</x:v>
      </x:c>
      <x:c r="B19" s="23" t="str">
        <x:v>Project inputs</x:v>
      </x:c>
      <x:c r="C19" s="23" t="str">
        <x:v>Open</x:v>
      </x:c>
      <x:c r="D19" s="23" t="str">
        <x:v>Medium</x:v>
      </x:c>
      <x:c r="E19" s="23" t="str">
        <x:v>Sarah's Global VTS Guide History was not available.</x:v>
      </x:c>
      <x:c r="F19" s="23" t="str">
        <x:v>Use it to identify legacy coverage, authority contacts and acquisition constraints.</x:v>
      </x:c>
      <x:c r="G19" s="23" t="str">
        <x:v>Project brief</x:v>
      </x:c>
    </x:row>
    <x:row r="20" ht="83" customHeight="1">
      <x:c r="A20" s="23" t="str">
        <x:v>ISS-015</x:v>
      </x:c>
      <x:c r="B20" s="23" t="str">
        <x:v>Operational use</x:v>
      </x:c>
      <x:c r="C20" s="23" t="str">
        <x:v>Open</x:v>
      </x:c>
      <x:c r="D20" s="23" t="str">
        <x:v>High</x:v>
      </x:c>
      <x:c r="E20" s="23" t="str">
        <x:v>This workbook is for scoping, not bridge use.</x:v>
      </x:c>
      <x:c r="F20" s="23" t="str">
        <x:v>Do not use it for channels, reporting points, vessel applicability or passage planning.</x:v>
      </x:c>
      <x:c r="G20" s="23" t="str">
        <x:v>Project scope</x:v>
      </x:c>
    </x:row>
  </x:sheetData>
  <x:mergeCells>
    <x:mergeCell ref="A1:G2"/>
    <x:mergeCell ref="A3:G3"/>
  </x:mergeCells>
  <x:conditionalFormatting sqref="D6:D20">
    <x:cfRule type="expression" dxfId="4" priority="1">
      <x:formula>D6="High"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b3be0f06824e8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74" hidden="0" customWidth="1"/>
  </x:cols>
  <x:sheetData>
    <x:row r="1" ht="21" customHeight="1">
      <x:c r="A1" s="6" t="str">
        <x:v>RESEARCH QUEUE — BATCHES OF FIVE</x:v>
      </x:c>
      <x:c r="B1" s="6"/>
      <x:c r="C1" s="6"/>
      <x:c r="D1" s="6"/>
      <x:c r="E1" s="6"/>
      <x:c r="F1" s="6"/>
      <x:c r="G1" s="6"/>
      <x:c r="H1" s="6"/>
    </x:row>
    <x:row r="2" ht="21" customHeight="1">
      <x:c r="A2" s="6"/>
      <x:c r="B2" s="6"/>
      <x:c r="C2" s="6"/>
      <x:c r="D2" s="6"/>
      <x:c r="E2" s="6"/>
      <x:c r="F2" s="6"/>
      <x:c r="G2" s="6"/>
      <x:c r="H2" s="6"/>
    </x:row>
    <x:row r="3" ht="32" customHeight="1">
      <x:c r="A3" s="11" t="str">
        <x:v>Queued, not completed. Resolve grouped records before advancing any count of individual schemes.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35" customHeight="1">
      <x:c r="A5" s="17" t="str">
        <x:v>Batch ID</x:v>
      </x:c>
      <x:c r="B5" s="17" t="str">
        <x:v>First candidate ID</x:v>
      </x:c>
      <x:c r="C5" s="17" t="str">
        <x:v>Last candidate ID</x:v>
      </x:c>
      <x:c r="D5" s="17" t="str">
        <x:v>Candidate rows</x:v>
      </x:c>
      <x:c r="E5" s="17" t="str">
        <x:v>Initial screening rows</x:v>
      </x:c>
      <x:c r="F5" s="17" t="str">
        <x:v>Audit-complete rows</x:v>
      </x:c>
      <x:c r="G5" s="17" t="str">
        <x:v>Batch audit status</x:v>
      </x:c>
      <x:c r="H5" s="17" t="str">
        <x:v>Processing note</x:v>
      </x:c>
    </x:row>
    <x:row r="6" ht="59" customHeight="1">
      <x:c r="A6" s="23" t="str">
        <x:v>B01</x:v>
      </x:c>
      <x:c r="B6" s="23" t="str">
        <x:v>TSS-001</x:v>
      </x:c>
      <x:c r="C6" s="23" t="str">
        <x:v>TSS-005</x:v>
      </x:c>
      <x:c r="D6" s="23" t="n">
        <x:f>COUNTIF('TSS Inventory'!$K$6:$K$1000,A6)</x:f>
        <x:v>5</x:v>
      </x:c>
      <x:c r="E6" s="23" t="n">
        <x:f>COUNTIFS('TSS Inventory'!$K$6:$K$1000,A6,'TSS Inventory'!$J$6:$J$1000,"Initial screening")</x:f>
        <x:v>1</x:v>
      </x:c>
      <x:c r="F6" s="23" t="n">
        <x:f>COUNTIFS('TSS Inventory'!$K$6:$K$1000,A6,'TSS Inventory'!$J$6:$J$1000,"Audit complete")</x:f>
        <x:v>0</x:v>
      </x:c>
      <x:c r="G6" s="23" t="str">
        <x:v>Not audited</x:v>
      </x:c>
      <x:c r="H6" s="23" t="str">
        <x:v>Source-order queue; a lead is not a completed review.</x:v>
      </x:c>
    </x:row>
    <x:row r="7" ht="59" customHeight="1">
      <x:c r="A7" s="23" t="str">
        <x:v>B02</x:v>
      </x:c>
      <x:c r="B7" s="23" t="str">
        <x:v>TSS-006</x:v>
      </x:c>
      <x:c r="C7" s="23" t="str">
        <x:v>TSS-010</x:v>
      </x:c>
      <x:c r="D7" s="23" t="n">
        <x:f>COUNTIF('TSS Inventory'!$K$6:$K$1000,A7)</x:f>
        <x:v>5</x:v>
      </x:c>
      <x:c r="E7" s="23" t="n">
        <x:f>COUNTIFS('TSS Inventory'!$K$6:$K$1000,A7,'TSS Inventory'!$J$6:$J$1000,"Initial screening")</x:f>
        <x:v>0</x:v>
      </x:c>
      <x:c r="F7" s="23" t="n">
        <x:f>COUNTIFS('TSS Inventory'!$K$6:$K$1000,A7,'TSS Inventory'!$J$6:$J$1000,"Audit complete")</x:f>
        <x:v>0</x:v>
      </x:c>
      <x:c r="G7" s="23" t="str">
        <x:v>Not audited</x:v>
      </x:c>
      <x:c r="H7" s="23" t="str">
        <x:v>Source-order queue; a lead is not a completed review.</x:v>
      </x:c>
    </x:row>
    <x:row r="8" ht="59" customHeight="1">
      <x:c r="A8" s="23" t="str">
        <x:v>B03</x:v>
      </x:c>
      <x:c r="B8" s="23" t="str">
        <x:v>TSS-011</x:v>
      </x:c>
      <x:c r="C8" s="23" t="str">
        <x:v>TSS-015</x:v>
      </x:c>
      <x:c r="D8" s="23" t="n">
        <x:f>COUNTIF('TSS Inventory'!$K$6:$K$1000,A8)</x:f>
        <x:v>5</x:v>
      </x:c>
      <x:c r="E8" s="23" t="n">
        <x:f>COUNTIFS('TSS Inventory'!$K$6:$K$1000,A8,'TSS Inventory'!$J$6:$J$1000,"Initial screening")</x:f>
        <x:v>0</x:v>
      </x:c>
      <x:c r="F8" s="23" t="n">
        <x:f>COUNTIFS('TSS Inventory'!$K$6:$K$1000,A8,'TSS Inventory'!$J$6:$J$1000,"Audit complete")</x:f>
        <x:v>0</x:v>
      </x:c>
      <x:c r="G8" s="23" t="str">
        <x:v>Not audited</x:v>
      </x:c>
      <x:c r="H8" s="23" t="str">
        <x:v>Source-order queue; a lead is not a completed review.</x:v>
      </x:c>
    </x:row>
    <x:row r="9" ht="59" customHeight="1">
      <x:c r="A9" s="23" t="str">
        <x:v>B04</x:v>
      </x:c>
      <x:c r="B9" s="23" t="str">
        <x:v>TSS-016</x:v>
      </x:c>
      <x:c r="C9" s="23" t="str">
        <x:v>TSS-020</x:v>
      </x:c>
      <x:c r="D9" s="23" t="n">
        <x:f>COUNTIF('TSS Inventory'!$K$6:$K$1000,A9)</x:f>
        <x:v>5</x:v>
      </x:c>
      <x:c r="E9" s="23" t="n">
        <x:f>COUNTIFS('TSS Inventory'!$K$6:$K$1000,A9,'TSS Inventory'!$J$6:$J$1000,"Initial screening")</x:f>
        <x:v>0</x:v>
      </x:c>
      <x:c r="F9" s="23" t="n">
        <x:f>COUNTIFS('TSS Inventory'!$K$6:$K$1000,A9,'TSS Inventory'!$J$6:$J$1000,"Audit complete")</x:f>
        <x:v>0</x:v>
      </x:c>
      <x:c r="G9" s="23" t="str">
        <x:v>Not audited</x:v>
      </x:c>
      <x:c r="H9" s="23" t="str">
        <x:v>Source-order queue; a lead is not a completed review.</x:v>
      </x:c>
    </x:row>
    <x:row r="10" ht="59" customHeight="1">
      <x:c r="A10" s="23" t="str">
        <x:v>B05</x:v>
      </x:c>
      <x:c r="B10" s="23" t="str">
        <x:v>TSS-021</x:v>
      </x:c>
      <x:c r="C10" s="23" t="str">
        <x:v>TSS-025</x:v>
      </x:c>
      <x:c r="D10" s="23" t="n">
        <x:f>COUNTIF('TSS Inventory'!$K$6:$K$1000,A10)</x:f>
        <x:v>5</x:v>
      </x:c>
      <x:c r="E10" s="23" t="n">
        <x:f>COUNTIFS('TSS Inventory'!$K$6:$K$1000,A10,'TSS Inventory'!$J$6:$J$1000,"Initial screening")</x:f>
        <x:v>5</x:v>
      </x:c>
      <x:c r="F10" s="23" t="n">
        <x:f>COUNTIFS('TSS Inventory'!$K$6:$K$1000,A10,'TSS Inventory'!$J$6:$J$1000,"Audit complete")</x:f>
        <x:v>0</x:v>
      </x:c>
      <x:c r="G10" s="23" t="str">
        <x:v>Not audited</x:v>
      </x:c>
      <x:c r="H10" s="23" t="str">
        <x:v>Source-order queue; a lead is not a completed review.</x:v>
      </x:c>
    </x:row>
    <x:row r="11" ht="59" customHeight="1">
      <x:c r="A11" s="23" t="str">
        <x:v>B06</x:v>
      </x:c>
      <x:c r="B11" s="23" t="str">
        <x:v>TSS-026</x:v>
      </x:c>
      <x:c r="C11" s="23" t="str">
        <x:v>TSS-030</x:v>
      </x:c>
      <x:c r="D11" s="23" t="n">
        <x:f>COUNTIF('TSS Inventory'!$K$6:$K$1000,A11)</x:f>
        <x:v>5</x:v>
      </x:c>
      <x:c r="E11" s="23" t="n">
        <x:f>COUNTIFS('TSS Inventory'!$K$6:$K$1000,A11,'TSS Inventory'!$J$6:$J$1000,"Initial screening")</x:f>
        <x:v>1</x:v>
      </x:c>
      <x:c r="F11" s="23" t="n">
        <x:f>COUNTIFS('TSS Inventory'!$K$6:$K$1000,A11,'TSS Inventory'!$J$6:$J$1000,"Audit complete")</x:f>
        <x:v>0</x:v>
      </x:c>
      <x:c r="G11" s="23" t="str">
        <x:v>Not audited</x:v>
      </x:c>
      <x:c r="H11" s="23" t="str">
        <x:v>Source-order queue; a lead is not a completed review.</x:v>
      </x:c>
    </x:row>
    <x:row r="12" ht="59" customHeight="1">
      <x:c r="A12" s="23" t="str">
        <x:v>B07</x:v>
      </x:c>
      <x:c r="B12" s="23" t="str">
        <x:v>TSS-031</x:v>
      </x:c>
      <x:c r="C12" s="23" t="str">
        <x:v>TSS-035</x:v>
      </x:c>
      <x:c r="D12" s="23" t="n">
        <x:f>COUNTIF('TSS Inventory'!$K$6:$K$1000,A12)</x:f>
        <x:v>5</x:v>
      </x:c>
      <x:c r="E12" s="23" t="n">
        <x:f>COUNTIFS('TSS Inventory'!$K$6:$K$1000,A12,'TSS Inventory'!$J$6:$J$1000,"Initial screening")</x:f>
        <x:v>0</x:v>
      </x:c>
      <x:c r="F12" s="23" t="n">
        <x:f>COUNTIFS('TSS Inventory'!$K$6:$K$1000,A12,'TSS Inventory'!$J$6:$J$1000,"Audit complete")</x:f>
        <x:v>0</x:v>
      </x:c>
      <x:c r="G12" s="23" t="str">
        <x:v>Not audited</x:v>
      </x:c>
      <x:c r="H12" s="23" t="str">
        <x:v>Source-order queue; a lead is not a completed review.</x:v>
      </x:c>
    </x:row>
    <x:row r="13" ht="59" customHeight="1">
      <x:c r="A13" s="23" t="str">
        <x:v>B08</x:v>
      </x:c>
      <x:c r="B13" s="23" t="str">
        <x:v>TSS-036</x:v>
      </x:c>
      <x:c r="C13" s="23" t="str">
        <x:v>TSS-040</x:v>
      </x:c>
      <x:c r="D13" s="23" t="n">
        <x:f>COUNTIF('TSS Inventory'!$K$6:$K$1000,A13)</x:f>
        <x:v>5</x:v>
      </x:c>
      <x:c r="E13" s="23" t="n">
        <x:f>COUNTIFS('TSS Inventory'!$K$6:$K$1000,A13,'TSS Inventory'!$J$6:$J$1000,"Initial screening")</x:f>
        <x:v>3</x:v>
      </x:c>
      <x:c r="F13" s="23" t="n">
        <x:f>COUNTIFS('TSS Inventory'!$K$6:$K$1000,A13,'TSS Inventory'!$J$6:$J$1000,"Audit complete")</x:f>
        <x:v>0</x:v>
      </x:c>
      <x:c r="G13" s="23" t="str">
        <x:v>Not audited</x:v>
      </x:c>
      <x:c r="H13" s="23" t="str">
        <x:v>Source-order queue; a lead is not a completed review.</x:v>
      </x:c>
    </x:row>
    <x:row r="14" ht="59" customHeight="1">
      <x:c r="A14" s="23" t="str">
        <x:v>B09</x:v>
      </x:c>
      <x:c r="B14" s="23" t="str">
        <x:v>TSS-041</x:v>
      </x:c>
      <x:c r="C14" s="23" t="str">
        <x:v>TSS-045</x:v>
      </x:c>
      <x:c r="D14" s="23" t="n">
        <x:f>COUNTIF('TSS Inventory'!$K$6:$K$1000,A14)</x:f>
        <x:v>5</x:v>
      </x:c>
      <x:c r="E14" s="23" t="n">
        <x:f>COUNTIFS('TSS Inventory'!$K$6:$K$1000,A14,'TSS Inventory'!$J$6:$J$1000,"Initial screening")</x:f>
        <x:v>2</x:v>
      </x:c>
      <x:c r="F14" s="23" t="n">
        <x:f>COUNTIFS('TSS Inventory'!$K$6:$K$1000,A14,'TSS Inventory'!$J$6:$J$1000,"Audit complete")</x:f>
        <x:v>0</x:v>
      </x:c>
      <x:c r="G14" s="23" t="str">
        <x:v>Not audited</x:v>
      </x:c>
      <x:c r="H14" s="23" t="str">
        <x:v>Source-order queue; a lead is not a completed review.</x:v>
      </x:c>
    </x:row>
    <x:row r="15" ht="59" customHeight="1">
      <x:c r="A15" s="23" t="str">
        <x:v>B10</x:v>
      </x:c>
      <x:c r="B15" s="23" t="str">
        <x:v>TSS-046</x:v>
      </x:c>
      <x:c r="C15" s="23" t="str">
        <x:v>TSS-050</x:v>
      </x:c>
      <x:c r="D15" s="23" t="n">
        <x:f>COUNTIF('TSS Inventory'!$K$6:$K$1000,A15)</x:f>
        <x:v>5</x:v>
      </x:c>
      <x:c r="E15" s="23" t="n">
        <x:f>COUNTIFS('TSS Inventory'!$K$6:$K$1000,A15,'TSS Inventory'!$J$6:$J$1000,"Initial screening")</x:f>
        <x:v>0</x:v>
      </x:c>
      <x:c r="F15" s="23" t="n">
        <x:f>COUNTIFS('TSS Inventory'!$K$6:$K$1000,A15,'TSS Inventory'!$J$6:$J$1000,"Audit complete")</x:f>
        <x:v>0</x:v>
      </x:c>
      <x:c r="G15" s="23" t="str">
        <x:v>Not audited</x:v>
      </x:c>
      <x:c r="H15" s="23" t="str">
        <x:v>Source-order queue; a lead is not a completed review.</x:v>
      </x:c>
    </x:row>
    <x:row r="16" ht="59" customHeight="1">
      <x:c r="A16" s="23" t="str">
        <x:v>B11</x:v>
      </x:c>
      <x:c r="B16" s="23" t="str">
        <x:v>TSS-051</x:v>
      </x:c>
      <x:c r="C16" s="23" t="str">
        <x:v>TSS-055</x:v>
      </x:c>
      <x:c r="D16" s="23" t="n">
        <x:f>COUNTIF('TSS Inventory'!$K$6:$K$1000,A16)</x:f>
        <x:v>5</x:v>
      </x:c>
      <x:c r="E16" s="23" t="n">
        <x:f>COUNTIFS('TSS Inventory'!$K$6:$K$1000,A16,'TSS Inventory'!$J$6:$J$1000,"Initial screening")</x:f>
        <x:v>0</x:v>
      </x:c>
      <x:c r="F16" s="23" t="n">
        <x:f>COUNTIFS('TSS Inventory'!$K$6:$K$1000,A16,'TSS Inventory'!$J$6:$J$1000,"Audit complete")</x:f>
        <x:v>0</x:v>
      </x:c>
      <x:c r="G16" s="23" t="str">
        <x:v>Not audited</x:v>
      </x:c>
      <x:c r="H16" s="23" t="str">
        <x:v>Source-order queue; a lead is not a completed review.</x:v>
      </x:c>
    </x:row>
    <x:row r="17" ht="59" customHeight="1">
      <x:c r="A17" s="23" t="str">
        <x:v>B12</x:v>
      </x:c>
      <x:c r="B17" s="23" t="str">
        <x:v>TSS-056</x:v>
      </x:c>
      <x:c r="C17" s="23" t="str">
        <x:v>TSS-060</x:v>
      </x:c>
      <x:c r="D17" s="23" t="n">
        <x:f>COUNTIF('TSS Inventory'!$K$6:$K$1000,A17)</x:f>
        <x:v>5</x:v>
      </x:c>
      <x:c r="E17" s="23" t="n">
        <x:f>COUNTIFS('TSS Inventory'!$K$6:$K$1000,A17,'TSS Inventory'!$J$6:$J$1000,"Initial screening")</x:f>
        <x:v>0</x:v>
      </x:c>
      <x:c r="F17" s="23" t="n">
        <x:f>COUNTIFS('TSS Inventory'!$K$6:$K$1000,A17,'TSS Inventory'!$J$6:$J$1000,"Audit complete")</x:f>
        <x:v>0</x:v>
      </x:c>
      <x:c r="G17" s="23" t="str">
        <x:v>Not audited</x:v>
      </x:c>
      <x:c r="H17" s="23" t="str">
        <x:v>Source-order queue; a lead is not a completed review.</x:v>
      </x:c>
    </x:row>
    <x:row r="18" ht="59" customHeight="1">
      <x:c r="A18" s="23" t="str">
        <x:v>B13</x:v>
      </x:c>
      <x:c r="B18" s="23" t="str">
        <x:v>TSS-061</x:v>
      </x:c>
      <x:c r="C18" s="23" t="str">
        <x:v>TSS-065</x:v>
      </x:c>
      <x:c r="D18" s="23" t="n">
        <x:f>COUNTIF('TSS Inventory'!$K$6:$K$1000,A18)</x:f>
        <x:v>5</x:v>
      </x:c>
      <x:c r="E18" s="23" t="n">
        <x:f>COUNTIFS('TSS Inventory'!$K$6:$K$1000,A18,'TSS Inventory'!$J$6:$J$1000,"Initial screening")</x:f>
        <x:v>0</x:v>
      </x:c>
      <x:c r="F18" s="23" t="n">
        <x:f>COUNTIFS('TSS Inventory'!$K$6:$K$1000,A18,'TSS Inventory'!$J$6:$J$1000,"Audit complete")</x:f>
        <x:v>0</x:v>
      </x:c>
      <x:c r="G18" s="23" t="str">
        <x:v>Not audited</x:v>
      </x:c>
      <x:c r="H18" s="23" t="str">
        <x:v>Source-order queue; a lead is not a completed review.</x:v>
      </x:c>
    </x:row>
    <x:row r="19" ht="59" customHeight="1">
      <x:c r="A19" s="23" t="str">
        <x:v>B14</x:v>
      </x:c>
      <x:c r="B19" s="23" t="str">
        <x:v>TSS-066</x:v>
      </x:c>
      <x:c r="C19" s="23" t="str">
        <x:v>TSS-070</x:v>
      </x:c>
      <x:c r="D19" s="23" t="n">
        <x:f>COUNTIF('TSS Inventory'!$K$6:$K$1000,A19)</x:f>
        <x:v>5</x:v>
      </x:c>
      <x:c r="E19" s="23" t="n">
        <x:f>COUNTIFS('TSS Inventory'!$K$6:$K$1000,A19,'TSS Inventory'!$J$6:$J$1000,"Initial screening")</x:f>
        <x:v>0</x:v>
      </x:c>
      <x:c r="F19" s="23" t="n">
        <x:f>COUNTIFS('TSS Inventory'!$K$6:$K$1000,A19,'TSS Inventory'!$J$6:$J$1000,"Audit complete")</x:f>
        <x:v>0</x:v>
      </x:c>
      <x:c r="G19" s="23" t="str">
        <x:v>Not audited</x:v>
      </x:c>
      <x:c r="H19" s="23" t="str">
        <x:v>Source-order queue; a lead is not a completed review.</x:v>
      </x:c>
    </x:row>
    <x:row r="20" ht="59" customHeight="1">
      <x:c r="A20" s="23" t="str">
        <x:v>B15</x:v>
      </x:c>
      <x:c r="B20" s="23" t="str">
        <x:v>TSS-071</x:v>
      </x:c>
      <x:c r="C20" s="23" t="str">
        <x:v>TSS-075</x:v>
      </x:c>
      <x:c r="D20" s="23" t="n">
        <x:f>COUNTIF('TSS Inventory'!$K$6:$K$1000,A20)</x:f>
        <x:v>5</x:v>
      </x:c>
      <x:c r="E20" s="23" t="n">
        <x:f>COUNTIFS('TSS Inventory'!$K$6:$K$1000,A20,'TSS Inventory'!$J$6:$J$1000,"Initial screening")</x:f>
        <x:v>0</x:v>
      </x:c>
      <x:c r="F20" s="23" t="n">
        <x:f>COUNTIFS('TSS Inventory'!$K$6:$K$1000,A20,'TSS Inventory'!$J$6:$J$1000,"Audit complete")</x:f>
        <x:v>0</x:v>
      </x:c>
      <x:c r="G20" s="23" t="str">
        <x:v>Not audited</x:v>
      </x:c>
      <x:c r="H20" s="23" t="str">
        <x:v>Source-order queue; a lead is not a completed review.</x:v>
      </x:c>
    </x:row>
    <x:row r="21" ht="59" customHeight="1">
      <x:c r="A21" s="23" t="str">
        <x:v>B16</x:v>
      </x:c>
      <x:c r="B21" s="23" t="str">
        <x:v>TSS-076</x:v>
      </x:c>
      <x:c r="C21" s="23" t="str">
        <x:v>TSS-080</x:v>
      </x:c>
      <x:c r="D21" s="23" t="n">
        <x:f>COUNTIF('TSS Inventory'!$K$6:$K$1000,A21)</x:f>
        <x:v>5</x:v>
      </x:c>
      <x:c r="E21" s="23" t="n">
        <x:f>COUNTIFS('TSS Inventory'!$K$6:$K$1000,A21,'TSS Inventory'!$J$6:$J$1000,"Initial screening")</x:f>
        <x:v>0</x:v>
      </x:c>
      <x:c r="F21" s="23" t="n">
        <x:f>COUNTIFS('TSS Inventory'!$K$6:$K$1000,A21,'TSS Inventory'!$J$6:$J$1000,"Audit complete")</x:f>
        <x:v>0</x:v>
      </x:c>
      <x:c r="G21" s="23" t="str">
        <x:v>Not audited</x:v>
      </x:c>
      <x:c r="H21" s="23" t="str">
        <x:v>Source-order queue; a lead is not a completed review.</x:v>
      </x:c>
    </x:row>
    <x:row r="22" ht="59" customHeight="1">
      <x:c r="A22" s="23" t="str">
        <x:v>B17</x:v>
      </x:c>
      <x:c r="B22" s="23" t="str">
        <x:v>TSS-081</x:v>
      </x:c>
      <x:c r="C22" s="23" t="str">
        <x:v>TSS-085</x:v>
      </x:c>
      <x:c r="D22" s="23" t="n">
        <x:f>COUNTIF('TSS Inventory'!$K$6:$K$1000,A22)</x:f>
        <x:v>5</x:v>
      </x:c>
      <x:c r="E22" s="23" t="n">
        <x:f>COUNTIFS('TSS Inventory'!$K$6:$K$1000,A22,'TSS Inventory'!$J$6:$J$1000,"Initial screening")</x:f>
        <x:v>0</x:v>
      </x:c>
      <x:c r="F22" s="23" t="n">
        <x:f>COUNTIFS('TSS Inventory'!$K$6:$K$1000,A22,'TSS Inventory'!$J$6:$J$1000,"Audit complete")</x:f>
        <x:v>0</x:v>
      </x:c>
      <x:c r="G22" s="23" t="str">
        <x:v>Not audited</x:v>
      </x:c>
      <x:c r="H22" s="23" t="str">
        <x:v>Source-order queue; a lead is not a completed review.</x:v>
      </x:c>
    </x:row>
    <x:row r="23" ht="59" customHeight="1">
      <x:c r="A23" s="23" t="str">
        <x:v>B18</x:v>
      </x:c>
      <x:c r="B23" s="23" t="str">
        <x:v>TSS-086</x:v>
      </x:c>
      <x:c r="C23" s="23" t="str">
        <x:v>TSS-090</x:v>
      </x:c>
      <x:c r="D23" s="23" t="n">
        <x:f>COUNTIF('TSS Inventory'!$K$6:$K$1000,A23)</x:f>
        <x:v>5</x:v>
      </x:c>
      <x:c r="E23" s="23" t="n">
        <x:f>COUNTIFS('TSS Inventory'!$K$6:$K$1000,A23,'TSS Inventory'!$J$6:$J$1000,"Initial screening")</x:f>
        <x:v>0</x:v>
      </x:c>
      <x:c r="F23" s="23" t="n">
        <x:f>COUNTIFS('TSS Inventory'!$K$6:$K$1000,A23,'TSS Inventory'!$J$6:$J$1000,"Audit complete")</x:f>
        <x:v>0</x:v>
      </x:c>
      <x:c r="G23" s="23" t="str">
        <x:v>Not audited</x:v>
      </x:c>
      <x:c r="H23" s="23" t="str">
        <x:v>Source-order queue; a lead is not a completed review.</x:v>
      </x:c>
    </x:row>
    <x:row r="24" ht="59" customHeight="1">
      <x:c r="A24" s="23" t="str">
        <x:v>B19</x:v>
      </x:c>
      <x:c r="B24" s="23" t="str">
        <x:v>TSS-091</x:v>
      </x:c>
      <x:c r="C24" s="23" t="str">
        <x:v>TSS-095</x:v>
      </x:c>
      <x:c r="D24" s="23" t="n">
        <x:f>COUNTIF('TSS Inventory'!$K$6:$K$1000,A24)</x:f>
        <x:v>5</x:v>
      </x:c>
      <x:c r="E24" s="23" t="n">
        <x:f>COUNTIFS('TSS Inventory'!$K$6:$K$1000,A24,'TSS Inventory'!$J$6:$J$1000,"Initial screening")</x:f>
        <x:v>0</x:v>
      </x:c>
      <x:c r="F24" s="23" t="n">
        <x:f>COUNTIFS('TSS Inventory'!$K$6:$K$1000,A24,'TSS Inventory'!$J$6:$J$1000,"Audit complete")</x:f>
        <x:v>0</x:v>
      </x:c>
      <x:c r="G24" s="23" t="str">
        <x:v>Not audited</x:v>
      </x:c>
      <x:c r="H24" s="23" t="str">
        <x:v>Source-order queue; a lead is not a completed review.</x:v>
      </x:c>
    </x:row>
    <x:row r="25" ht="59" customHeight="1">
      <x:c r="A25" s="23" t="str">
        <x:v>B20</x:v>
      </x:c>
      <x:c r="B25" s="23" t="str">
        <x:v>TSS-096</x:v>
      </x:c>
      <x:c r="C25" s="23" t="str">
        <x:v>TSS-100</x:v>
      </x:c>
      <x:c r="D25" s="23" t="n">
        <x:f>COUNTIF('TSS Inventory'!$K$6:$K$1000,A25)</x:f>
        <x:v>5</x:v>
      </x:c>
      <x:c r="E25" s="23" t="n">
        <x:f>COUNTIFS('TSS Inventory'!$K$6:$K$1000,A25,'TSS Inventory'!$J$6:$J$1000,"Initial screening")</x:f>
        <x:v>0</x:v>
      </x:c>
      <x:c r="F25" s="23" t="n">
        <x:f>COUNTIFS('TSS Inventory'!$K$6:$K$1000,A25,'TSS Inventory'!$J$6:$J$1000,"Audit complete")</x:f>
        <x:v>0</x:v>
      </x:c>
      <x:c r="G25" s="23" t="str">
        <x:v>Not audited</x:v>
      </x:c>
      <x:c r="H25" s="23" t="str">
        <x:v>Source-order queue; a lead is not a completed review.</x:v>
      </x:c>
    </x:row>
    <x:row r="26" ht="59" customHeight="1">
      <x:c r="A26" s="23" t="str">
        <x:v>B21</x:v>
      </x:c>
      <x:c r="B26" s="23" t="str">
        <x:v>TSS-101</x:v>
      </x:c>
      <x:c r="C26" s="23" t="str">
        <x:v>TSS-105</x:v>
      </x:c>
      <x:c r="D26" s="23" t="n">
        <x:f>COUNTIF('TSS Inventory'!$K$6:$K$1000,A26)</x:f>
        <x:v>5</x:v>
      </x:c>
      <x:c r="E26" s="23" t="n">
        <x:f>COUNTIFS('TSS Inventory'!$K$6:$K$1000,A26,'TSS Inventory'!$J$6:$J$1000,"Initial screening")</x:f>
        <x:v>0</x:v>
      </x:c>
      <x:c r="F26" s="23" t="n">
        <x:f>COUNTIFS('TSS Inventory'!$K$6:$K$1000,A26,'TSS Inventory'!$J$6:$J$1000,"Audit complete")</x:f>
        <x:v>0</x:v>
      </x:c>
      <x:c r="G26" s="23" t="str">
        <x:v>Not audited</x:v>
      </x:c>
      <x:c r="H26" s="23" t="str">
        <x:v>Source-order queue; a lead is not a completed review.</x:v>
      </x:c>
    </x:row>
    <x:row r="27" ht="59" customHeight="1">
      <x:c r="A27" s="23" t="str">
        <x:v>B22</x:v>
      </x:c>
      <x:c r="B27" s="23" t="str">
        <x:v>TSS-106</x:v>
      </x:c>
      <x:c r="C27" s="23" t="str">
        <x:v>TSS-110</x:v>
      </x:c>
      <x:c r="D27" s="23" t="n">
        <x:f>COUNTIF('TSS Inventory'!$K$6:$K$1000,A27)</x:f>
        <x:v>5</x:v>
      </x:c>
      <x:c r="E27" s="23" t="n">
        <x:f>COUNTIFS('TSS Inventory'!$K$6:$K$1000,A27,'TSS Inventory'!$J$6:$J$1000,"Initial screening")</x:f>
        <x:v>4</x:v>
      </x:c>
      <x:c r="F27" s="23" t="n">
        <x:f>COUNTIFS('TSS Inventory'!$K$6:$K$1000,A27,'TSS Inventory'!$J$6:$J$1000,"Audit complete")</x:f>
        <x:v>0</x:v>
      </x:c>
      <x:c r="G27" s="23" t="str">
        <x:v>Not audited</x:v>
      </x:c>
      <x:c r="H27" s="23" t="str">
        <x:v>Source-order queue; a lead is not a completed review.</x:v>
      </x:c>
    </x:row>
    <x:row r="28" ht="59" customHeight="1">
      <x:c r="A28" s="23" t="str">
        <x:v>B23</x:v>
      </x:c>
      <x:c r="B28" s="23" t="str">
        <x:v>TSS-111</x:v>
      </x:c>
      <x:c r="C28" s="23" t="str">
        <x:v>TSS-115</x:v>
      </x:c>
      <x:c r="D28" s="23" t="n">
        <x:f>COUNTIF('TSS Inventory'!$K$6:$K$1000,A28)</x:f>
        <x:v>5</x:v>
      </x:c>
      <x:c r="E28" s="23" t="n">
        <x:f>COUNTIFS('TSS Inventory'!$K$6:$K$1000,A28,'TSS Inventory'!$J$6:$J$1000,"Initial screening")</x:f>
        <x:v>4</x:v>
      </x:c>
      <x:c r="F28" s="23" t="n">
        <x:f>COUNTIFS('TSS Inventory'!$K$6:$K$1000,A28,'TSS Inventory'!$J$6:$J$1000,"Audit complete")</x:f>
        <x:v>0</x:v>
      </x:c>
      <x:c r="G28" s="23" t="str">
        <x:v>Not audited</x:v>
      </x:c>
      <x:c r="H28" s="23" t="str">
        <x:v>Source-order queue; a lead is not a completed review.</x:v>
      </x:c>
    </x:row>
    <x:row r="29" ht="59" customHeight="1">
      <x:c r="A29" s="23" t="str">
        <x:v>B24</x:v>
      </x:c>
      <x:c r="B29" s="23" t="str">
        <x:v>TSS-116</x:v>
      </x:c>
      <x:c r="C29" s="23" t="str">
        <x:v>TSS-120</x:v>
      </x:c>
      <x:c r="D29" s="23" t="n">
        <x:f>COUNTIF('TSS Inventory'!$K$6:$K$1000,A29)</x:f>
        <x:v>5</x:v>
      </x:c>
      <x:c r="E29" s="23" t="n">
        <x:f>COUNTIFS('TSS Inventory'!$K$6:$K$1000,A29,'TSS Inventory'!$J$6:$J$1000,"Initial screening")</x:f>
        <x:v>0</x:v>
      </x:c>
      <x:c r="F29" s="23" t="n">
        <x:f>COUNTIFS('TSS Inventory'!$K$6:$K$1000,A29,'TSS Inventory'!$J$6:$J$1000,"Audit complete")</x:f>
        <x:v>0</x:v>
      </x:c>
      <x:c r="G29" s="23" t="str">
        <x:v>Not audited</x:v>
      </x:c>
      <x:c r="H29" s="23" t="str">
        <x:v>Source-order queue; a lead is not a completed review.</x:v>
      </x:c>
    </x:row>
    <x:row r="30" ht="59" customHeight="1">
      <x:c r="A30" s="23" t="str">
        <x:v>B25</x:v>
      </x:c>
      <x:c r="B30" s="23" t="str">
        <x:v>TSS-121</x:v>
      </x:c>
      <x:c r="C30" s="23" t="str">
        <x:v>TSS-125</x:v>
      </x:c>
      <x:c r="D30" s="23" t="n">
        <x:f>COUNTIF('TSS Inventory'!$K$6:$K$1000,A30)</x:f>
        <x:v>5</x:v>
      </x:c>
      <x:c r="E30" s="23" t="n">
        <x:f>COUNTIFS('TSS Inventory'!$K$6:$K$1000,A30,'TSS Inventory'!$J$6:$J$1000,"Initial screening")</x:f>
        <x:v>0</x:v>
      </x:c>
      <x:c r="F30" s="23" t="n">
        <x:f>COUNTIFS('TSS Inventory'!$K$6:$K$1000,A30,'TSS Inventory'!$J$6:$J$1000,"Audit complete")</x:f>
        <x:v>0</x:v>
      </x:c>
      <x:c r="G30" s="23" t="str">
        <x:v>Not audited</x:v>
      </x:c>
      <x:c r="H30" s="23" t="str">
        <x:v>Source-order queue; a lead is not a completed review.</x:v>
      </x:c>
    </x:row>
    <x:row r="31" ht="59" customHeight="1">
      <x:c r="A31" s="23" t="str">
        <x:v>B26</x:v>
      </x:c>
      <x:c r="B31" s="23" t="str">
        <x:v>TSS-126</x:v>
      </x:c>
      <x:c r="C31" s="23" t="str">
        <x:v>TSS-130</x:v>
      </x:c>
      <x:c r="D31" s="23" t="n">
        <x:f>COUNTIF('TSS Inventory'!$K$6:$K$1000,A31)</x:f>
        <x:v>5</x:v>
      </x:c>
      <x:c r="E31" s="23" t="n">
        <x:f>COUNTIFS('TSS Inventory'!$K$6:$K$1000,A31,'TSS Inventory'!$J$6:$J$1000,"Initial screening")</x:f>
        <x:v>2</x:v>
      </x:c>
      <x:c r="F31" s="23" t="n">
        <x:f>COUNTIFS('TSS Inventory'!$K$6:$K$1000,A31,'TSS Inventory'!$J$6:$J$1000,"Audit complete")</x:f>
        <x:v>0</x:v>
      </x:c>
      <x:c r="G31" s="23" t="str">
        <x:v>Not audited</x:v>
      </x:c>
      <x:c r="H31" s="23" t="str">
        <x:v>Source-order queue; a lead is not a completed review.</x:v>
      </x:c>
    </x:row>
    <x:row r="32" ht="59" customHeight="1">
      <x:c r="A32" s="23" t="str">
        <x:v>B27</x:v>
      </x:c>
      <x:c r="B32" s="23" t="str">
        <x:v>TSS-131</x:v>
      </x:c>
      <x:c r="C32" s="23" t="str">
        <x:v>TSS-135</x:v>
      </x:c>
      <x:c r="D32" s="23" t="n">
        <x:f>COUNTIF('TSS Inventory'!$K$6:$K$1000,A32)</x:f>
        <x:v>5</x:v>
      </x:c>
      <x:c r="E32" s="23" t="n">
        <x:f>COUNTIFS('TSS Inventory'!$K$6:$K$1000,A32,'TSS Inventory'!$J$6:$J$1000,"Initial screening")</x:f>
        <x:v>3</x:v>
      </x:c>
      <x:c r="F32" s="23" t="n">
        <x:f>COUNTIFS('TSS Inventory'!$K$6:$K$1000,A32,'TSS Inventory'!$J$6:$J$1000,"Audit complete")</x:f>
        <x:v>0</x:v>
      </x:c>
      <x:c r="G32" s="23" t="str">
        <x:v>Not audited</x:v>
      </x:c>
      <x:c r="H32" s="23" t="str">
        <x:v>Source-order queue; a lead is not a completed review.</x:v>
      </x:c>
    </x:row>
    <x:row r="33" ht="59" customHeight="1">
      <x:c r="A33" s="23" t="str">
        <x:v>B28</x:v>
      </x:c>
      <x:c r="B33" s="23" t="str">
        <x:v>TSS-136</x:v>
      </x:c>
      <x:c r="C33" s="23" t="str">
        <x:v>TSS-140</x:v>
      </x:c>
      <x:c r="D33" s="23" t="n">
        <x:f>COUNTIF('TSS Inventory'!$K$6:$K$1000,A33)</x:f>
        <x:v>5</x:v>
      </x:c>
      <x:c r="E33" s="23" t="n">
        <x:f>COUNTIFS('TSS Inventory'!$K$6:$K$1000,A33,'TSS Inventory'!$J$6:$J$1000,"Initial screening")</x:f>
        <x:v>0</x:v>
      </x:c>
      <x:c r="F33" s="23" t="n">
        <x:f>COUNTIFS('TSS Inventory'!$K$6:$K$1000,A33,'TSS Inventory'!$J$6:$J$1000,"Audit complete")</x:f>
        <x:v>0</x:v>
      </x:c>
      <x:c r="G33" s="23" t="str">
        <x:v>Not audited</x:v>
      </x:c>
      <x:c r="H33" s="23" t="str">
        <x:v>Source-order queue; a lead is not a completed review.</x:v>
      </x:c>
    </x:row>
    <x:row r="34" ht="59" customHeight="1">
      <x:c r="A34" s="23" t="str">
        <x:v>B29</x:v>
      </x:c>
      <x:c r="B34" s="23" t="str">
        <x:v>TSS-141</x:v>
      </x:c>
      <x:c r="C34" s="23" t="str">
        <x:v>TSS-145</x:v>
      </x:c>
      <x:c r="D34" s="23" t="n">
        <x:f>COUNTIF('TSS Inventory'!$K$6:$K$1000,A34)</x:f>
        <x:v>5</x:v>
      </x:c>
      <x:c r="E34" s="23" t="n">
        <x:f>COUNTIFS('TSS Inventory'!$K$6:$K$1000,A34,'TSS Inventory'!$J$6:$J$1000,"Initial screening")</x:f>
        <x:v>0</x:v>
      </x:c>
      <x:c r="F34" s="23" t="n">
        <x:f>COUNTIFS('TSS Inventory'!$K$6:$K$1000,A34,'TSS Inventory'!$J$6:$J$1000,"Audit complete")</x:f>
        <x:v>0</x:v>
      </x:c>
      <x:c r="G34" s="23" t="str">
        <x:v>Not audited</x:v>
      </x:c>
      <x:c r="H34" s="23" t="str">
        <x:v>Source-order queue; a lead is not a completed review.</x:v>
      </x:c>
    </x:row>
    <x:row r="35" ht="59" customHeight="1">
      <x:c r="A35" s="23" t="str">
        <x:v>B30</x:v>
      </x:c>
      <x:c r="B35" s="23" t="str">
        <x:v>TSS-146</x:v>
      </x:c>
      <x:c r="C35" s="23" t="str">
        <x:v>TSS-150</x:v>
      </x:c>
      <x:c r="D35" s="23" t="n">
        <x:f>COUNTIF('TSS Inventory'!$K$6:$K$1000,A35)</x:f>
        <x:v>5</x:v>
      </x:c>
      <x:c r="E35" s="23" t="n">
        <x:f>COUNTIFS('TSS Inventory'!$K$6:$K$1000,A35,'TSS Inventory'!$J$6:$J$1000,"Initial screening")</x:f>
        <x:v>0</x:v>
      </x:c>
      <x:c r="F35" s="23" t="n">
        <x:f>COUNTIFS('TSS Inventory'!$K$6:$K$1000,A35,'TSS Inventory'!$J$6:$J$1000,"Audit complete")</x:f>
        <x:v>0</x:v>
      </x:c>
      <x:c r="G35" s="23" t="str">
        <x:v>Not audited</x:v>
      </x:c>
      <x:c r="H35" s="23" t="str">
        <x:v>Source-order queue; a lead is not a completed review.</x:v>
      </x:c>
    </x:row>
    <x:row r="36" ht="59" customHeight="1">
      <x:c r="A36" s="23" t="str">
        <x:v>B31</x:v>
      </x:c>
      <x:c r="B36" s="23" t="str">
        <x:v>TSS-151</x:v>
      </x:c>
      <x:c r="C36" s="23" t="str">
        <x:v>TSS-155</x:v>
      </x:c>
      <x:c r="D36" s="23" t="n">
        <x:f>COUNTIF('TSS Inventory'!$K$6:$K$1000,A36)</x:f>
        <x:v>5</x:v>
      </x:c>
      <x:c r="E36" s="23" t="n">
        <x:f>COUNTIFS('TSS Inventory'!$K$6:$K$1000,A36,'TSS Inventory'!$J$6:$J$1000,"Initial screening")</x:f>
        <x:v>0</x:v>
      </x:c>
      <x:c r="F36" s="23" t="n">
        <x:f>COUNTIFS('TSS Inventory'!$K$6:$K$1000,A36,'TSS Inventory'!$J$6:$J$1000,"Audit complete")</x:f>
        <x:v>0</x:v>
      </x:c>
      <x:c r="G36" s="23" t="str">
        <x:v>Not audited</x:v>
      </x:c>
      <x:c r="H36" s="23" t="str">
        <x:v>Source-order queue; a lead is not a completed review.</x:v>
      </x:c>
    </x:row>
    <x:row r="37" ht="59" customHeight="1">
      <x:c r="A37" s="23" t="str">
        <x:v>B32</x:v>
      </x:c>
      <x:c r="B37" s="23" t="str">
        <x:v>TSS-156</x:v>
      </x:c>
      <x:c r="C37" s="23" t="str">
        <x:v>TSS-160</x:v>
      </x:c>
      <x:c r="D37" s="23" t="n">
        <x:f>COUNTIF('TSS Inventory'!$K$6:$K$1000,A37)</x:f>
        <x:v>5</x:v>
      </x:c>
      <x:c r="E37" s="23" t="n">
        <x:f>COUNTIFS('TSS Inventory'!$K$6:$K$1000,A37,'TSS Inventory'!$J$6:$J$1000,"Initial screening")</x:f>
        <x:v>1</x:v>
      </x:c>
      <x:c r="F37" s="23" t="n">
        <x:f>COUNTIFS('TSS Inventory'!$K$6:$K$1000,A37,'TSS Inventory'!$J$6:$J$1000,"Audit complete")</x:f>
        <x:v>0</x:v>
      </x:c>
      <x:c r="G37" s="23" t="str">
        <x:v>Not audited</x:v>
      </x:c>
      <x:c r="H37" s="23" t="str">
        <x:v>Source-order queue; a lead is not a completed review.</x:v>
      </x:c>
    </x:row>
    <x:row r="38" ht="59" customHeight="1">
      <x:c r="A38" s="23" t="str">
        <x:v>B33</x:v>
      </x:c>
      <x:c r="B38" s="23" t="str">
        <x:v>TSS-161</x:v>
      </x:c>
      <x:c r="C38" s="23" t="str">
        <x:v>TSS-165</x:v>
      </x:c>
      <x:c r="D38" s="23" t="n">
        <x:f>COUNTIF('TSS Inventory'!$K$6:$K$1000,A38)</x:f>
        <x:v>5</x:v>
      </x:c>
      <x:c r="E38" s="23" t="n">
        <x:f>COUNTIFS('TSS Inventory'!$K$6:$K$1000,A38,'TSS Inventory'!$J$6:$J$1000,"Initial screening")</x:f>
        <x:v>1</x:v>
      </x:c>
      <x:c r="F38" s="23" t="n">
        <x:f>COUNTIFS('TSS Inventory'!$K$6:$K$1000,A38,'TSS Inventory'!$J$6:$J$1000,"Audit complete")</x:f>
        <x:v>0</x:v>
      </x:c>
      <x:c r="G38" s="23" t="str">
        <x:v>Not audited</x:v>
      </x:c>
      <x:c r="H38" s="23" t="str">
        <x:v>Source-order queue; a lead is not a completed review.</x:v>
      </x:c>
    </x:row>
    <x:row r="39" ht="59" customHeight="1">
      <x:c r="A39" s="23" t="str">
        <x:v>B34</x:v>
      </x:c>
      <x:c r="B39" s="23" t="str">
        <x:v>TSS-166</x:v>
      </x:c>
      <x:c r="C39" s="23" t="str">
        <x:v>TSS-170</x:v>
      </x:c>
      <x:c r="D39" s="23" t="n">
        <x:f>COUNTIF('TSS Inventory'!$K$6:$K$1000,A39)</x:f>
        <x:v>5</x:v>
      </x:c>
      <x:c r="E39" s="23" t="n">
        <x:f>COUNTIFS('TSS Inventory'!$K$6:$K$1000,A39,'TSS Inventory'!$J$6:$J$1000,"Initial screening")</x:f>
        <x:v>0</x:v>
      </x:c>
      <x:c r="F39" s="23" t="n">
        <x:f>COUNTIFS('TSS Inventory'!$K$6:$K$1000,A39,'TSS Inventory'!$J$6:$J$1000,"Audit complete")</x:f>
        <x:v>0</x:v>
      </x:c>
      <x:c r="G39" s="23" t="str">
        <x:v>Not audited</x:v>
      </x:c>
      <x:c r="H39" s="23" t="str">
        <x:v>Source-order queue; a lead is not a completed review.</x:v>
      </x:c>
    </x:row>
  </x:sheetData>
  <x:mergeCells>
    <x:mergeCell ref="A1:H2"/>
    <x:mergeCell ref="A3:H3"/>
  </x:mergeCells>
  <x:dataValidations count="1">
    <x:dataValidation type="list" sqref="G6:G39">
      <x:formula1>"Not audited,In audit,Audit 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1188840ebc4014"/>
  </x:tableParts>
</x:worksheet>
</file>